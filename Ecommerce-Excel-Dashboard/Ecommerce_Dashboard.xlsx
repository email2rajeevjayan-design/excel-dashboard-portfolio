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d21e351365b5617/Desktop/Project/Ecommerce_Sales/"/>
    </mc:Choice>
  </mc:AlternateContent>
  <xr:revisionPtr revIDLastSave="13" documentId="13_ncr:1_{5F4406CF-0C85-4096-9A1C-DEA48047BC95}" xr6:coauthVersionLast="47" xr6:coauthVersionMax="47" xr10:uidLastSave="{EA9BDC65-24BF-4F6D-BC80-64EFA50BEBD3}"/>
  <bookViews>
    <workbookView xWindow="-108" yWindow="-108" windowWidth="23256" windowHeight="12456" tabRatio="777" xr2:uid="{00000000-000D-0000-FFFF-FFFF00000000}"/>
  </bookViews>
  <sheets>
    <sheet name="Dashboard" sheetId="1" r:id="rId1"/>
    <sheet name="KPI_Calculations" sheetId="8" r:id="rId2"/>
    <sheet name="Pivot_Tables" sheetId="7" r:id="rId3"/>
    <sheet name="Data_Cleaning" sheetId="6" r:id="rId4"/>
    <sheet name="Orders" sheetId="2" r:id="rId5"/>
    <sheet name="Product_Master" sheetId="3" r:id="rId6"/>
    <sheet name="Customer_Segments" sheetId="4" r:id="rId7"/>
    <sheet name="Monthly_KPIs" sheetId="5" r:id="rId8"/>
  </sheets>
  <definedNames>
    <definedName name="_xlnm._FilterDatabase" localSheetId="4" hidden="1">Orders!$A$1:$AC$2001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8" l="1"/>
  <c r="B33" i="8"/>
  <c r="C32" i="8"/>
  <c r="B32" i="8"/>
  <c r="C31" i="8"/>
  <c r="B31" i="8"/>
  <c r="C30" i="8"/>
  <c r="B30" i="8"/>
  <c r="C29" i="8"/>
  <c r="B29" i="8"/>
  <c r="C27" i="8"/>
  <c r="B27" i="8"/>
  <c r="C26" i="8"/>
  <c r="B26" i="8"/>
  <c r="C25" i="8"/>
  <c r="B25" i="8"/>
  <c r="C24" i="8"/>
  <c r="B24" i="8"/>
  <c r="C23" i="8"/>
  <c r="B23" i="8"/>
  <c r="C21" i="8"/>
  <c r="B21" i="8"/>
  <c r="C20" i="8"/>
  <c r="B20" i="8"/>
  <c r="C19" i="8"/>
  <c r="B19" i="8"/>
  <c r="C18" i="8"/>
  <c r="B18" i="8"/>
  <c r="C17" i="8"/>
  <c r="B17" i="8"/>
  <c r="C16" i="8"/>
  <c r="B16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D78" i="7"/>
  <c r="C78" i="7"/>
  <c r="B78" i="7"/>
  <c r="K72" i="7"/>
  <c r="J72" i="7"/>
  <c r="I72" i="7"/>
  <c r="D70" i="7"/>
  <c r="C70" i="7"/>
  <c r="B70" i="7"/>
  <c r="C61" i="7"/>
  <c r="B61" i="7"/>
  <c r="J54" i="7"/>
  <c r="I54" i="7"/>
  <c r="D54" i="7"/>
  <c r="C54" i="7"/>
  <c r="B54" i="7"/>
  <c r="J43" i="7"/>
  <c r="I43" i="7"/>
  <c r="D43" i="7"/>
  <c r="C43" i="7"/>
  <c r="B43" i="7"/>
  <c r="I31" i="7"/>
  <c r="C29" i="7"/>
  <c r="B29" i="7"/>
  <c r="J22" i="7"/>
  <c r="C20" i="7"/>
  <c r="B20" i="7"/>
  <c r="D12" i="7"/>
  <c r="C12" i="7"/>
  <c r="B12" i="7"/>
  <c r="J11" i="7"/>
  <c r="I11" i="7"/>
  <c r="J12" i="1"/>
  <c r="H12" i="1"/>
  <c r="F12" i="1"/>
  <c r="D12" i="1"/>
  <c r="B12" i="1"/>
  <c r="J7" i="1"/>
  <c r="H7" i="1"/>
  <c r="F7" i="1"/>
  <c r="D7" i="1"/>
  <c r="B7" i="1"/>
</calcChain>
</file>

<file path=xl/sharedStrings.xml><?xml version="1.0" encoding="utf-8"?>
<sst xmlns="http://schemas.openxmlformats.org/spreadsheetml/2006/main" count="51166" uniqueCount="9825">
  <si>
    <t>🛒  E-COMMERCE SALES ANALYTICS DASHBOARD</t>
  </si>
  <si>
    <t>Category</t>
  </si>
  <si>
    <t>Revenue</t>
  </si>
  <si>
    <t>Profit</t>
  </si>
  <si>
    <t>Region</t>
  </si>
  <si>
    <t>Payment</t>
  </si>
  <si>
    <t>Year</t>
  </si>
  <si>
    <t>Tier</t>
  </si>
  <si>
    <t>Spend</t>
  </si>
  <si>
    <t>Churn</t>
  </si>
  <si>
    <t>Count</t>
  </si>
  <si>
    <t>Segment</t>
  </si>
  <si>
    <t>Stock</t>
  </si>
  <si>
    <t>Home &amp; Kitchen</t>
  </si>
  <si>
    <t>East</t>
  </si>
  <si>
    <t>Cash on Delivery</t>
  </si>
  <si>
    <t>Platinum</t>
  </si>
  <si>
    <t>High</t>
  </si>
  <si>
    <t>Consumer</t>
  </si>
  <si>
    <t>Clothing</t>
  </si>
  <si>
    <t>Orders  ·  Product_Master  ·  Customer_Segments  ·  Monthly_KPIs  |  2,000 Orders  ·  70 Products  ·  1,001 Customers</t>
  </si>
  <si>
    <t>Electronics</t>
  </si>
  <si>
    <t>North</t>
  </si>
  <si>
    <t>Credit Card</t>
  </si>
  <si>
    <t>Gold</t>
  </si>
  <si>
    <t>Low</t>
  </si>
  <si>
    <t>Corporate</t>
  </si>
  <si>
    <t>Books</t>
  </si>
  <si>
    <t>Sports &amp; Fitness</t>
  </si>
  <si>
    <t>South</t>
  </si>
  <si>
    <t>Debit Card</t>
  </si>
  <si>
    <t>Silver</t>
  </si>
  <si>
    <t>Medium</t>
  </si>
  <si>
    <t>Home Office</t>
  </si>
  <si>
    <t>💰 TOTAL REVENUE</t>
  </si>
  <si>
    <t>📦 TOTAL ORDERS</t>
  </si>
  <si>
    <t>📈 GROSS PROFIT</t>
  </si>
  <si>
    <t>🔄 RETURN RATE</t>
  </si>
  <si>
    <t>⭐ AVG RATING</t>
  </si>
  <si>
    <t>West</t>
  </si>
  <si>
    <t>Digital Wallet</t>
  </si>
  <si>
    <t>Bronze</t>
  </si>
  <si>
    <t>SMB</t>
  </si>
  <si>
    <t>EMI</t>
  </si>
  <si>
    <t>Orders sheet</t>
  </si>
  <si>
    <t>Order transactions</t>
  </si>
  <si>
    <t>Customer satisfaction</t>
  </si>
  <si>
    <t>Net Banking</t>
  </si>
  <si>
    <t>UPI</t>
  </si>
  <si>
    <t>👥 UNIQUE CUSTOMERS</t>
  </si>
  <si>
    <t>📦 TOTAL PRODUCTS</t>
  </si>
  <si>
    <t>⚠ HIGH CHURN RISK</t>
  </si>
  <si>
    <t>🏆 BESTSELLERS</t>
  </si>
  <si>
    <t>📊 NEW CUSTOMERS</t>
  </si>
  <si>
    <t>Customer_Segments</t>
  </si>
  <si>
    <t>Product_Master</t>
  </si>
  <si>
    <t>Monthly_KPIs</t>
  </si>
  <si>
    <t>▌ SALES ANALYSIS  (Sources: Orders + Monthly_KPIs)</t>
  </si>
  <si>
    <t>▌ PAYMENT &amp; TREND ANALYSIS  (Sources: Orders + Monthly_KPIs)</t>
  </si>
  <si>
    <t>▌ CUSTOMER &amp; PRODUCT ANALYSIS  (Sources: Customer_Segments + Product_Master)</t>
  </si>
  <si>
    <t>▌ SEGMENT &amp; STOCK SNAPSHOT  (Sources: Orders + Product_Master)</t>
  </si>
  <si>
    <t>Order_ID</t>
  </si>
  <si>
    <t>Customer_ID</t>
  </si>
  <si>
    <t>Customer_Name</t>
  </si>
  <si>
    <t>Customer_Email</t>
  </si>
  <si>
    <t>Customer_Segment</t>
  </si>
  <si>
    <t>Order_Date</t>
  </si>
  <si>
    <t>Ship_Date</t>
  </si>
  <si>
    <t>Delivery_Date</t>
  </si>
  <si>
    <t>Days_to_Deliver</t>
  </si>
  <si>
    <t>State</t>
  </si>
  <si>
    <t>City</t>
  </si>
  <si>
    <t>Product_ID</t>
  </si>
  <si>
    <t>Product_Name</t>
  </si>
  <si>
    <t>Sub_Category</t>
  </si>
  <si>
    <t>Brand</t>
  </si>
  <si>
    <t>Quantity</t>
  </si>
  <si>
    <t>Unit_Price_INR</t>
  </si>
  <si>
    <t>Discount_Pct</t>
  </si>
  <si>
    <t>Sales_Amount_INR</t>
  </si>
  <si>
    <t>COGS_INR</t>
  </si>
  <si>
    <t>Gross_Profit_INR</t>
  </si>
  <si>
    <t>Profit_Margin_Pct</t>
  </si>
  <si>
    <t>Shipping_Cost_INR</t>
  </si>
  <si>
    <t>Payment_Method</t>
  </si>
  <si>
    <t>Order_Status</t>
  </si>
  <si>
    <t>Return_Flag</t>
  </si>
  <si>
    <t>Customer_Rating</t>
  </si>
  <si>
    <t>ORD000001</t>
  </si>
  <si>
    <t>CUST8557</t>
  </si>
  <si>
    <t>Karan Iyer</t>
  </si>
  <si>
    <t>karan862@email.com</t>
  </si>
  <si>
    <t>2022-07-11</t>
  </si>
  <si>
    <t>2022-07-14</t>
  </si>
  <si>
    <t>2022-07-16</t>
  </si>
  <si>
    <t>Odisha</t>
  </si>
  <si>
    <t>PRD2097</t>
  </si>
  <si>
    <t>Curtain Set</t>
  </si>
  <si>
    <t>Decor</t>
  </si>
  <si>
    <t>Amazon Basics</t>
  </si>
  <si>
    <t>Delivered</t>
  </si>
  <si>
    <t>No</t>
  </si>
  <si>
    <t>ORD000002</t>
  </si>
  <si>
    <t>CUST5884</t>
  </si>
  <si>
    <t>Meena Reddy</t>
  </si>
  <si>
    <t>meena262@email.com</t>
  </si>
  <si>
    <t>2022-08-08</t>
  </si>
  <si>
    <t>2022-08-11</t>
  </si>
  <si>
    <t>2022-08-16</t>
  </si>
  <si>
    <t>Maharashtra</t>
  </si>
  <si>
    <t>Mumbai</t>
  </si>
  <si>
    <t>PRD3376</t>
  </si>
  <si>
    <t>Fantasy Epic</t>
  </si>
  <si>
    <t>Fiction</t>
  </si>
  <si>
    <t>Prestige</t>
  </si>
  <si>
    <t>ORD000003</t>
  </si>
  <si>
    <t>CUST2265</t>
  </si>
  <si>
    <t>Suresh Kumar</t>
  </si>
  <si>
    <t>suresh399@email.com</t>
  </si>
  <si>
    <t>2022-05-07</t>
  </si>
  <si>
    <t>2022-05-10</t>
  </si>
  <si>
    <t>2022-05-15</t>
  </si>
  <si>
    <t>Rajasthan</t>
  </si>
  <si>
    <t>Jodhpur</t>
  </si>
  <si>
    <t>PRD1231</t>
  </si>
  <si>
    <t>USB Cable</t>
  </si>
  <si>
    <t>Accessories</t>
  </si>
  <si>
    <t>Wiley</t>
  </si>
  <si>
    <t>ORD000004</t>
  </si>
  <si>
    <t>CUST7809</t>
  </si>
  <si>
    <t>karan374@email.com</t>
  </si>
  <si>
    <t>2024-09-02</t>
  </si>
  <si>
    <t>2024-09-05</t>
  </si>
  <si>
    <t>2024-09-12</t>
  </si>
  <si>
    <t>Pune</t>
  </si>
  <si>
    <t>PRD2977</t>
  </si>
  <si>
    <t>Cricket Bat</t>
  </si>
  <si>
    <t>Equipment</t>
  </si>
  <si>
    <t>Realme</t>
  </si>
  <si>
    <t>Returned</t>
  </si>
  <si>
    <t>Yes</t>
  </si>
  <si>
    <t>ORD000005</t>
  </si>
  <si>
    <t>CUST7294</t>
  </si>
  <si>
    <t>Nisha Iyer</t>
  </si>
  <si>
    <t>nisha624@email.com</t>
  </si>
  <si>
    <t>2022-03-17</t>
  </si>
  <si>
    <t>2022-03-19</t>
  </si>
  <si>
    <t>2022-03-21</t>
  </si>
  <si>
    <t>Andhra Pradesh</t>
  </si>
  <si>
    <t>PRD2333</t>
  </si>
  <si>
    <t>Pre-Workout</t>
  </si>
  <si>
    <t>Nutrition</t>
  </si>
  <si>
    <t>Adidas</t>
  </si>
  <si>
    <t>ORD000006</t>
  </si>
  <si>
    <t>CUST3565</t>
  </si>
  <si>
    <t>Deepak Nair</t>
  </si>
  <si>
    <t>deepak66@email.com</t>
  </si>
  <si>
    <t>2022-09-21</t>
  </si>
  <si>
    <t>2022-09-23</t>
  </si>
  <si>
    <t>2022-09-29</t>
  </si>
  <si>
    <t>Kerala</t>
  </si>
  <si>
    <t>Kochi</t>
  </si>
  <si>
    <t>PRD2779</t>
  </si>
  <si>
    <t>Power Bank</t>
  </si>
  <si>
    <t>ORD000007</t>
  </si>
  <si>
    <t>CUST6973</t>
  </si>
  <si>
    <t>Vikram Gupta</t>
  </si>
  <si>
    <t>vikram345@email.com</t>
  </si>
  <si>
    <t>2024-02-06</t>
  </si>
  <si>
    <t>2024-02-07</t>
  </si>
  <si>
    <t>2024-02-14</t>
  </si>
  <si>
    <t>West Bengal</t>
  </si>
  <si>
    <t>Howrah</t>
  </si>
  <si>
    <t>PRD1635</t>
  </si>
  <si>
    <t>Self-Help Guide</t>
  </si>
  <si>
    <t>Non-Fiction</t>
  </si>
  <si>
    <t>ORD000008</t>
  </si>
  <si>
    <t>CUST4859</t>
  </si>
  <si>
    <t>Divya Verma</t>
  </si>
  <si>
    <t>divya366@email.com</t>
  </si>
  <si>
    <t>2022-11-06</t>
  </si>
  <si>
    <t>2022-11-07</t>
  </si>
  <si>
    <t>2022-11-13</t>
  </si>
  <si>
    <t>Bihar</t>
  </si>
  <si>
    <t>PRD3224</t>
  </si>
  <si>
    <t>Multivitamin</t>
  </si>
  <si>
    <t>Shipped</t>
  </si>
  <si>
    <t>ORD000009</t>
  </si>
  <si>
    <t>CUST6897</t>
  </si>
  <si>
    <t>deepak329@email.com</t>
  </si>
  <si>
    <t>2024-04-20</t>
  </si>
  <si>
    <t>2024-04-23</t>
  </si>
  <si>
    <t>2024-04-30</t>
  </si>
  <si>
    <t>Chhattisgarh</t>
  </si>
  <si>
    <t>PRD2863</t>
  </si>
  <si>
    <t>HP Pavilion</t>
  </si>
  <si>
    <t>Laptops</t>
  </si>
  <si>
    <t>Dell</t>
  </si>
  <si>
    <t>ORD000010</t>
  </si>
  <si>
    <t>CUST6544</t>
  </si>
  <si>
    <t>Anita Kumar</t>
  </si>
  <si>
    <t>anita556@email.com</t>
  </si>
  <si>
    <t>2024-09-10</t>
  </si>
  <si>
    <t>2024-09-17</t>
  </si>
  <si>
    <t>PRD3664</t>
  </si>
  <si>
    <t>iPhone 15</t>
  </si>
  <si>
    <t>Smartphones</t>
  </si>
  <si>
    <t>Puma</t>
  </si>
  <si>
    <t>ORD000011</t>
  </si>
  <si>
    <t>CUST9979</t>
  </si>
  <si>
    <t>Aditya Gupta</t>
  </si>
  <si>
    <t>aditya978@email.com</t>
  </si>
  <si>
    <t>2024-10-04</t>
  </si>
  <si>
    <t>2024-10-06</t>
  </si>
  <si>
    <t>2024-10-10</t>
  </si>
  <si>
    <t>Assam</t>
  </si>
  <si>
    <t>PRD2543</t>
  </si>
  <si>
    <t>Xiaomi 13T</t>
  </si>
  <si>
    <t>MuscleBlaze</t>
  </si>
  <si>
    <t>ORD000012</t>
  </si>
  <si>
    <t>CUST3559</t>
  </si>
  <si>
    <t>Nisha Patel</t>
  </si>
  <si>
    <t>nisha813@email.com</t>
  </si>
  <si>
    <t>2024-04-16</t>
  </si>
  <si>
    <t>2024-04-17</t>
  </si>
  <si>
    <t>Goa</t>
  </si>
  <si>
    <t>PRD4767</t>
  </si>
  <si>
    <t>Air Fryer</t>
  </si>
  <si>
    <t>Appliances</t>
  </si>
  <si>
    <t>ORD000013</t>
  </si>
  <si>
    <t>CUST1142</t>
  </si>
  <si>
    <t>Suresh Iyer</t>
  </si>
  <si>
    <t>suresh328@email.com</t>
  </si>
  <si>
    <t>2023-05-17</t>
  </si>
  <si>
    <t>2023-05-19</t>
  </si>
  <si>
    <t>2023-05-23</t>
  </si>
  <si>
    <t>Jaipur</t>
  </si>
  <si>
    <t>PRD2034</t>
  </si>
  <si>
    <t>ORD000014</t>
  </si>
  <si>
    <t>CUST1263</t>
  </si>
  <si>
    <t>Kavya Nair</t>
  </si>
  <si>
    <t>kavya586@email.com</t>
  </si>
  <si>
    <t>2024-09-23</t>
  </si>
  <si>
    <t>2024-09-25</t>
  </si>
  <si>
    <t>2024-09-28</t>
  </si>
  <si>
    <t>PRD3378</t>
  </si>
  <si>
    <t>Nike</t>
  </si>
  <si>
    <t>ORD000015</t>
  </si>
  <si>
    <t>CUST6934</t>
  </si>
  <si>
    <t>Divya Reddy</t>
  </si>
  <si>
    <t>divya464@email.com</t>
  </si>
  <si>
    <t>2024-12-15</t>
  </si>
  <si>
    <t>2024-12-17</t>
  </si>
  <si>
    <t>2024-12-23</t>
  </si>
  <si>
    <t>Punjab</t>
  </si>
  <si>
    <t>PRD2002</t>
  </si>
  <si>
    <t>CAT Guide</t>
  </si>
  <si>
    <t>Education</t>
  </si>
  <si>
    <t>ORD000016</t>
  </si>
  <si>
    <t>CUST3320</t>
  </si>
  <si>
    <t>Meena Patel</t>
  </si>
  <si>
    <t>meena228@email.com</t>
  </si>
  <si>
    <t>2024-09-07</t>
  </si>
  <si>
    <t>2024-09-09</t>
  </si>
  <si>
    <t>2024-09-14</t>
  </si>
  <si>
    <t>PRD3110</t>
  </si>
  <si>
    <t>Whey Protein 1kg</t>
  </si>
  <si>
    <t>ORD000017</t>
  </si>
  <si>
    <t>CUST4070</t>
  </si>
  <si>
    <t>Karan Patel</t>
  </si>
  <si>
    <t>karan834@email.com</t>
  </si>
  <si>
    <t>2024-02-04</t>
  </si>
  <si>
    <t>2024-02-12</t>
  </si>
  <si>
    <t>PRD3618</t>
  </si>
  <si>
    <t>TWS Earbuds</t>
  </si>
  <si>
    <t>Cancelled</t>
  </si>
  <si>
    <t>ORD000018</t>
  </si>
  <si>
    <t>CUST5962</t>
  </si>
  <si>
    <t>Nisha Verma</t>
  </si>
  <si>
    <t>nisha948@email.com</t>
  </si>
  <si>
    <t>2024-01-17</t>
  </si>
  <si>
    <t>2024-01-19</t>
  </si>
  <si>
    <t>2024-01-21</t>
  </si>
  <si>
    <t>Delhi</t>
  </si>
  <si>
    <t>Noida</t>
  </si>
  <si>
    <t>PRD2189</t>
  </si>
  <si>
    <t>Badminton Racket</t>
  </si>
  <si>
    <t>HP</t>
  </si>
  <si>
    <t>ORD000019</t>
  </si>
  <si>
    <t>CUST6140</t>
  </si>
  <si>
    <t>Anita Iyer</t>
  </si>
  <si>
    <t>anita956@email.com</t>
  </si>
  <si>
    <t>2023-11-20</t>
  </si>
  <si>
    <t>2023-11-21</t>
  </si>
  <si>
    <t>2023-11-24</t>
  </si>
  <si>
    <t>PRD3336</t>
  </si>
  <si>
    <t>Track Pants</t>
  </si>
  <si>
    <t>Men</t>
  </si>
  <si>
    <t>ORD000020</t>
  </si>
  <si>
    <t>CUST8619</t>
  </si>
  <si>
    <t>Amit Gupta</t>
  </si>
  <si>
    <t>amit873@email.com</t>
  </si>
  <si>
    <t>2023-10-29</t>
  </si>
  <si>
    <t>2023-11-01</t>
  </si>
  <si>
    <t>2023-11-06</t>
  </si>
  <si>
    <t>PRD2013</t>
  </si>
  <si>
    <t>Fast Charger</t>
  </si>
  <si>
    <t>ORD000021</t>
  </si>
  <si>
    <t>CUST5789</t>
  </si>
  <si>
    <t>Arjun Kumar</t>
  </si>
  <si>
    <t>arjun285@email.com</t>
  </si>
  <si>
    <t>2024-10-18</t>
  </si>
  <si>
    <t>2024-10-21</t>
  </si>
  <si>
    <t>2024-10-29</t>
  </si>
  <si>
    <t>Madhya Pradesh</t>
  </si>
  <si>
    <t>PRD3710</t>
  </si>
  <si>
    <t>Yoga Mat</t>
  </si>
  <si>
    <t>ORD000022</t>
  </si>
  <si>
    <t>CUST9467</t>
  </si>
  <si>
    <t>Anita Patel</t>
  </si>
  <si>
    <t>anita163@email.com</t>
  </si>
  <si>
    <t>2023-04-19</t>
  </si>
  <si>
    <t>2023-04-22</t>
  </si>
  <si>
    <t>2023-04-25</t>
  </si>
  <si>
    <t>Gujarat</t>
  </si>
  <si>
    <t>Vadodara</t>
  </si>
  <si>
    <t>PRD2186</t>
  </si>
  <si>
    <t>Literary Fiction</t>
  </si>
  <si>
    <t>ORD000023</t>
  </si>
  <si>
    <t>CUST6172</t>
  </si>
  <si>
    <t>meena567@email.com</t>
  </si>
  <si>
    <t>2023-10-17</t>
  </si>
  <si>
    <t>2023-10-18</t>
  </si>
  <si>
    <t>2023-10-24</t>
  </si>
  <si>
    <t>Karnataka</t>
  </si>
  <si>
    <t>Mysuru</t>
  </si>
  <si>
    <t>PRD3935</t>
  </si>
  <si>
    <t>ORD000024</t>
  </si>
  <si>
    <t>CUST8166</t>
  </si>
  <si>
    <t>Pooja Patel</t>
  </si>
  <si>
    <t>pooja535@email.com</t>
  </si>
  <si>
    <t>2022-01-05</t>
  </si>
  <si>
    <t>2022-01-07</t>
  </si>
  <si>
    <t>2022-01-10</t>
  </si>
  <si>
    <t>Nashik</t>
  </si>
  <si>
    <t>PRD4565</t>
  </si>
  <si>
    <t>ORD000025</t>
  </si>
  <si>
    <t>CUST8371</t>
  </si>
  <si>
    <t>Sunita Mehta</t>
  </si>
  <si>
    <t>sunita801@email.com</t>
  </si>
  <si>
    <t>2023-01-08</t>
  </si>
  <si>
    <t>2023-01-09</t>
  </si>
  <si>
    <t>2023-01-17</t>
  </si>
  <si>
    <t>PRD4391</t>
  </si>
  <si>
    <t>Dell Inspiron</t>
  </si>
  <si>
    <t>Penguin</t>
  </si>
  <si>
    <t>ORD000026</t>
  </si>
  <si>
    <t>CUST4149</t>
  </si>
  <si>
    <t>Karan Kumar</t>
  </si>
  <si>
    <t>karan580@email.com</t>
  </si>
  <si>
    <t>2022-12-16</t>
  </si>
  <si>
    <t>2022-12-18</t>
  </si>
  <si>
    <t>2022-12-20</t>
  </si>
  <si>
    <t>PRD4395</t>
  </si>
  <si>
    <t>Palazzo</t>
  </si>
  <si>
    <t>Women</t>
  </si>
  <si>
    <t>ORD000027</t>
  </si>
  <si>
    <t>CUST7779</t>
  </si>
  <si>
    <t>Kavya Reddy</t>
  </si>
  <si>
    <t>kavya48@email.com</t>
  </si>
  <si>
    <t>2022-09-11</t>
  </si>
  <si>
    <t>2022-09-13</t>
  </si>
  <si>
    <t>2022-09-18</t>
  </si>
  <si>
    <t>PRD2944</t>
  </si>
  <si>
    <t>MacBook Air</t>
  </si>
  <si>
    <t>ORD000028</t>
  </si>
  <si>
    <t>CUST6377</t>
  </si>
  <si>
    <t>Manish Kumar</t>
  </si>
  <si>
    <t>manish705@email.com</t>
  </si>
  <si>
    <t>2024-06-24</t>
  </si>
  <si>
    <t>2024-06-26</t>
  </si>
  <si>
    <t>2024-07-03</t>
  </si>
  <si>
    <t>PRD1105</t>
  </si>
  <si>
    <t>ORD000029</t>
  </si>
  <si>
    <t>CUST2403</t>
  </si>
  <si>
    <t>suresh379@email.com</t>
  </si>
  <si>
    <t>2022-11-02</t>
  </si>
  <si>
    <t>2022-11-03</t>
  </si>
  <si>
    <t>2022-11-09</t>
  </si>
  <si>
    <t>PRD4232</t>
  </si>
  <si>
    <t>Formal Shirt</t>
  </si>
  <si>
    <t>ORD000030</t>
  </si>
  <si>
    <t>CUST5661</t>
  </si>
  <si>
    <t>Kavya Sharma</t>
  </si>
  <si>
    <t>kavya18@email.com</t>
  </si>
  <si>
    <t>2022-06-26</t>
  </si>
  <si>
    <t>2022-06-28</t>
  </si>
  <si>
    <t>2022-07-05</t>
  </si>
  <si>
    <t>PRD2804</t>
  </si>
  <si>
    <t>Asus VivoBook</t>
  </si>
  <si>
    <t>Samsung</t>
  </si>
  <si>
    <t>ORD000031</t>
  </si>
  <si>
    <t>CUST1608</t>
  </si>
  <si>
    <t>nisha950@email.com</t>
  </si>
  <si>
    <t>2022-09-24</t>
  </si>
  <si>
    <t>2022-09-27</t>
  </si>
  <si>
    <t>2022-10-02</t>
  </si>
  <si>
    <t>Kolkata</t>
  </si>
  <si>
    <t>PRD2270</t>
  </si>
  <si>
    <t>Lenovo IdeaPad</t>
  </si>
  <si>
    <t>ORD000032</t>
  </si>
  <si>
    <t>CUST6944</t>
  </si>
  <si>
    <t>Amit Patel</t>
  </si>
  <si>
    <t>amit334@email.com</t>
  </si>
  <si>
    <t>2024-03-17</t>
  </si>
  <si>
    <t>2024-03-18</t>
  </si>
  <si>
    <t>2024-03-24</t>
  </si>
  <si>
    <t>PRD2984</t>
  </si>
  <si>
    <t>Bookshelf</t>
  </si>
  <si>
    <t>Furniture</t>
  </si>
  <si>
    <t>ORD000033</t>
  </si>
  <si>
    <t>CUST6848</t>
  </si>
  <si>
    <t>Rahul Kumar</t>
  </si>
  <si>
    <t>rahul217@email.com</t>
  </si>
  <si>
    <t>2024-04-13</t>
  </si>
  <si>
    <t>2024-04-15</t>
  </si>
  <si>
    <t>2024-04-22</t>
  </si>
  <si>
    <t>Tamil Nadu</t>
  </si>
  <si>
    <t>Coimbatore</t>
  </si>
  <si>
    <t>PRD2119</t>
  </si>
  <si>
    <t>ORD000034</t>
  </si>
  <si>
    <t>CUST7520</t>
  </si>
  <si>
    <t>Nisha Mehta</t>
  </si>
  <si>
    <t>nisha993@email.com</t>
  </si>
  <si>
    <t>2024-10-25</t>
  </si>
  <si>
    <t>2024-10-27</t>
  </si>
  <si>
    <t>2024-10-30</t>
  </si>
  <si>
    <t>PRD4929</t>
  </si>
  <si>
    <t>Microwave</t>
  </si>
  <si>
    <t>ORD000035</t>
  </si>
  <si>
    <t>CUST7057</t>
  </si>
  <si>
    <t>kavya450@email.com</t>
  </si>
  <si>
    <t>2024-01-18</t>
  </si>
  <si>
    <t>Uttar Pradesh</t>
  </si>
  <si>
    <t>Lucknow</t>
  </si>
  <si>
    <t>PRD1457</t>
  </si>
  <si>
    <t>Flip Flops</t>
  </si>
  <si>
    <t>Footwear</t>
  </si>
  <si>
    <t>ORD000036</t>
  </si>
  <si>
    <t>CUST5589</t>
  </si>
  <si>
    <t>Manish Gupta</t>
  </si>
  <si>
    <t>manish373@email.com</t>
  </si>
  <si>
    <t>2023-12-28</t>
  </si>
  <si>
    <t>2023-12-30</t>
  </si>
  <si>
    <t>2024-01-07</t>
  </si>
  <si>
    <t>PRD3274</t>
  </si>
  <si>
    <t>Realme 11</t>
  </si>
  <si>
    <t>ORD000037</t>
  </si>
  <si>
    <t>CUST8336</t>
  </si>
  <si>
    <t>Deepak Singh</t>
  </si>
  <si>
    <t>deepak90@email.com</t>
  </si>
  <si>
    <t>2023-07-23</t>
  </si>
  <si>
    <t>2023-07-24</t>
  </si>
  <si>
    <t>2023-07-29</t>
  </si>
  <si>
    <t>PRD2363</t>
  </si>
  <si>
    <t>Casual Sneakers</t>
  </si>
  <si>
    <t>Apple</t>
  </si>
  <si>
    <t>ORD000038</t>
  </si>
  <si>
    <t>CUST2876</t>
  </si>
  <si>
    <t>Anita Singh</t>
  </si>
  <si>
    <t>anita856@email.com</t>
  </si>
  <si>
    <t>2022-10-21</t>
  </si>
  <si>
    <t>2022-10-24</t>
  </si>
  <si>
    <t>2022-11-01</t>
  </si>
  <si>
    <t>PRD4817</t>
  </si>
  <si>
    <t>Induction Cooktop</t>
  </si>
  <si>
    <t>ORD000039</t>
  </si>
  <si>
    <t>CUST8786</t>
  </si>
  <si>
    <t>Rohit Singh</t>
  </si>
  <si>
    <t>rohit687@email.com</t>
  </si>
  <si>
    <t>2023-01-29</t>
  </si>
  <si>
    <t>2023-01-31</t>
  </si>
  <si>
    <t>2023-02-03</t>
  </si>
  <si>
    <t>PRD1009</t>
  </si>
  <si>
    <t>Artificial Plant</t>
  </si>
  <si>
    <t>ORD000040</t>
  </si>
  <si>
    <t>CUST4235</t>
  </si>
  <si>
    <t>Priya Nair</t>
  </si>
  <si>
    <t>priya147@email.com</t>
  </si>
  <si>
    <t>2023-01-25</t>
  </si>
  <si>
    <t>2023-01-27</t>
  </si>
  <si>
    <t>2023-01-30</t>
  </si>
  <si>
    <t>PRD3948</t>
  </si>
  <si>
    <t>ORD000041</t>
  </si>
  <si>
    <t>CUST7025</t>
  </si>
  <si>
    <t>Priya Kumar</t>
  </si>
  <si>
    <t>priya412@email.com</t>
  </si>
  <si>
    <t>2022-10-06</t>
  </si>
  <si>
    <t>Kanpur</t>
  </si>
  <si>
    <t>PRD3091</t>
  </si>
  <si>
    <t>ORD000042</t>
  </si>
  <si>
    <t>CUST7663</t>
  </si>
  <si>
    <t>Suresh Verma</t>
  </si>
  <si>
    <t>suresh482@email.com</t>
  </si>
  <si>
    <t>2023-01-13</t>
  </si>
  <si>
    <t>2023-01-16</t>
  </si>
  <si>
    <t>2023-01-22</t>
  </si>
  <si>
    <t>PRD2848</t>
  </si>
  <si>
    <t>Kurta Set</t>
  </si>
  <si>
    <t>OnePlus</t>
  </si>
  <si>
    <t>ORD000043</t>
  </si>
  <si>
    <t>CUST8312</t>
  </si>
  <si>
    <t>Manish Nair</t>
  </si>
  <si>
    <t>manish656@email.com</t>
  </si>
  <si>
    <t>2024-11-03</t>
  </si>
  <si>
    <t>2024-11-06</t>
  </si>
  <si>
    <t>2024-11-14</t>
  </si>
  <si>
    <t>PRD4082</t>
  </si>
  <si>
    <t>Crop Top</t>
  </si>
  <si>
    <t>ORD000044</t>
  </si>
  <si>
    <t>CUST1074</t>
  </si>
  <si>
    <t>Deepak Iyer</t>
  </si>
  <si>
    <t>deepak932@email.com</t>
  </si>
  <si>
    <t>2022-11-18</t>
  </si>
  <si>
    <t>2022-11-21</t>
  </si>
  <si>
    <t>2022-11-29</t>
  </si>
  <si>
    <t>PRD1941</t>
  </si>
  <si>
    <t>ORD000045</t>
  </si>
  <si>
    <t>CUST9749</t>
  </si>
  <si>
    <t>manish227@email.com</t>
  </si>
  <si>
    <t>2022-08-10</t>
  </si>
  <si>
    <t>2022-08-15</t>
  </si>
  <si>
    <t>PRD1817</t>
  </si>
  <si>
    <t>Denim Jeans</t>
  </si>
  <si>
    <t>ORD000046</t>
  </si>
  <si>
    <t>CUST9659</t>
  </si>
  <si>
    <t>Karan Mehta</t>
  </si>
  <si>
    <t>karan857@email.com</t>
  </si>
  <si>
    <t>2022-10-04</t>
  </si>
  <si>
    <t>2022-10-07</t>
  </si>
  <si>
    <t>2022-10-09</t>
  </si>
  <si>
    <t>Siliguri</t>
  </si>
  <si>
    <t>PRD4911</t>
  </si>
  <si>
    <t>ORD000047</t>
  </si>
  <si>
    <t>CUST1201</t>
  </si>
  <si>
    <t>Arjun Nair</t>
  </si>
  <si>
    <t>arjun513@email.com</t>
  </si>
  <si>
    <t>2023-06-17</t>
  </si>
  <si>
    <t>2023-06-18</t>
  </si>
  <si>
    <t>2023-06-26</t>
  </si>
  <si>
    <t>PRD4465</t>
  </si>
  <si>
    <t>Wall Clock</t>
  </si>
  <si>
    <t>ORD000048</t>
  </si>
  <si>
    <t>CUST3398</t>
  </si>
  <si>
    <t>Priya Sharma</t>
  </si>
  <si>
    <t>priya890@email.com</t>
  </si>
  <si>
    <t>2023-09-29</t>
  </si>
  <si>
    <t>2023-10-01</t>
  </si>
  <si>
    <t>2023-10-07</t>
  </si>
  <si>
    <t>Thiruvananthapuram</t>
  </si>
  <si>
    <t>PRD4938</t>
  </si>
  <si>
    <t>ORD000049</t>
  </si>
  <si>
    <t>CUST8825</t>
  </si>
  <si>
    <t>Rekha Sharma</t>
  </si>
  <si>
    <t>rekha658@email.com</t>
  </si>
  <si>
    <t>2024-10-13</t>
  </si>
  <si>
    <t>2024-10-16</t>
  </si>
  <si>
    <t>Agra</t>
  </si>
  <si>
    <t>PRD1753</t>
  </si>
  <si>
    <t>ORD000050</t>
  </si>
  <si>
    <t>CUST9609</t>
  </si>
  <si>
    <t>Pooja Verma</t>
  </si>
  <si>
    <t>pooja703@email.com</t>
  </si>
  <si>
    <t>2022-12-02</t>
  </si>
  <si>
    <t>2022-12-03</t>
  </si>
  <si>
    <t>2022-12-07</t>
  </si>
  <si>
    <t>PRD1338</t>
  </si>
  <si>
    <t>ORD000051</t>
  </si>
  <si>
    <t>CUST9068</t>
  </si>
  <si>
    <t>rohit293@email.com</t>
  </si>
  <si>
    <t>2024-03-12</t>
  </si>
  <si>
    <t>2024-03-13</t>
  </si>
  <si>
    <t>PRD4656</t>
  </si>
  <si>
    <t>Running Shoes</t>
  </si>
  <si>
    <t>ORD000052</t>
  </si>
  <si>
    <t>CUST1609</t>
  </si>
  <si>
    <t>Rohit Reddy</t>
  </si>
  <si>
    <t>rohit115@email.com</t>
  </si>
  <si>
    <t>2023-03-01</t>
  </si>
  <si>
    <t>2023-03-02</t>
  </si>
  <si>
    <t>2023-03-05</t>
  </si>
  <si>
    <t>PRD3427</t>
  </si>
  <si>
    <t>Samsung S24</t>
  </si>
  <si>
    <t>ORD000053</t>
  </si>
  <si>
    <t>CUST5417</t>
  </si>
  <si>
    <t>nisha772@email.com</t>
  </si>
  <si>
    <t>2023-07-04</t>
  </si>
  <si>
    <t>2023-07-06</t>
  </si>
  <si>
    <t>2023-07-12</t>
  </si>
  <si>
    <t>PRD1887</t>
  </si>
  <si>
    <t>Personal Finance</t>
  </si>
  <si>
    <t>ORD000054</t>
  </si>
  <si>
    <t>CUST1888</t>
  </si>
  <si>
    <t>Pooja Gupta</t>
  </si>
  <si>
    <t>pooja750@email.com</t>
  </si>
  <si>
    <t>2023-05-15</t>
  </si>
  <si>
    <t>2023-05-18</t>
  </si>
  <si>
    <t>PRD1473</t>
  </si>
  <si>
    <t>Philips</t>
  </si>
  <si>
    <t>ORD000055</t>
  </si>
  <si>
    <t>CUST6118</t>
  </si>
  <si>
    <t>suresh416@email.com</t>
  </si>
  <si>
    <t>2024-02-10</t>
  </si>
  <si>
    <t>2024-02-15</t>
  </si>
  <si>
    <t>Mangaluru</t>
  </si>
  <si>
    <t>PRD1371</t>
  </si>
  <si>
    <t>OnePlus 12</t>
  </si>
  <si>
    <t>ORD000056</t>
  </si>
  <si>
    <t>CUST4714</t>
  </si>
  <si>
    <t>Sunita Nair</t>
  </si>
  <si>
    <t>sunita237@email.com</t>
  </si>
  <si>
    <t>2023-03-07</t>
  </si>
  <si>
    <t>PRD2552</t>
  </si>
  <si>
    <t>Bomber Jacket</t>
  </si>
  <si>
    <t>ORD000057</t>
  </si>
  <si>
    <t>CUST6930</t>
  </si>
  <si>
    <t>priya30@email.com</t>
  </si>
  <si>
    <t>2023-08-28</t>
  </si>
  <si>
    <t>2023-08-30</t>
  </si>
  <si>
    <t>2023-09-04</t>
  </si>
  <si>
    <t>PRD3449</t>
  </si>
  <si>
    <t>T-Shirt</t>
  </si>
  <si>
    <t>ORD000058</t>
  </si>
  <si>
    <t>CUST2792</t>
  </si>
  <si>
    <t>rohit246@email.com</t>
  </si>
  <si>
    <t>2024-01-26</t>
  </si>
  <si>
    <t>2024-01-27</t>
  </si>
  <si>
    <t>2024-02-01</t>
  </si>
  <si>
    <t>PRD1614</t>
  </si>
  <si>
    <t>Business Strategy</t>
  </si>
  <si>
    <t>ORD000059</t>
  </si>
  <si>
    <t>CUST5931</t>
  </si>
  <si>
    <t>Manish Sharma</t>
  </si>
  <si>
    <t>manish594@email.com</t>
  </si>
  <si>
    <t>2022-12-10</t>
  </si>
  <si>
    <t>2022-12-11</t>
  </si>
  <si>
    <t>2022-12-15</t>
  </si>
  <si>
    <t>PRD2504</t>
  </si>
  <si>
    <t>Bestseller Novel</t>
  </si>
  <si>
    <t>ORD000060</t>
  </si>
  <si>
    <t>CUST8611</t>
  </si>
  <si>
    <t>Priya Mehta</t>
  </si>
  <si>
    <t>priya967@email.com</t>
  </si>
  <si>
    <t>2023-12-14</t>
  </si>
  <si>
    <t>2023-12-15</t>
  </si>
  <si>
    <t>2023-12-20</t>
  </si>
  <si>
    <t>PRD2642</t>
  </si>
  <si>
    <t>ORD000061</t>
  </si>
  <si>
    <t>CUST4552</t>
  </si>
  <si>
    <t>manish77@email.com</t>
  </si>
  <si>
    <t>2023-08-23</t>
  </si>
  <si>
    <t>2023-08-26</t>
  </si>
  <si>
    <t>2023-09-03</t>
  </si>
  <si>
    <t>PRD2817</t>
  </si>
  <si>
    <t>ORD000062</t>
  </si>
  <si>
    <t>CUST2487</t>
  </si>
  <si>
    <t>Arjun Sharma</t>
  </si>
  <si>
    <t>arjun956@email.com</t>
  </si>
  <si>
    <t>2023-12-22</t>
  </si>
  <si>
    <t>2023-12-24</t>
  </si>
  <si>
    <t>2023-12-31</t>
  </si>
  <si>
    <t>PRD2651</t>
  </si>
  <si>
    <t>Processing</t>
  </si>
  <si>
    <t>ORD000063</t>
  </si>
  <si>
    <t>CUST5004</t>
  </si>
  <si>
    <t>meena988@email.com</t>
  </si>
  <si>
    <t>2022-07-08</t>
  </si>
  <si>
    <t>PRD2925</t>
  </si>
  <si>
    <t>ORD000064</t>
  </si>
  <si>
    <t>CUST3433</t>
  </si>
  <si>
    <t>Rahul Gupta</t>
  </si>
  <si>
    <t>rahul873@email.com</t>
  </si>
  <si>
    <t>2023-10-12</t>
  </si>
  <si>
    <t>2023-10-14</t>
  </si>
  <si>
    <t>2023-10-22</t>
  </si>
  <si>
    <t>PRD1307</t>
  </si>
  <si>
    <t>Mixer Grinder</t>
  </si>
  <si>
    <t>ORD000065</t>
  </si>
  <si>
    <t>CUST3079</t>
  </si>
  <si>
    <t>Deepak Mehta</t>
  </si>
  <si>
    <t>deepak235@email.com</t>
  </si>
  <si>
    <t>2023-10-21</t>
  </si>
  <si>
    <t>PRD3638</t>
  </si>
  <si>
    <t>ORD000066</t>
  </si>
  <si>
    <t>CUST7923</t>
  </si>
  <si>
    <t>Karan Singh</t>
  </si>
  <si>
    <t>karan401@email.com</t>
  </si>
  <si>
    <t>PRD1601</t>
  </si>
  <si>
    <t>ORD000067</t>
  </si>
  <si>
    <t>CUST4492</t>
  </si>
  <si>
    <t>manish488@email.com</t>
  </si>
  <si>
    <t>2023-10-08</t>
  </si>
  <si>
    <t>2023-10-13</t>
  </si>
  <si>
    <t>PRD4814</t>
  </si>
  <si>
    <t>Study Table</t>
  </si>
  <si>
    <t>ORD000068</t>
  </si>
  <si>
    <t>CUST9632</t>
  </si>
  <si>
    <t>Sunita Kumar</t>
  </si>
  <si>
    <t>sunita233@email.com</t>
  </si>
  <si>
    <t>2024-05-27</t>
  </si>
  <si>
    <t>2024-05-30</t>
  </si>
  <si>
    <t>2024-06-07</t>
  </si>
  <si>
    <t>Jharkhand</t>
  </si>
  <si>
    <t>PRD2123</t>
  </si>
  <si>
    <t>ORD000069</t>
  </si>
  <si>
    <t>CUST9224</t>
  </si>
  <si>
    <t>Suresh Nair</t>
  </si>
  <si>
    <t>suresh791@email.com</t>
  </si>
  <si>
    <t>2024-08-18</t>
  </si>
  <si>
    <t>2024-08-19</t>
  </si>
  <si>
    <t>2024-08-24</t>
  </si>
  <si>
    <t>PRD1639</t>
  </si>
  <si>
    <t>Health &amp; Fitness</t>
  </si>
  <si>
    <t>ORD000070</t>
  </si>
  <si>
    <t>CUST1292</t>
  </si>
  <si>
    <t>Meena Singh</t>
  </si>
  <si>
    <t>meena756@email.com</t>
  </si>
  <si>
    <t>2022-08-25</t>
  </si>
  <si>
    <t>2022-08-28</t>
  </si>
  <si>
    <t>2022-09-01</t>
  </si>
  <si>
    <t>PRD1692</t>
  </si>
  <si>
    <t>ORD000071</t>
  </si>
  <si>
    <t>CUST3816</t>
  </si>
  <si>
    <t>Aditya Iyer</t>
  </si>
  <si>
    <t>aditya295@email.com</t>
  </si>
  <si>
    <t>2022-11-10</t>
  </si>
  <si>
    <t>2022-11-12</t>
  </si>
  <si>
    <t>2022-11-17</t>
  </si>
  <si>
    <t>Haryana</t>
  </si>
  <si>
    <t>PRD2744</t>
  </si>
  <si>
    <t>Phone Case</t>
  </si>
  <si>
    <t>ORD000072</t>
  </si>
  <si>
    <t>CUST9229</t>
  </si>
  <si>
    <t>Rahul Nair</t>
  </si>
  <si>
    <t>rahul819@email.com</t>
  </si>
  <si>
    <t>2022-02-23</t>
  </si>
  <si>
    <t>2022-02-26</t>
  </si>
  <si>
    <t>2022-03-04</t>
  </si>
  <si>
    <t>Gurgaon</t>
  </si>
  <si>
    <t>PRD1364</t>
  </si>
  <si>
    <t>Ergonomic Chair</t>
  </si>
  <si>
    <t>ORD000073</t>
  </si>
  <si>
    <t>CUST1037</t>
  </si>
  <si>
    <t>pooja845@email.com</t>
  </si>
  <si>
    <t>2023-03-06</t>
  </si>
  <si>
    <t>2023-03-09</t>
  </si>
  <si>
    <t>PRD3126</t>
  </si>
  <si>
    <t>ORD000074</t>
  </si>
  <si>
    <t>CUST9059</t>
  </si>
  <si>
    <t>Aditya Reddy</t>
  </si>
  <si>
    <t>aditya239@email.com</t>
  </si>
  <si>
    <t>2022-12-24</t>
  </si>
  <si>
    <t>2022-12-26</t>
  </si>
  <si>
    <t>2023-01-02</t>
  </si>
  <si>
    <t>PRD4534</t>
  </si>
  <si>
    <t>Short Story Collection</t>
  </si>
  <si>
    <t>ORD000075</t>
  </si>
  <si>
    <t>CUST5710</t>
  </si>
  <si>
    <t>Vikram Iyer</t>
  </si>
  <si>
    <t>vikram147@email.com</t>
  </si>
  <si>
    <t>2024-09-16</t>
  </si>
  <si>
    <t>PRD1206</t>
  </si>
  <si>
    <t>ORD000076</t>
  </si>
  <si>
    <t>CUST5839</t>
  </si>
  <si>
    <t>Karan Nair</t>
  </si>
  <si>
    <t>karan688@email.com</t>
  </si>
  <si>
    <t>2024-10-03</t>
  </si>
  <si>
    <t>2024-10-05</t>
  </si>
  <si>
    <t>2024-10-11</t>
  </si>
  <si>
    <t>PRD3001</t>
  </si>
  <si>
    <t>ORD000077</t>
  </si>
  <si>
    <t>CUST4399</t>
  </si>
  <si>
    <t>Suresh Sharma</t>
  </si>
  <si>
    <t>suresh52@email.com</t>
  </si>
  <si>
    <t>2022-09-19</t>
  </si>
  <si>
    <t>2022-09-22</t>
  </si>
  <si>
    <t>2022-09-25</t>
  </si>
  <si>
    <t>PRD1120</t>
  </si>
  <si>
    <t>Crime Thriller</t>
  </si>
  <si>
    <t>ORD000078</t>
  </si>
  <si>
    <t>CUST1546</t>
  </si>
  <si>
    <t>Rohit Verma</t>
  </si>
  <si>
    <t>rohit572@email.com</t>
  </si>
  <si>
    <t>2022-08-01</t>
  </si>
  <si>
    <t>2022-08-02</t>
  </si>
  <si>
    <t>2022-08-05</t>
  </si>
  <si>
    <t>PRD4216</t>
  </si>
  <si>
    <t>ORD000079</t>
  </si>
  <si>
    <t>CUST4044</t>
  </si>
  <si>
    <t>Karan Sharma</t>
  </si>
  <si>
    <t>karan144@email.com</t>
  </si>
  <si>
    <t>2024-06-19</t>
  </si>
  <si>
    <t>2024-06-22</t>
  </si>
  <si>
    <t>2024-06-25</t>
  </si>
  <si>
    <t>PRD3660</t>
  </si>
  <si>
    <t>BCAA Powder</t>
  </si>
  <si>
    <t>ORD000080</t>
  </si>
  <si>
    <t>CUST4233</t>
  </si>
  <si>
    <t>karan455@email.com</t>
  </si>
  <si>
    <t>2023-09-10</t>
  </si>
  <si>
    <t>2023-09-12</t>
  </si>
  <si>
    <t>2023-09-19</t>
  </si>
  <si>
    <t>Udaipur</t>
  </si>
  <si>
    <t>PRD3662</t>
  </si>
  <si>
    <t>ORD000081</t>
  </si>
  <si>
    <t>CUST6257</t>
  </si>
  <si>
    <t>Pooja Kumar</t>
  </si>
  <si>
    <t>pooja936@email.com</t>
  </si>
  <si>
    <t>2023-09-20</t>
  </si>
  <si>
    <t>2023-09-22</t>
  </si>
  <si>
    <t>2023-09-26</t>
  </si>
  <si>
    <t>PRD4761</t>
  </si>
  <si>
    <t>ORD000082</t>
  </si>
  <si>
    <t>CUST3232</t>
  </si>
  <si>
    <t>priya747@email.com</t>
  </si>
  <si>
    <t>2023-01-05</t>
  </si>
  <si>
    <t>2023-01-12</t>
  </si>
  <si>
    <t>PRD3015</t>
  </si>
  <si>
    <t>ORD000083</t>
  </si>
  <si>
    <t>CUST1264</t>
  </si>
  <si>
    <t>rahul391@email.com</t>
  </si>
  <si>
    <t>2022-07-25</t>
  </si>
  <si>
    <t>2022-07-27</t>
  </si>
  <si>
    <t>2022-08-04</t>
  </si>
  <si>
    <t>Telangana</t>
  </si>
  <si>
    <t>Nizamabad</t>
  </si>
  <si>
    <t>PRD2704</t>
  </si>
  <si>
    <t>Engineering Math</t>
  </si>
  <si>
    <t>ORD000084</t>
  </si>
  <si>
    <t>CUST9029</t>
  </si>
  <si>
    <t>Arjun Iyer</t>
  </si>
  <si>
    <t>arjun211@email.com</t>
  </si>
  <si>
    <t>2022-07-12</t>
  </si>
  <si>
    <t>2022-07-18</t>
  </si>
  <si>
    <t>PRD4444</t>
  </si>
  <si>
    <t>ORD000085</t>
  </si>
  <si>
    <t>CUST5698</t>
  </si>
  <si>
    <t>Amit Kumar</t>
  </si>
  <si>
    <t>amit942@email.com</t>
  </si>
  <si>
    <t>2023-03-10</t>
  </si>
  <si>
    <t>2023-03-15</t>
  </si>
  <si>
    <t>PRD3119</t>
  </si>
  <si>
    <t>Biography</t>
  </si>
  <si>
    <t>ORD000086</t>
  </si>
  <si>
    <t>CUST1993</t>
  </si>
  <si>
    <t>Anita Reddy</t>
  </si>
  <si>
    <t>anita787@email.com</t>
  </si>
  <si>
    <t>2024-06-02</t>
  </si>
  <si>
    <t>2024-06-05</t>
  </si>
  <si>
    <t>2024-06-09</t>
  </si>
  <si>
    <t>PRD4870</t>
  </si>
  <si>
    <t>ORD000087</t>
  </si>
  <si>
    <t>CUST4836</t>
  </si>
  <si>
    <t>Swati Iyer</t>
  </si>
  <si>
    <t>swati322@email.com</t>
  </si>
  <si>
    <t>2022-11-22</t>
  </si>
  <si>
    <t>2022-11-25</t>
  </si>
  <si>
    <t>PRD1045</t>
  </si>
  <si>
    <t>ORD000088</t>
  </si>
  <si>
    <t>CUST1909</t>
  </si>
  <si>
    <t>Rahul Reddy</t>
  </si>
  <si>
    <t>rahul949@email.com</t>
  </si>
  <si>
    <t>2022-06-12</t>
  </si>
  <si>
    <t>2022-06-15</t>
  </si>
  <si>
    <t>2022-06-20</t>
  </si>
  <si>
    <t>PRD4703</t>
  </si>
  <si>
    <t>ORD000089</t>
  </si>
  <si>
    <t>CUST5218</t>
  </si>
  <si>
    <t>arjun885@email.com</t>
  </si>
  <si>
    <t>2023-10-10</t>
  </si>
  <si>
    <t>2023-10-20</t>
  </si>
  <si>
    <t>PRD2241</t>
  </si>
  <si>
    <t>ORD000090</t>
  </si>
  <si>
    <t>CUST5813</t>
  </si>
  <si>
    <t>rahul39@email.com</t>
  </si>
  <si>
    <t>2024-06-06</t>
  </si>
  <si>
    <t>2024-06-08</t>
  </si>
  <si>
    <t>2024-06-12</t>
  </si>
  <si>
    <t>PRD2199</t>
  </si>
  <si>
    <t>IELTS Practice</t>
  </si>
  <si>
    <t>ORD000091</t>
  </si>
  <si>
    <t>CUST3326</t>
  </si>
  <si>
    <t>swati881@email.com</t>
  </si>
  <si>
    <t>2024-06-21</t>
  </si>
  <si>
    <t>2024-06-23</t>
  </si>
  <si>
    <t>PRD2623</t>
  </si>
  <si>
    <t>ORD000092</t>
  </si>
  <si>
    <t>CUST3898</t>
  </si>
  <si>
    <t>suresh698@email.com</t>
  </si>
  <si>
    <t>2022-06-13</t>
  </si>
  <si>
    <t>2022-06-19</t>
  </si>
  <si>
    <t>Warangal</t>
  </si>
  <si>
    <t>PRD1245</t>
  </si>
  <si>
    <t>ORD000093</t>
  </si>
  <si>
    <t>CUST7345</t>
  </si>
  <si>
    <t>pooja900@email.com</t>
  </si>
  <si>
    <t>2024-10-15</t>
  </si>
  <si>
    <t>2024-10-17</t>
  </si>
  <si>
    <t>2024-10-19</t>
  </si>
  <si>
    <t>PRD4352</t>
  </si>
  <si>
    <t>ORD000094</t>
  </si>
  <si>
    <t>CUST7871</t>
  </si>
  <si>
    <t>Manish Singh</t>
  </si>
  <si>
    <t>manish290@email.com</t>
  </si>
  <si>
    <t>2023-09-24</t>
  </si>
  <si>
    <t>PRD4117</t>
  </si>
  <si>
    <t>ORD000095</t>
  </si>
  <si>
    <t>CUST3574</t>
  </si>
  <si>
    <t>Deepak Gupta</t>
  </si>
  <si>
    <t>deepak800@email.com</t>
  </si>
  <si>
    <t>2023-05-11</t>
  </si>
  <si>
    <t>2023-05-13</t>
  </si>
  <si>
    <t>2023-05-20</t>
  </si>
  <si>
    <t>PRD4064</t>
  </si>
  <si>
    <t>Water Purifier</t>
  </si>
  <si>
    <t>ORD000096</t>
  </si>
  <si>
    <t>CUST4844</t>
  </si>
  <si>
    <t>deepak904@email.com</t>
  </si>
  <si>
    <t>2023-09-28</t>
  </si>
  <si>
    <t>2023-10-02</t>
  </si>
  <si>
    <t>PRD3639</t>
  </si>
  <si>
    <t>Sofa Set</t>
  </si>
  <si>
    <t>ORD000097</t>
  </si>
  <si>
    <t>CUST6269</t>
  </si>
  <si>
    <t>Meena Mehta</t>
  </si>
  <si>
    <t>meena255@email.com</t>
  </si>
  <si>
    <t>2024-05-06</t>
  </si>
  <si>
    <t>2024-05-08</t>
  </si>
  <si>
    <t>2024-05-16</t>
  </si>
  <si>
    <t>PRD4508</t>
  </si>
  <si>
    <t>ORD000098</t>
  </si>
  <si>
    <t>CUST2337</t>
  </si>
  <si>
    <t>sunita603@email.com</t>
  </si>
  <si>
    <t>PRD3463</t>
  </si>
  <si>
    <t>ORD000099</t>
  </si>
  <si>
    <t>CUST2913</t>
  </si>
  <si>
    <t>meena27@email.com</t>
  </si>
  <si>
    <t>2024-10-14</t>
  </si>
  <si>
    <t>2024-10-20</t>
  </si>
  <si>
    <t>PRD4464</t>
  </si>
  <si>
    <t>ORD000100</t>
  </si>
  <si>
    <t>CUST6983</t>
  </si>
  <si>
    <t>Meena Kumar</t>
  </si>
  <si>
    <t>meena975@email.com</t>
  </si>
  <si>
    <t>2022-08-18</t>
  </si>
  <si>
    <t>2022-08-20</t>
  </si>
  <si>
    <t>PRD3855</t>
  </si>
  <si>
    <t>ORD000101</t>
  </si>
  <si>
    <t>CUST5232</t>
  </si>
  <si>
    <t>aditya973@email.com</t>
  </si>
  <si>
    <t>2022-09-28</t>
  </si>
  <si>
    <t>2022-09-30</t>
  </si>
  <si>
    <t>2022-10-05</t>
  </si>
  <si>
    <t>PRD4824</t>
  </si>
  <si>
    <t>Cushion Cover</t>
  </si>
  <si>
    <t>ORD000102</t>
  </si>
  <si>
    <t>CUST4535</t>
  </si>
  <si>
    <t>Nisha Reddy</t>
  </si>
  <si>
    <t>nisha800@email.com</t>
  </si>
  <si>
    <t>2023-01-20</t>
  </si>
  <si>
    <t>PRD3809</t>
  </si>
  <si>
    <t>ORD000103</t>
  </si>
  <si>
    <t>CUST1374</t>
  </si>
  <si>
    <t>Rohit Nair</t>
  </si>
  <si>
    <t>rohit241@email.com</t>
  </si>
  <si>
    <t>2024-10-24</t>
  </si>
  <si>
    <t>Kozhikode</t>
  </si>
  <si>
    <t>PRD4789</t>
  </si>
  <si>
    <t>ORD000104</t>
  </si>
  <si>
    <t>CUST8083</t>
  </si>
  <si>
    <t>Divya Nair</t>
  </si>
  <si>
    <t>divya364@email.com</t>
  </si>
  <si>
    <t>2023-02-07</t>
  </si>
  <si>
    <t>2023-02-10</t>
  </si>
  <si>
    <t>2023-02-14</t>
  </si>
  <si>
    <t>PRD2958</t>
  </si>
  <si>
    <t>ORD000105</t>
  </si>
  <si>
    <t>CUST8712</t>
  </si>
  <si>
    <t>priya823@email.com</t>
  </si>
  <si>
    <t>2022-08-17</t>
  </si>
  <si>
    <t>2022-08-19</t>
  </si>
  <si>
    <t>2022-08-22</t>
  </si>
  <si>
    <t>PRD2405</t>
  </si>
  <si>
    <t>ORD000106</t>
  </si>
  <si>
    <t>CUST4222</t>
  </si>
  <si>
    <t>Arjun Mehta</t>
  </si>
  <si>
    <t>arjun221@email.com</t>
  </si>
  <si>
    <t>2024-11-09</t>
  </si>
  <si>
    <t>2024-11-10</t>
  </si>
  <si>
    <t>2024-11-13</t>
  </si>
  <si>
    <t>Hyderabad</t>
  </si>
  <si>
    <t>PRD4378</t>
  </si>
  <si>
    <t>ORD000107</t>
  </si>
  <si>
    <t>CUST2930</t>
  </si>
  <si>
    <t>nisha121@email.com</t>
  </si>
  <si>
    <t>2023-07-31</t>
  </si>
  <si>
    <t>2023-08-01</t>
  </si>
  <si>
    <t>2023-08-07</t>
  </si>
  <si>
    <t>PRD3344</t>
  </si>
  <si>
    <t>ORD000108</t>
  </si>
  <si>
    <t>CUST4089</t>
  </si>
  <si>
    <t>Vikram Patel</t>
  </si>
  <si>
    <t>vikram847@email.com</t>
  </si>
  <si>
    <t>2023-06-23</t>
  </si>
  <si>
    <t>2023-06-25</t>
  </si>
  <si>
    <t>2023-06-29</t>
  </si>
  <si>
    <t>PRD3305</t>
  </si>
  <si>
    <t>ORD000109</t>
  </si>
  <si>
    <t>CUST9206</t>
  </si>
  <si>
    <t>Manish Patel</t>
  </si>
  <si>
    <t>manish308@email.com</t>
  </si>
  <si>
    <t>2023-02-01</t>
  </si>
  <si>
    <t>PRD1992</t>
  </si>
  <si>
    <t>ORD000110</t>
  </si>
  <si>
    <t>CUST2222</t>
  </si>
  <si>
    <t>nisha411@email.com</t>
  </si>
  <si>
    <t>2024-08-30</t>
  </si>
  <si>
    <t>2024-08-31</t>
  </si>
  <si>
    <t>Surat</t>
  </si>
  <si>
    <t>PRD2465</t>
  </si>
  <si>
    <t>ORD000111</t>
  </si>
  <si>
    <t>CUST7464</t>
  </si>
  <si>
    <t>meena978@email.com</t>
  </si>
  <si>
    <t>2023-09-18</t>
  </si>
  <si>
    <t>2023-09-21</t>
  </si>
  <si>
    <t>PRD4122</t>
  </si>
  <si>
    <t>ORD000112</t>
  </si>
  <si>
    <t>CUST5826</t>
  </si>
  <si>
    <t>Divya Sharma</t>
  </si>
  <si>
    <t>divya19@email.com</t>
  </si>
  <si>
    <t>2024-09-27</t>
  </si>
  <si>
    <t>2024-10-01</t>
  </si>
  <si>
    <t>PRD2554</t>
  </si>
  <si>
    <t>ORD000113</t>
  </si>
  <si>
    <t>CUST2675</t>
  </si>
  <si>
    <t>Vikram Kumar</t>
  </si>
  <si>
    <t>vikram581@email.com</t>
  </si>
  <si>
    <t>2024-11-18</t>
  </si>
  <si>
    <t>2024-11-19</t>
  </si>
  <si>
    <t>2024-11-22</t>
  </si>
  <si>
    <t>PRD1551</t>
  </si>
  <si>
    <t>Creatine Monohydrate</t>
  </si>
  <si>
    <t>ORD000114</t>
  </si>
  <si>
    <t>CUST2301</t>
  </si>
  <si>
    <t>Anita Verma</t>
  </si>
  <si>
    <t>anita32@email.com</t>
  </si>
  <si>
    <t>2023-03-31</t>
  </si>
  <si>
    <t>2023-04-02</t>
  </si>
  <si>
    <t>2023-04-06</t>
  </si>
  <si>
    <t>PRD3946</t>
  </si>
  <si>
    <t>ORD000115</t>
  </si>
  <si>
    <t>CUST7796</t>
  </si>
  <si>
    <t>vikram975@email.com</t>
  </si>
  <si>
    <t>2022-05-18</t>
  </si>
  <si>
    <t>2022-05-25</t>
  </si>
  <si>
    <t>PRD4284</t>
  </si>
  <si>
    <t>ORD000116</t>
  </si>
  <si>
    <t>CUST3814</t>
  </si>
  <si>
    <t>Manish Iyer</t>
  </si>
  <si>
    <t>manish424@email.com</t>
  </si>
  <si>
    <t>2022-04-01</t>
  </si>
  <si>
    <t>2022-04-02</t>
  </si>
  <si>
    <t>2022-04-10</t>
  </si>
  <si>
    <t>Bengaluru</t>
  </si>
  <si>
    <t>PRD1314</t>
  </si>
  <si>
    <t>ORD000117</t>
  </si>
  <si>
    <t>CUST6593</t>
  </si>
  <si>
    <t>Vikram Singh</t>
  </si>
  <si>
    <t>vikram556@email.com</t>
  </si>
  <si>
    <t>2024-05-23</t>
  </si>
  <si>
    <t>2024-05-25</t>
  </si>
  <si>
    <t>Madurai</t>
  </si>
  <si>
    <t>PRD4418</t>
  </si>
  <si>
    <t>ORD000118</t>
  </si>
  <si>
    <t>CUST8895</t>
  </si>
  <si>
    <t>Kavya Kumar</t>
  </si>
  <si>
    <t>kavya416@email.com</t>
  </si>
  <si>
    <t>2022-08-26</t>
  </si>
  <si>
    <t>PRD4272</t>
  </si>
  <si>
    <t>ORD000119</t>
  </si>
  <si>
    <t>CUST6072</t>
  </si>
  <si>
    <t>Deepak Patel</t>
  </si>
  <si>
    <t>deepak411@email.com</t>
  </si>
  <si>
    <t>2024-02-11</t>
  </si>
  <si>
    <t>PRD4101</t>
  </si>
  <si>
    <t>ORD000120</t>
  </si>
  <si>
    <t>CUST2591</t>
  </si>
  <si>
    <t>Suresh Singh</t>
  </si>
  <si>
    <t>suresh392@email.com</t>
  </si>
  <si>
    <t>2024-11-27</t>
  </si>
  <si>
    <t>2024-11-28</t>
  </si>
  <si>
    <t>2024-12-03</t>
  </si>
  <si>
    <t>PRD2511</t>
  </si>
  <si>
    <t>ORD000121</t>
  </si>
  <si>
    <t>CUST3251</t>
  </si>
  <si>
    <t>vikram640@email.com</t>
  </si>
  <si>
    <t>2024-02-21</t>
  </si>
  <si>
    <t>2024-02-23</t>
  </si>
  <si>
    <t>2024-02-25</t>
  </si>
  <si>
    <t>PRD4136</t>
  </si>
  <si>
    <t>ORD000122</t>
  </si>
  <si>
    <t>CUST9353</t>
  </si>
  <si>
    <t>rohit259@email.com</t>
  </si>
  <si>
    <t>2024-11-17</t>
  </si>
  <si>
    <t>PRD1176</t>
  </si>
  <si>
    <t>ORD000123</t>
  </si>
  <si>
    <t>CUST9763</t>
  </si>
  <si>
    <t>arjun80@email.com</t>
  </si>
  <si>
    <t>2024-06-30</t>
  </si>
  <si>
    <t>2024-07-02</t>
  </si>
  <si>
    <t>2024-07-09</t>
  </si>
  <si>
    <t>PRD1900</t>
  </si>
  <si>
    <t>Coding Python</t>
  </si>
  <si>
    <t>ORD000124</t>
  </si>
  <si>
    <t>CUST1479</t>
  </si>
  <si>
    <t>priya816@email.com</t>
  </si>
  <si>
    <t>2023-10-03</t>
  </si>
  <si>
    <t>2023-10-05</t>
  </si>
  <si>
    <t>PRD2771</t>
  </si>
  <si>
    <t>ORD000125</t>
  </si>
  <si>
    <t>CUST9674</t>
  </si>
  <si>
    <t>Meena Nair</t>
  </si>
  <si>
    <t>meena641@email.com</t>
  </si>
  <si>
    <t>2023-05-28</t>
  </si>
  <si>
    <t>2023-05-29</t>
  </si>
  <si>
    <t>2023-06-04</t>
  </si>
  <si>
    <t>PRD4772</t>
  </si>
  <si>
    <t>ORD000126</t>
  </si>
  <si>
    <t>CUST3474</t>
  </si>
  <si>
    <t>arjun114@email.com</t>
  </si>
  <si>
    <t>2023-04-24</t>
  </si>
  <si>
    <t>2023-04-30</t>
  </si>
  <si>
    <t>PRD1648</t>
  </si>
  <si>
    <t>ORD000127</t>
  </si>
  <si>
    <t>CUST5384</t>
  </si>
  <si>
    <t>rahul828@email.com</t>
  </si>
  <si>
    <t>2022-04-22</t>
  </si>
  <si>
    <t>2022-04-25</t>
  </si>
  <si>
    <t>2022-05-02</t>
  </si>
  <si>
    <t>PRD3818</t>
  </si>
  <si>
    <t>ORD000128</t>
  </si>
  <si>
    <t>CUST9042</t>
  </si>
  <si>
    <t>Amit Reddy</t>
  </si>
  <si>
    <t>amit844@email.com</t>
  </si>
  <si>
    <t>2022-07-19</t>
  </si>
  <si>
    <t>2022-07-21</t>
  </si>
  <si>
    <t>PRD4244</t>
  </si>
  <si>
    <t>ORD000129</t>
  </si>
  <si>
    <t>CUST7772</t>
  </si>
  <si>
    <t>Sunita Sharma</t>
  </si>
  <si>
    <t>sunita156@email.com</t>
  </si>
  <si>
    <t>2023-12-25</t>
  </si>
  <si>
    <t>2023-12-27</t>
  </si>
  <si>
    <t>PRD4587</t>
  </si>
  <si>
    <t>ORD000130</t>
  </si>
  <si>
    <t>CUST1753</t>
  </si>
  <si>
    <t>Priya Singh</t>
  </si>
  <si>
    <t>priya825@email.com</t>
  </si>
  <si>
    <t>2023-01-21</t>
  </si>
  <si>
    <t>PRD2586</t>
  </si>
  <si>
    <t>ORD000131</t>
  </si>
  <si>
    <t>CUST1073</t>
  </si>
  <si>
    <t>suresh448@email.com</t>
  </si>
  <si>
    <t>2022-07-24</t>
  </si>
  <si>
    <t>PRD2321</t>
  </si>
  <si>
    <t>ORD000132</t>
  </si>
  <si>
    <t>CUST7288</t>
  </si>
  <si>
    <t>Divya Gupta</t>
  </si>
  <si>
    <t>divya283@email.com</t>
  </si>
  <si>
    <t>2023-10-04</t>
  </si>
  <si>
    <t>PRD2926</t>
  </si>
  <si>
    <t>ORD000133</t>
  </si>
  <si>
    <t>CUST7970</t>
  </si>
  <si>
    <t>Arjun Patel</t>
  </si>
  <si>
    <t>arjun270@email.com</t>
  </si>
  <si>
    <t>2024-08-20</t>
  </si>
  <si>
    <t>2024-08-21</t>
  </si>
  <si>
    <t>PRD1465</t>
  </si>
  <si>
    <t>UPSC Preparation</t>
  </si>
  <si>
    <t>ORD000134</t>
  </si>
  <si>
    <t>CUST9364</t>
  </si>
  <si>
    <t>arjun169@email.com</t>
  </si>
  <si>
    <t>2024-11-07</t>
  </si>
  <si>
    <t>PRD4211</t>
  </si>
  <si>
    <t>ORD000135</t>
  </si>
  <si>
    <t>CUST8171</t>
  </si>
  <si>
    <t>Meena Sharma</t>
  </si>
  <si>
    <t>2024-01-28</t>
  </si>
  <si>
    <t>2024-01-29</t>
  </si>
  <si>
    <t>2024-01-31</t>
  </si>
  <si>
    <t>PRD3754</t>
  </si>
  <si>
    <t>ORD000136</t>
  </si>
  <si>
    <t>CUST1361</t>
  </si>
  <si>
    <t>manish992@email.com</t>
  </si>
  <si>
    <t>2023-07-02</t>
  </si>
  <si>
    <t>2023-07-03</t>
  </si>
  <si>
    <t>2023-07-09</t>
  </si>
  <si>
    <t>PRD3017</t>
  </si>
  <si>
    <t>ORD000137</t>
  </si>
  <si>
    <t>CUST5345</t>
  </si>
  <si>
    <t>sunita459@email.com</t>
  </si>
  <si>
    <t>2024-08-26</t>
  </si>
  <si>
    <t>2024-08-28</t>
  </si>
  <si>
    <t>2024-09-04</t>
  </si>
  <si>
    <t>PRD3092</t>
  </si>
  <si>
    <t>ORD000138</t>
  </si>
  <si>
    <t>CUST3016</t>
  </si>
  <si>
    <t>Amit Singh</t>
  </si>
  <si>
    <t>amit209@email.com</t>
  </si>
  <si>
    <t>2024-04-25</t>
  </si>
  <si>
    <t>2024-04-26</t>
  </si>
  <si>
    <t>2024-05-01</t>
  </si>
  <si>
    <t>PRD1840</t>
  </si>
  <si>
    <t>Ethnic Sandals</t>
  </si>
  <si>
    <t>ORD000139</t>
  </si>
  <si>
    <t>CUST6017</t>
  </si>
  <si>
    <t>Aditya Sharma</t>
  </si>
  <si>
    <t>aditya923@email.com</t>
  </si>
  <si>
    <t>2023-01-24</t>
  </si>
  <si>
    <t>2023-01-26</t>
  </si>
  <si>
    <t>PRD3838</t>
  </si>
  <si>
    <t>ORD000140</t>
  </si>
  <si>
    <t>CUST4739</t>
  </si>
  <si>
    <t>Nisha Gupta</t>
  </si>
  <si>
    <t>nisha246@email.com</t>
  </si>
  <si>
    <t>2023-04-27</t>
  </si>
  <si>
    <t>PRD1527</t>
  </si>
  <si>
    <t>ORD000141</t>
  </si>
  <si>
    <t>CUST5235</t>
  </si>
  <si>
    <t>amit6@email.com</t>
  </si>
  <si>
    <t>2024-03-02</t>
  </si>
  <si>
    <t>2024-03-03</t>
  </si>
  <si>
    <t>2024-03-11</t>
  </si>
  <si>
    <t>PRD4187</t>
  </si>
  <si>
    <t>ORD000142</t>
  </si>
  <si>
    <t>CUST7989</t>
  </si>
  <si>
    <t>Rekha Iyer</t>
  </si>
  <si>
    <t>rekha208@email.com</t>
  </si>
  <si>
    <t>2022-03-29</t>
  </si>
  <si>
    <t>2022-04-04</t>
  </si>
  <si>
    <t>PRD3062</t>
  </si>
  <si>
    <t>ORD000143</t>
  </si>
  <si>
    <t>CUST8604</t>
  </si>
  <si>
    <t>Swati Patel</t>
  </si>
  <si>
    <t>swati512@email.com</t>
  </si>
  <si>
    <t>2024-07-31</t>
  </si>
  <si>
    <t>2024-08-01</t>
  </si>
  <si>
    <t>2024-08-03</t>
  </si>
  <si>
    <t>PRD3584</t>
  </si>
  <si>
    <t>ORD000144</t>
  </si>
  <si>
    <t>CUST2114</t>
  </si>
  <si>
    <t>Rohit Mehta</t>
  </si>
  <si>
    <t>rohit901@email.com</t>
  </si>
  <si>
    <t>2024-04-27</t>
  </si>
  <si>
    <t>2024-04-28</t>
  </si>
  <si>
    <t>2024-05-03</t>
  </si>
  <si>
    <t>PRD3230</t>
  </si>
  <si>
    <t>ORD000145</t>
  </si>
  <si>
    <t>CUST9250</t>
  </si>
  <si>
    <t>deepak952@email.com</t>
  </si>
  <si>
    <t>PRD2729</t>
  </si>
  <si>
    <t>ORD000146</t>
  </si>
  <si>
    <t>CUST1071</t>
  </si>
  <si>
    <t>Aditya Singh</t>
  </si>
  <si>
    <t>aditya633@email.com</t>
  </si>
  <si>
    <t>2022-01-18</t>
  </si>
  <si>
    <t>2022-01-19</t>
  </si>
  <si>
    <t>2022-01-21</t>
  </si>
  <si>
    <t>PRD4625</t>
  </si>
  <si>
    <t>ORD000147</t>
  </si>
  <si>
    <t>CUST3994</t>
  </si>
  <si>
    <t>sunita103@email.com</t>
  </si>
  <si>
    <t>2024-02-20</t>
  </si>
  <si>
    <t>PRD1287</t>
  </si>
  <si>
    <t>ORD000148</t>
  </si>
  <si>
    <t>CUST9585</t>
  </si>
  <si>
    <t>Arjun Verma</t>
  </si>
  <si>
    <t>arjun178@email.com</t>
  </si>
  <si>
    <t>2023-04-01</t>
  </si>
  <si>
    <t>2023-04-04</t>
  </si>
  <si>
    <t>PRD3891</t>
  </si>
  <si>
    <t>ORD000149</t>
  </si>
  <si>
    <t>CUST2275</t>
  </si>
  <si>
    <t>Meena Verma</t>
  </si>
  <si>
    <t>meena291@email.com</t>
  </si>
  <si>
    <t>2024-09-26</t>
  </si>
  <si>
    <t>PRD4985</t>
  </si>
  <si>
    <t>ORD000150</t>
  </si>
  <si>
    <t>CUST8824</t>
  </si>
  <si>
    <t>rahul419@email.com</t>
  </si>
  <si>
    <t>2022-08-24</t>
  </si>
  <si>
    <t>PRD1552</t>
  </si>
  <si>
    <t>ORD000151</t>
  </si>
  <si>
    <t>CUST6187</t>
  </si>
  <si>
    <t>Pooja Mehta</t>
  </si>
  <si>
    <t>pooja863@email.com</t>
  </si>
  <si>
    <t>2024-04-12</t>
  </si>
  <si>
    <t>2024-04-14</t>
  </si>
  <si>
    <t>PRD2404</t>
  </si>
  <si>
    <t>ORD000152</t>
  </si>
  <si>
    <t>CUST5445</t>
  </si>
  <si>
    <t>Amit Nair</t>
  </si>
  <si>
    <t>amit45@email.com</t>
  </si>
  <si>
    <t>2023-01-01</t>
  </si>
  <si>
    <t>2023-01-04</t>
  </si>
  <si>
    <t>2023-01-10</t>
  </si>
  <si>
    <t>PRD3728</t>
  </si>
  <si>
    <t>ORD000153</t>
  </si>
  <si>
    <t>CUST7394</t>
  </si>
  <si>
    <t>swati142@email.com</t>
  </si>
  <si>
    <t>2024-12-12</t>
  </si>
  <si>
    <t>2024-12-13</t>
  </si>
  <si>
    <t>2024-12-16</t>
  </si>
  <si>
    <t>PRD2466</t>
  </si>
  <si>
    <t>ORD000154</t>
  </si>
  <si>
    <t>CUST2297</t>
  </si>
  <si>
    <t>Manish Verma</t>
  </si>
  <si>
    <t>manish723@email.com</t>
  </si>
  <si>
    <t>2024-02-03</t>
  </si>
  <si>
    <t>2024-02-05</t>
  </si>
  <si>
    <t>2024-02-09</t>
  </si>
  <si>
    <t>PRD4409</t>
  </si>
  <si>
    <t>Formal Shoes</t>
  </si>
  <si>
    <t>ORD000155</t>
  </si>
  <si>
    <t>CUST5665</t>
  </si>
  <si>
    <t>Nisha Nair</t>
  </si>
  <si>
    <t>nisha620@email.com</t>
  </si>
  <si>
    <t>2024-04-24</t>
  </si>
  <si>
    <t>2024-05-04</t>
  </si>
  <si>
    <t>PRD3320</t>
  </si>
  <si>
    <t>ORD000156</t>
  </si>
  <si>
    <t>CUST7555</t>
  </si>
  <si>
    <t>pooja134@email.com</t>
  </si>
  <si>
    <t>2023-11-27</t>
  </si>
  <si>
    <t>2023-11-29</t>
  </si>
  <si>
    <t>2023-12-06</t>
  </si>
  <si>
    <t>New Delhi</t>
  </si>
  <si>
    <t>PRD3978</t>
  </si>
  <si>
    <t>ORD000157</t>
  </si>
  <si>
    <t>CUST7744</t>
  </si>
  <si>
    <t>Rohit Sharma</t>
  </si>
  <si>
    <t>rohit407@email.com</t>
  </si>
  <si>
    <t>2022-04-26</t>
  </si>
  <si>
    <t>2022-04-28</t>
  </si>
  <si>
    <t>2022-05-06</t>
  </si>
  <si>
    <t>PRD4362</t>
  </si>
  <si>
    <t>ORD000158</t>
  </si>
  <si>
    <t>CUST1549</t>
  </si>
  <si>
    <t>arjun974@email.com</t>
  </si>
  <si>
    <t>2022-08-30</t>
  </si>
  <si>
    <t>2022-09-03</t>
  </si>
  <si>
    <t>PRD2667</t>
  </si>
  <si>
    <t>ORD000159</t>
  </si>
  <si>
    <t>CUST9177</t>
  </si>
  <si>
    <t>Priya Verma</t>
  </si>
  <si>
    <t>priya911@email.com</t>
  </si>
  <si>
    <t>2022-10-15</t>
  </si>
  <si>
    <t>2022-10-17</t>
  </si>
  <si>
    <t>PRD3752</t>
  </si>
  <si>
    <t>ORD000160</t>
  </si>
  <si>
    <t>CUST4068</t>
  </si>
  <si>
    <t>Pooja Reddy</t>
  </si>
  <si>
    <t>pooja61@email.com</t>
  </si>
  <si>
    <t>2024-10-23</t>
  </si>
  <si>
    <t>PRD3964</t>
  </si>
  <si>
    <t>ORD000161</t>
  </si>
  <si>
    <t>CUST5706</t>
  </si>
  <si>
    <t>deepak233@email.com</t>
  </si>
  <si>
    <t>2023-05-26</t>
  </si>
  <si>
    <t>PRD4177</t>
  </si>
  <si>
    <t>Football</t>
  </si>
  <si>
    <t>ORD000162</t>
  </si>
  <si>
    <t>CUST5289</t>
  </si>
  <si>
    <t>pooja652@email.com</t>
  </si>
  <si>
    <t>2023-08-02</t>
  </si>
  <si>
    <t>2023-08-05</t>
  </si>
  <si>
    <t>ORD000163</t>
  </si>
  <si>
    <t>CUST9320</t>
  </si>
  <si>
    <t>manish170@email.com</t>
  </si>
  <si>
    <t>2022-06-02</t>
  </si>
  <si>
    <t>2022-06-03</t>
  </si>
  <si>
    <t>2022-06-05</t>
  </si>
  <si>
    <t>PRD1270</t>
  </si>
  <si>
    <t>ORD000164</t>
  </si>
  <si>
    <t>CUST2451</t>
  </si>
  <si>
    <t>Anita Gupta</t>
  </si>
  <si>
    <t>anita371@email.com</t>
  </si>
  <si>
    <t>2023-01-06</t>
  </si>
  <si>
    <t>PRD1936</t>
  </si>
  <si>
    <t>ORD000165</t>
  </si>
  <si>
    <t>CUST4921</t>
  </si>
  <si>
    <t>aditya606@email.com</t>
  </si>
  <si>
    <t>2024-08-15</t>
  </si>
  <si>
    <t>PRD3499</t>
  </si>
  <si>
    <t>ORD000166</t>
  </si>
  <si>
    <t>CUST6055</t>
  </si>
  <si>
    <t>vikram653@email.com</t>
  </si>
  <si>
    <t>2022-09-10</t>
  </si>
  <si>
    <t>2022-09-17</t>
  </si>
  <si>
    <t>PRD1387</t>
  </si>
  <si>
    <t>ORD000167</t>
  </si>
  <si>
    <t>CUST1327</t>
  </si>
  <si>
    <t>arjun654@email.com</t>
  </si>
  <si>
    <t>2022-04-17</t>
  </si>
  <si>
    <t>2022-04-19</t>
  </si>
  <si>
    <t>2022-04-21</t>
  </si>
  <si>
    <t>PRD4820</t>
  </si>
  <si>
    <t>ORD000168</t>
  </si>
  <si>
    <t>CUST1861</t>
  </si>
  <si>
    <t>Pooja Iyer</t>
  </si>
  <si>
    <t>pooja262@email.com</t>
  </si>
  <si>
    <t>2022-09-26</t>
  </si>
  <si>
    <t>Ahmedabad</t>
  </si>
  <si>
    <t>PRD1164</t>
  </si>
  <si>
    <t>ORD000169</t>
  </si>
  <si>
    <t>CUST5540</t>
  </si>
  <si>
    <t>Rekha Singh</t>
  </si>
  <si>
    <t>rekha275@email.com</t>
  </si>
  <si>
    <t>2024-06-10</t>
  </si>
  <si>
    <t>2024-06-15</t>
  </si>
  <si>
    <t>PRD4548</t>
  </si>
  <si>
    <t>ORD000170</t>
  </si>
  <si>
    <t>CUST6138</t>
  </si>
  <si>
    <t>Priya Iyer</t>
  </si>
  <si>
    <t>priya170@email.com</t>
  </si>
  <si>
    <t>2022-02-06</t>
  </si>
  <si>
    <t>2022-02-07</t>
  </si>
  <si>
    <t>2022-02-12</t>
  </si>
  <si>
    <t>PRD4803</t>
  </si>
  <si>
    <t>ORD000171</t>
  </si>
  <si>
    <t>CUST6398</t>
  </si>
  <si>
    <t>aditya919@email.com</t>
  </si>
  <si>
    <t>2024-07-05</t>
  </si>
  <si>
    <t>2024-07-13</t>
  </si>
  <si>
    <t>PRD4603</t>
  </si>
  <si>
    <t>ORD000172</t>
  </si>
  <si>
    <t>CUST8603</t>
  </si>
  <si>
    <t>nisha58@email.com</t>
  </si>
  <si>
    <t>PRD2437</t>
  </si>
  <si>
    <t>ORD000173</t>
  </si>
  <si>
    <t>CUST3748</t>
  </si>
  <si>
    <t>Meena Iyer</t>
  </si>
  <si>
    <t>meena726@email.com</t>
  </si>
  <si>
    <t>2024-10-12</t>
  </si>
  <si>
    <t>PRD2175</t>
  </si>
  <si>
    <t>ORD000174</t>
  </si>
  <si>
    <t>CUST1430</t>
  </si>
  <si>
    <t>pooja456@email.com</t>
  </si>
  <si>
    <t>2022-12-01</t>
  </si>
  <si>
    <t>2022-12-04</t>
  </si>
  <si>
    <t>2022-12-08</t>
  </si>
  <si>
    <t>PRD2827</t>
  </si>
  <si>
    <t>ORD000175</t>
  </si>
  <si>
    <t>CUST5304</t>
  </si>
  <si>
    <t>Sunita Patel</t>
  </si>
  <si>
    <t>sunita686@email.com</t>
  </si>
  <si>
    <t>2023-10-09</t>
  </si>
  <si>
    <t>PRD3264</t>
  </si>
  <si>
    <t>ORD000176</t>
  </si>
  <si>
    <t>CUST3556</t>
  </si>
  <si>
    <t>priya358@email.com</t>
  </si>
  <si>
    <t>PRD3647</t>
  </si>
  <si>
    <t>ORD000177</t>
  </si>
  <si>
    <t>CUST7687</t>
  </si>
  <si>
    <t>vikram826@email.com</t>
  </si>
  <si>
    <t>PRD3982</t>
  </si>
  <si>
    <t>ORD000178</t>
  </si>
  <si>
    <t>CUST7869</t>
  </si>
  <si>
    <t>manish865@email.com</t>
  </si>
  <si>
    <t>2024-03-14</t>
  </si>
  <si>
    <t>2024-03-21</t>
  </si>
  <si>
    <t>PRD2485</t>
  </si>
  <si>
    <t>ORD000179</t>
  </si>
  <si>
    <t>CUST1893</t>
  </si>
  <si>
    <t>Amit Verma</t>
  </si>
  <si>
    <t>amit627@email.com</t>
  </si>
  <si>
    <t>2024-11-30</t>
  </si>
  <si>
    <t>2024-12-02</t>
  </si>
  <si>
    <t>2024-12-08</t>
  </si>
  <si>
    <t>PRD4650</t>
  </si>
  <si>
    <t>ORD000180</t>
  </si>
  <si>
    <t>CUST4339</t>
  </si>
  <si>
    <t>Arjun Reddy</t>
  </si>
  <si>
    <t>arjun795@email.com</t>
  </si>
  <si>
    <t>2023-11-16</t>
  </si>
  <si>
    <t>2023-11-17</t>
  </si>
  <si>
    <t>2023-11-25</t>
  </si>
  <si>
    <t>PRD1675</t>
  </si>
  <si>
    <t>ORD000181</t>
  </si>
  <si>
    <t>CUST7509</t>
  </si>
  <si>
    <t>kavya619@email.com</t>
  </si>
  <si>
    <t>2023-12-23</t>
  </si>
  <si>
    <t>PRD1902</t>
  </si>
  <si>
    <t>ORD000182</t>
  </si>
  <si>
    <t>CUST7756</t>
  </si>
  <si>
    <t>Divya Iyer</t>
  </si>
  <si>
    <t>divya454@email.com</t>
  </si>
  <si>
    <t>2024-08-27</t>
  </si>
  <si>
    <t>PRD3325</t>
  </si>
  <si>
    <t>ORD000183</t>
  </si>
  <si>
    <t>CUST8685</t>
  </si>
  <si>
    <t>rekha464@email.com</t>
  </si>
  <si>
    <t>2023-03-25</t>
  </si>
  <si>
    <t>2023-03-26</t>
  </si>
  <si>
    <t>PRD2048</t>
  </si>
  <si>
    <t>ORD000184</t>
  </si>
  <si>
    <t>CUST8213</t>
  </si>
  <si>
    <t>Rahul Iyer</t>
  </si>
  <si>
    <t>rahul67@email.com</t>
  </si>
  <si>
    <t>2023-06-07</t>
  </si>
  <si>
    <t>2023-06-10</t>
  </si>
  <si>
    <t>PRD2054</t>
  </si>
  <si>
    <t>ORD000185</t>
  </si>
  <si>
    <t>CUST1291</t>
  </si>
  <si>
    <t>rekha549@email.com</t>
  </si>
  <si>
    <t>2022-06-29</t>
  </si>
  <si>
    <t>2022-06-30</t>
  </si>
  <si>
    <t>PRD4712</t>
  </si>
  <si>
    <t>ORD000186</t>
  </si>
  <si>
    <t>CUST7689</t>
  </si>
  <si>
    <t>aditya655@email.com</t>
  </si>
  <si>
    <t>2023-07-25</t>
  </si>
  <si>
    <t>2023-07-28</t>
  </si>
  <si>
    <t>2023-08-04</t>
  </si>
  <si>
    <t>PRD2921</t>
  </si>
  <si>
    <t>Pendant Lamp</t>
  </si>
  <si>
    <t>ORD000187</t>
  </si>
  <si>
    <t>CUST6001</t>
  </si>
  <si>
    <t>manish289@email.com</t>
  </si>
  <si>
    <t>2022-02-17</t>
  </si>
  <si>
    <t>2022-02-18</t>
  </si>
  <si>
    <t>2022-02-22</t>
  </si>
  <si>
    <t>ORD000188</t>
  </si>
  <si>
    <t>CUST8110</t>
  </si>
  <si>
    <t>Divya Patel</t>
  </si>
  <si>
    <t>divya809@email.com</t>
  </si>
  <si>
    <t>2022-07-10</t>
  </si>
  <si>
    <t>2022-07-13</t>
  </si>
  <si>
    <t>2022-07-20</t>
  </si>
  <si>
    <t>PRD1086</t>
  </si>
  <si>
    <t>ORD000189</t>
  </si>
  <si>
    <t>CUST5559</t>
  </si>
  <si>
    <t>meena168@email.com</t>
  </si>
  <si>
    <t>2024-05-26</t>
  </si>
  <si>
    <t>2024-05-31</t>
  </si>
  <si>
    <t>PRD2676</t>
  </si>
  <si>
    <t>ORD000190</t>
  </si>
  <si>
    <t>CUST8932</t>
  </si>
  <si>
    <t>nisha181@email.com</t>
  </si>
  <si>
    <t>PRD1027</t>
  </si>
  <si>
    <t>ORD000191</t>
  </si>
  <si>
    <t>CUST5324</t>
  </si>
  <si>
    <t>manish661@email.com</t>
  </si>
  <si>
    <t>2024-06-11</t>
  </si>
  <si>
    <t>PRD3498</t>
  </si>
  <si>
    <t>ORD000192</t>
  </si>
  <si>
    <t>CUST8967</t>
  </si>
  <si>
    <t>amit715@email.com</t>
  </si>
  <si>
    <t>2023-04-21</t>
  </si>
  <si>
    <t>2023-04-26</t>
  </si>
  <si>
    <t>PRD1224</t>
  </si>
  <si>
    <t>ORD000193</t>
  </si>
  <si>
    <t>CUST9562</t>
  </si>
  <si>
    <t>rohit649@email.com</t>
  </si>
  <si>
    <t>PRD1480</t>
  </si>
  <si>
    <t>ORD000194</t>
  </si>
  <si>
    <t>CUST3573</t>
  </si>
  <si>
    <t>anita928@email.com</t>
  </si>
  <si>
    <t>2023-03-08</t>
  </si>
  <si>
    <t>2023-03-11</t>
  </si>
  <si>
    <t>2023-03-17</t>
  </si>
  <si>
    <t>PRD2927</t>
  </si>
  <si>
    <t>ORD000195</t>
  </si>
  <si>
    <t>CUST6725</t>
  </si>
  <si>
    <t>suresh817@email.com</t>
  </si>
  <si>
    <t>2023-03-28</t>
  </si>
  <si>
    <t>2023-03-29</t>
  </si>
  <si>
    <t>PRD4242</t>
  </si>
  <si>
    <t>ORD000196</t>
  </si>
  <si>
    <t>CUST9495</t>
  </si>
  <si>
    <t>Rahul Singh</t>
  </si>
  <si>
    <t>rahul175@email.com</t>
  </si>
  <si>
    <t>2023-06-15</t>
  </si>
  <si>
    <t>2023-06-22</t>
  </si>
  <si>
    <t>PRD1170</t>
  </si>
  <si>
    <t>ORD000197</t>
  </si>
  <si>
    <t>CUST4564</t>
  </si>
  <si>
    <t>Anita Mehta</t>
  </si>
  <si>
    <t>anita390@email.com</t>
  </si>
  <si>
    <t>2024-07-14</t>
  </si>
  <si>
    <t>2024-07-15</t>
  </si>
  <si>
    <t>2024-07-23</t>
  </si>
  <si>
    <t>PRD3144</t>
  </si>
  <si>
    <t>Western Dress</t>
  </si>
  <si>
    <t>ORD000198</t>
  </si>
  <si>
    <t>CUST8360</t>
  </si>
  <si>
    <t>Aditya Patel</t>
  </si>
  <si>
    <t>aditya766@email.com</t>
  </si>
  <si>
    <t>2024-08-02</t>
  </si>
  <si>
    <t>2024-08-10</t>
  </si>
  <si>
    <t>PRD4176</t>
  </si>
  <si>
    <t>Printed Saree</t>
  </si>
  <si>
    <t>ORD000199</t>
  </si>
  <si>
    <t>CUST9800</t>
  </si>
  <si>
    <t>meena484@email.com</t>
  </si>
  <si>
    <t>2024-05-13</t>
  </si>
  <si>
    <t>2024-05-14</t>
  </si>
  <si>
    <t>2024-05-21</t>
  </si>
  <si>
    <t>PRD3150</t>
  </si>
  <si>
    <t>ORD000200</t>
  </si>
  <si>
    <t>CUST5420</t>
  </si>
  <si>
    <t>aditya826@email.com</t>
  </si>
  <si>
    <t>2024-03-10</t>
  </si>
  <si>
    <t>PRD2360</t>
  </si>
  <si>
    <t>ORD000201</t>
  </si>
  <si>
    <t>CUST7334</t>
  </si>
  <si>
    <t>nisha125@email.com</t>
  </si>
  <si>
    <t>PRD3120</t>
  </si>
  <si>
    <t>ORD000202</t>
  </si>
  <si>
    <t>CUST9498</t>
  </si>
  <si>
    <t>Rekha Verma</t>
  </si>
  <si>
    <t>rekha738@email.com</t>
  </si>
  <si>
    <t>2023-11-28</t>
  </si>
  <si>
    <t>2023-12-01</t>
  </si>
  <si>
    <t>PRD3524</t>
  </si>
  <si>
    <t>ORD000203</t>
  </si>
  <si>
    <t>CUST6456</t>
  </si>
  <si>
    <t>Anita Nair</t>
  </si>
  <si>
    <t>anita667@email.com</t>
  </si>
  <si>
    <t>2022-04-29</t>
  </si>
  <si>
    <t>2022-05-04</t>
  </si>
  <si>
    <t>PRD4739</t>
  </si>
  <si>
    <t>ORD000204</t>
  </si>
  <si>
    <t>CUST1508</t>
  </si>
  <si>
    <t>Rekha Nair</t>
  </si>
  <si>
    <t>rekha538@email.com</t>
  </si>
  <si>
    <t>2022-01-04</t>
  </si>
  <si>
    <t>2022-01-13</t>
  </si>
  <si>
    <t>PRD1375</t>
  </si>
  <si>
    <t>ORD000205</t>
  </si>
  <si>
    <t>CUST5456</t>
  </si>
  <si>
    <t>rekha215@email.com</t>
  </si>
  <si>
    <t>2022-03-02</t>
  </si>
  <si>
    <t>2022-03-05</t>
  </si>
  <si>
    <t>2022-03-12</t>
  </si>
  <si>
    <t>PRD1550</t>
  </si>
  <si>
    <t>ORD000206</t>
  </si>
  <si>
    <t>CUST9396</t>
  </si>
  <si>
    <t>rahul914@email.com</t>
  </si>
  <si>
    <t>2022-05-29</t>
  </si>
  <si>
    <t>2022-06-01</t>
  </si>
  <si>
    <t>2022-06-07</t>
  </si>
  <si>
    <t>PRD3860</t>
  </si>
  <si>
    <t>ORD000207</t>
  </si>
  <si>
    <t>CUST8741</t>
  </si>
  <si>
    <t>Vikram Mehta</t>
  </si>
  <si>
    <t>vikram286@email.com</t>
  </si>
  <si>
    <t>2022-09-06</t>
  </si>
  <si>
    <t>2022-09-09</t>
  </si>
  <si>
    <t>PRD1680</t>
  </si>
  <si>
    <t>ORD000208</t>
  </si>
  <si>
    <t>pooja806@email.com</t>
  </si>
  <si>
    <t>PRD2263</t>
  </si>
  <si>
    <t>ORD000209</t>
  </si>
  <si>
    <t>CUST8430</t>
  </si>
  <si>
    <t>Sunita Reddy</t>
  </si>
  <si>
    <t>sunita172@email.com</t>
  </si>
  <si>
    <t>2022-02-19</t>
  </si>
  <si>
    <t>2022-02-21</t>
  </si>
  <si>
    <t>2022-02-24</t>
  </si>
  <si>
    <t>PRD1366</t>
  </si>
  <si>
    <t>ORD000210</t>
  </si>
  <si>
    <t>CUST9900</t>
  </si>
  <si>
    <t>Rohit Patel</t>
  </si>
  <si>
    <t>rohit668@email.com</t>
  </si>
  <si>
    <t>ORD000211</t>
  </si>
  <si>
    <t>CUST9115</t>
  </si>
  <si>
    <t>sunita147@email.com</t>
  </si>
  <si>
    <t>2024-03-05</t>
  </si>
  <si>
    <t>2024-03-08</t>
  </si>
  <si>
    <t>PRD1641</t>
  </si>
  <si>
    <t>ORD000212</t>
  </si>
  <si>
    <t>CUST3163</t>
  </si>
  <si>
    <t>rohit334@email.com</t>
  </si>
  <si>
    <t>2024-01-13</t>
  </si>
  <si>
    <t>2024-01-14</t>
  </si>
  <si>
    <t>2024-01-16</t>
  </si>
  <si>
    <t>PRD1146</t>
  </si>
  <si>
    <t>ORD000213</t>
  </si>
  <si>
    <t>CUST1902</t>
  </si>
  <si>
    <t>Sunita Gupta</t>
  </si>
  <si>
    <t>sunita886@email.com</t>
  </si>
  <si>
    <t>2022-07-26</t>
  </si>
  <si>
    <t>2022-07-29</t>
  </si>
  <si>
    <t>PRD2201</t>
  </si>
  <si>
    <t>ORD000214</t>
  </si>
  <si>
    <t>CUST4286</t>
  </si>
  <si>
    <t>anita227@email.com</t>
  </si>
  <si>
    <t>2023-04-03</t>
  </si>
  <si>
    <t>PRD3408</t>
  </si>
  <si>
    <t>ORD000215</t>
  </si>
  <si>
    <t>sunita231@email.com</t>
  </si>
  <si>
    <t>2023-09-30</t>
  </si>
  <si>
    <t>2023-10-06</t>
  </si>
  <si>
    <t>PRD4147</t>
  </si>
  <si>
    <t>ORD000216</t>
  </si>
  <si>
    <t>CUST9557</t>
  </si>
  <si>
    <t>Anita Sharma</t>
  </si>
  <si>
    <t>anita561@email.com</t>
  </si>
  <si>
    <t>2022-02-13</t>
  </si>
  <si>
    <t>2022-02-14</t>
  </si>
  <si>
    <t>PRD2662</t>
  </si>
  <si>
    <t>ORD000217</t>
  </si>
  <si>
    <t>CUST7413</t>
  </si>
  <si>
    <t>deepak664@email.com</t>
  </si>
  <si>
    <t>2024-03-09</t>
  </si>
  <si>
    <t>2024-03-16</t>
  </si>
  <si>
    <t>PRD3711</t>
  </si>
  <si>
    <t>ORD000218</t>
  </si>
  <si>
    <t>CUST1489</t>
  </si>
  <si>
    <t>Swati Gupta</t>
  </si>
  <si>
    <t>swati849@email.com</t>
  </si>
  <si>
    <t>2022-01-22</t>
  </si>
  <si>
    <t>2022-01-24</t>
  </si>
  <si>
    <t>PRD2570</t>
  </si>
  <si>
    <t>ORD000219</t>
  </si>
  <si>
    <t>CUST4569</t>
  </si>
  <si>
    <t>Manish Reddy</t>
  </si>
  <si>
    <t>manish66@email.com</t>
  </si>
  <si>
    <t>PRD2488</t>
  </si>
  <si>
    <t>ORD000220</t>
  </si>
  <si>
    <t>CUST3215</t>
  </si>
  <si>
    <t>Kavya Singh</t>
  </si>
  <si>
    <t>kavya831@email.com</t>
  </si>
  <si>
    <t>2023-09-17</t>
  </si>
  <si>
    <t>PRD3817</t>
  </si>
  <si>
    <t>ORD000221</t>
  </si>
  <si>
    <t>CUST3471</t>
  </si>
  <si>
    <t>meena857@email.com</t>
  </si>
  <si>
    <t>2024-12-04</t>
  </si>
  <si>
    <t>2024-12-05</t>
  </si>
  <si>
    <t>2024-12-09</t>
  </si>
  <si>
    <t>PRD2713</t>
  </si>
  <si>
    <t>ORD000222</t>
  </si>
  <si>
    <t>CUST9945</t>
  </si>
  <si>
    <t>rohit29@email.com</t>
  </si>
  <si>
    <t>2022-06-14</t>
  </si>
  <si>
    <t>PRD2225</t>
  </si>
  <si>
    <t>ORD000223</t>
  </si>
  <si>
    <t>CUST7653</t>
  </si>
  <si>
    <t>aditya634@email.com</t>
  </si>
  <si>
    <t>2022-12-09</t>
  </si>
  <si>
    <t>PRD1107</t>
  </si>
  <si>
    <t>ORD000224</t>
  </si>
  <si>
    <t>CUST6421</t>
  </si>
  <si>
    <t>anita921@email.com</t>
  </si>
  <si>
    <t>2024-04-19</t>
  </si>
  <si>
    <t>PRD3273</t>
  </si>
  <si>
    <t>ORD000225</t>
  </si>
  <si>
    <t>CUST5110</t>
  </si>
  <si>
    <t>anita245@email.com</t>
  </si>
  <si>
    <t>2022-12-19</t>
  </si>
  <si>
    <t>PRD2320</t>
  </si>
  <si>
    <t>ORD000226</t>
  </si>
  <si>
    <t>CUST6551</t>
  </si>
  <si>
    <t>aditya200@email.com</t>
  </si>
  <si>
    <t>2024-12-19</t>
  </si>
  <si>
    <t>2024-12-20</t>
  </si>
  <si>
    <t>2024-12-28</t>
  </si>
  <si>
    <t>PRD4976</t>
  </si>
  <si>
    <t>ORD000227</t>
  </si>
  <si>
    <t>CUST3015</t>
  </si>
  <si>
    <t>Amit Sharma</t>
  </si>
  <si>
    <t>amit753@email.com</t>
  </si>
  <si>
    <t>2024-06-01</t>
  </si>
  <si>
    <t>2024-06-04</t>
  </si>
  <si>
    <t>PRD2345</t>
  </si>
  <si>
    <t>ORD000228</t>
  </si>
  <si>
    <t>suresh466@email.com</t>
  </si>
  <si>
    <t>PRD2928</t>
  </si>
  <si>
    <t>ORD000229</t>
  </si>
  <si>
    <t>CUST3742</t>
  </si>
  <si>
    <t>Rohit Gupta</t>
  </si>
  <si>
    <t>rohit987@email.com</t>
  </si>
  <si>
    <t>PRD4882</t>
  </si>
  <si>
    <t>ORD000230</t>
  </si>
  <si>
    <t>CUST9492</t>
  </si>
  <si>
    <t>Arjun Gupta</t>
  </si>
  <si>
    <t>arjun668@email.com</t>
  </si>
  <si>
    <t>2022-08-12</t>
  </si>
  <si>
    <t>2022-08-14</t>
  </si>
  <si>
    <t>PRD1615</t>
  </si>
  <si>
    <t>Resistance Bands</t>
  </si>
  <si>
    <t>ORD000231</t>
  </si>
  <si>
    <t>CUST4522</t>
  </si>
  <si>
    <t>meena474@email.com</t>
  </si>
  <si>
    <t>PRD3187</t>
  </si>
  <si>
    <t>ORD000232</t>
  </si>
  <si>
    <t>CUST5701</t>
  </si>
  <si>
    <t>Vikram Sharma</t>
  </si>
  <si>
    <t>vikram473@email.com</t>
  </si>
  <si>
    <t>2022-09-02</t>
  </si>
  <si>
    <t>2022-09-04</t>
  </si>
  <si>
    <t>ORD000233</t>
  </si>
  <si>
    <t>CUST2600</t>
  </si>
  <si>
    <t>aditya798@email.com</t>
  </si>
  <si>
    <t>2023-12-16</t>
  </si>
  <si>
    <t>2023-12-18</t>
  </si>
  <si>
    <t>2023-12-26</t>
  </si>
  <si>
    <t>PRD3096</t>
  </si>
  <si>
    <t>ORD000234</t>
  </si>
  <si>
    <t>CUST9308</t>
  </si>
  <si>
    <t>Swati Reddy</t>
  </si>
  <si>
    <t>swati754@email.com</t>
  </si>
  <si>
    <t>2023-07-05</t>
  </si>
  <si>
    <t>2023-07-11</t>
  </si>
  <si>
    <t>PRD2657</t>
  </si>
  <si>
    <t>ORD000235</t>
  </si>
  <si>
    <t>rohit801@email.com</t>
  </si>
  <si>
    <t>PRD2770</t>
  </si>
  <si>
    <t>ORD000236</t>
  </si>
  <si>
    <t>CUST3485</t>
  </si>
  <si>
    <t>aditya604@email.com</t>
  </si>
  <si>
    <t>2023-06-21</t>
  </si>
  <si>
    <t>2023-06-24</t>
  </si>
  <si>
    <t>2023-06-27</t>
  </si>
  <si>
    <t>PRD3130</t>
  </si>
  <si>
    <t>ORD000237</t>
  </si>
  <si>
    <t>CUST7670</t>
  </si>
  <si>
    <t>rohit569@email.com</t>
  </si>
  <si>
    <t>2022-06-17</t>
  </si>
  <si>
    <t>2022-06-21</t>
  </si>
  <si>
    <t>PRD1833</t>
  </si>
  <si>
    <t>ORD000238</t>
  </si>
  <si>
    <t>CUST7513</t>
  </si>
  <si>
    <t>rohit499@email.com</t>
  </si>
  <si>
    <t>2023-01-15</t>
  </si>
  <si>
    <t>PRD2671</t>
  </si>
  <si>
    <t>ORD000239</t>
  </si>
  <si>
    <t>CUST2162</t>
  </si>
  <si>
    <t>deepak4@email.com</t>
  </si>
  <si>
    <t>2023-09-27</t>
  </si>
  <si>
    <t>PRD3846</t>
  </si>
  <si>
    <t>ORD000240</t>
  </si>
  <si>
    <t>CUST3543</t>
  </si>
  <si>
    <t>nisha989@email.com</t>
  </si>
  <si>
    <t>2023-03-30</t>
  </si>
  <si>
    <t>2023-04-09</t>
  </si>
  <si>
    <t>PRD4224</t>
  </si>
  <si>
    <t>ORD000241</t>
  </si>
  <si>
    <t>CUST2624</t>
  </si>
  <si>
    <t>Manish Mehta</t>
  </si>
  <si>
    <t>manish881@email.com</t>
  </si>
  <si>
    <t>PRD2395</t>
  </si>
  <si>
    <t>ORD000242</t>
  </si>
  <si>
    <t>CUST1014</t>
  </si>
  <si>
    <t>Amit Mehta</t>
  </si>
  <si>
    <t>amit262@email.com</t>
  </si>
  <si>
    <t>2022-06-23</t>
  </si>
  <si>
    <t>2022-06-25</t>
  </si>
  <si>
    <t>2022-07-02</t>
  </si>
  <si>
    <t>Chennai</t>
  </si>
  <si>
    <t>PRD2792</t>
  </si>
  <si>
    <t>ORD000243</t>
  </si>
  <si>
    <t>CUST3128</t>
  </si>
  <si>
    <t>vikram817@email.com</t>
  </si>
  <si>
    <t>2023-03-23</t>
  </si>
  <si>
    <t>PRD2880</t>
  </si>
  <si>
    <t>ORD000244</t>
  </si>
  <si>
    <t>CUST5112</t>
  </si>
  <si>
    <t>Kavya Iyer</t>
  </si>
  <si>
    <t>kavya660@email.com</t>
  </si>
  <si>
    <t>PRD4924</t>
  </si>
  <si>
    <t>ORD000245</t>
  </si>
  <si>
    <t>CUST3262</t>
  </si>
  <si>
    <t>Rekha Reddy</t>
  </si>
  <si>
    <t>rekha705@email.com</t>
  </si>
  <si>
    <t>2023-12-03</t>
  </si>
  <si>
    <t>2023-12-05</t>
  </si>
  <si>
    <t>2023-12-10</t>
  </si>
  <si>
    <t>PRD4950</t>
  </si>
  <si>
    <t>ORD000246</t>
  </si>
  <si>
    <t>CUST7388</t>
  </si>
  <si>
    <t>arjun509@email.com</t>
  </si>
  <si>
    <t>2024-02-13</t>
  </si>
  <si>
    <t>2024-02-17</t>
  </si>
  <si>
    <t>PRD1636</t>
  </si>
  <si>
    <t>ORD000247</t>
  </si>
  <si>
    <t>CUST5780</t>
  </si>
  <si>
    <t>Rohit Iyer</t>
  </si>
  <si>
    <t>rohit3@email.com</t>
  </si>
  <si>
    <t>2022-01-08</t>
  </si>
  <si>
    <t>PRD4416</t>
  </si>
  <si>
    <t>ORD000248</t>
  </si>
  <si>
    <t>CUST2665</t>
  </si>
  <si>
    <t>arjun630@email.com</t>
  </si>
  <si>
    <t>2024-11-15</t>
  </si>
  <si>
    <t>2024-11-23</t>
  </si>
  <si>
    <t>PRD4759</t>
  </si>
  <si>
    <t>ORD000249</t>
  </si>
  <si>
    <t>CUST8345</t>
  </si>
  <si>
    <t>Vikram Nair</t>
  </si>
  <si>
    <t>vikram374@email.com</t>
  </si>
  <si>
    <t>2024-01-22</t>
  </si>
  <si>
    <t>2024-01-25</t>
  </si>
  <si>
    <t>PRD2308</t>
  </si>
  <si>
    <t>ORD000250</t>
  </si>
  <si>
    <t>CUST9574</t>
  </si>
  <si>
    <t>Priya Gupta</t>
  </si>
  <si>
    <t>priya735@email.com</t>
  </si>
  <si>
    <t>2022-01-09</t>
  </si>
  <si>
    <t>2022-01-14</t>
  </si>
  <si>
    <t>PRD1474</t>
  </si>
  <si>
    <t>ORD000251</t>
  </si>
  <si>
    <t>CUST7170</t>
  </si>
  <si>
    <t>manish616@email.com</t>
  </si>
  <si>
    <t>2024-02-19</t>
  </si>
  <si>
    <t>PRD3876</t>
  </si>
  <si>
    <t>ORD000252</t>
  </si>
  <si>
    <t>CUST3959</t>
  </si>
  <si>
    <t>aditya428@email.com</t>
  </si>
  <si>
    <t>2024-01-12</t>
  </si>
  <si>
    <t>PRD2526</t>
  </si>
  <si>
    <t>ORD000253</t>
  </si>
  <si>
    <t>CUST2769</t>
  </si>
  <si>
    <t>rahul297@email.com</t>
  </si>
  <si>
    <t>PRD1790</t>
  </si>
  <si>
    <t>ORD000254</t>
  </si>
  <si>
    <t>CUST5771</t>
  </si>
  <si>
    <t>divya302@email.com</t>
  </si>
  <si>
    <t>2023-05-09</t>
  </si>
  <si>
    <t>PRD4865</t>
  </si>
  <si>
    <t>ORD000255</t>
  </si>
  <si>
    <t>CUST5088</t>
  </si>
  <si>
    <t>swati59@email.com</t>
  </si>
  <si>
    <t>2024-09-01</t>
  </si>
  <si>
    <t>PRD3624</t>
  </si>
  <si>
    <t>ORD000256</t>
  </si>
  <si>
    <t>CUST6919</t>
  </si>
  <si>
    <t>sunita824@email.com</t>
  </si>
  <si>
    <t>2023-08-08</t>
  </si>
  <si>
    <t>2023-08-11</t>
  </si>
  <si>
    <t>PRD4044</t>
  </si>
  <si>
    <t>ORD000257</t>
  </si>
  <si>
    <t>CUST3674</t>
  </si>
  <si>
    <t>Deepak Kumar</t>
  </si>
  <si>
    <t>deepak552@email.com</t>
  </si>
  <si>
    <t>2022-08-31</t>
  </si>
  <si>
    <t>PRD4695</t>
  </si>
  <si>
    <t>ORD000258</t>
  </si>
  <si>
    <t>CUST7403</t>
  </si>
  <si>
    <t>rekha617@email.com</t>
  </si>
  <si>
    <t>PRD3127</t>
  </si>
  <si>
    <t>ORD000259</t>
  </si>
  <si>
    <t>CUST4051</t>
  </si>
  <si>
    <t>deepak470@email.com</t>
  </si>
  <si>
    <t>2023-08-13</t>
  </si>
  <si>
    <t>PRD2854</t>
  </si>
  <si>
    <t>ORD000260</t>
  </si>
  <si>
    <t>CUST2480</t>
  </si>
  <si>
    <t>rahul894@email.com</t>
  </si>
  <si>
    <t>2024-08-06</t>
  </si>
  <si>
    <t>PRD3502</t>
  </si>
  <si>
    <t>ORD000261</t>
  </si>
  <si>
    <t>CUST7096</t>
  </si>
  <si>
    <t>arjun548@email.com</t>
  </si>
  <si>
    <t>2024-12-07</t>
  </si>
  <si>
    <t>2024-12-10</t>
  </si>
  <si>
    <t>PRD2967</t>
  </si>
  <si>
    <t>ORD000262</t>
  </si>
  <si>
    <t>CUST7462</t>
  </si>
  <si>
    <t>Pooja Singh</t>
  </si>
  <si>
    <t>pooja835@email.com</t>
  </si>
  <si>
    <t>2023-10-23</t>
  </si>
  <si>
    <t>2023-10-25</t>
  </si>
  <si>
    <t>2023-10-30</t>
  </si>
  <si>
    <t>PRD1376</t>
  </si>
  <si>
    <t>ORD000263</t>
  </si>
  <si>
    <t>CUST4401</t>
  </si>
  <si>
    <t>Swati Nair</t>
  </si>
  <si>
    <t>swati811@email.com</t>
  </si>
  <si>
    <t>PRD1990</t>
  </si>
  <si>
    <t>ORD000264</t>
  </si>
  <si>
    <t>CUST1496</t>
  </si>
  <si>
    <t>pooja797@email.com</t>
  </si>
  <si>
    <t>2024-04-04</t>
  </si>
  <si>
    <t>2024-04-06</t>
  </si>
  <si>
    <t>2024-04-10</t>
  </si>
  <si>
    <t>PRD1921</t>
  </si>
  <si>
    <t>ORD000265</t>
  </si>
  <si>
    <t>rohit919@email.com</t>
  </si>
  <si>
    <t>2022-04-13</t>
  </si>
  <si>
    <t>2022-04-20</t>
  </si>
  <si>
    <t>ORD000266</t>
  </si>
  <si>
    <t>CUST1628</t>
  </si>
  <si>
    <t>kavya950@email.com</t>
  </si>
  <si>
    <t>2023-08-15</t>
  </si>
  <si>
    <t>2023-08-18</t>
  </si>
  <si>
    <t>2023-08-22</t>
  </si>
  <si>
    <t>PRD3462</t>
  </si>
  <si>
    <t>ORD000267</t>
  </si>
  <si>
    <t>CUST9474</t>
  </si>
  <si>
    <t>amit428@email.com</t>
  </si>
  <si>
    <t>2024-07-25</t>
  </si>
  <si>
    <t>PRD3669</t>
  </si>
  <si>
    <t>ORD000268</t>
  </si>
  <si>
    <t>CUST7196</t>
  </si>
  <si>
    <t>priya86@email.com</t>
  </si>
  <si>
    <t>PRD4558</t>
  </si>
  <si>
    <t>ORD000269</t>
  </si>
  <si>
    <t>CUST8012</t>
  </si>
  <si>
    <t>amit379@email.com</t>
  </si>
  <si>
    <t>2024-09-24</t>
  </si>
  <si>
    <t>2024-10-02</t>
  </si>
  <si>
    <t>PRD2152</t>
  </si>
  <si>
    <t>ORD000270</t>
  </si>
  <si>
    <t>CUST9358</t>
  </si>
  <si>
    <t>rekha920@email.com</t>
  </si>
  <si>
    <t>2022-04-18</t>
  </si>
  <si>
    <t>ORD000271</t>
  </si>
  <si>
    <t>CUST9375</t>
  </si>
  <si>
    <t>arjun87@email.com</t>
  </si>
  <si>
    <t>2022-09-14</t>
  </si>
  <si>
    <t>PRD4203</t>
  </si>
  <si>
    <t>ORD000272</t>
  </si>
  <si>
    <t>CUST6665</t>
  </si>
  <si>
    <t>amit688@email.com</t>
  </si>
  <si>
    <t>PRD4149</t>
  </si>
  <si>
    <t>ORD000273</t>
  </si>
  <si>
    <t>CUST4801</t>
  </si>
  <si>
    <t>priya122@email.com</t>
  </si>
  <si>
    <t>2023-12-19</t>
  </si>
  <si>
    <t>PRD3191</t>
  </si>
  <si>
    <t>ORD000274</t>
  </si>
  <si>
    <t>CUST6815</t>
  </si>
  <si>
    <t>aditya957@email.com</t>
  </si>
  <si>
    <t>2022-02-04</t>
  </si>
  <si>
    <t>2022-02-05</t>
  </si>
  <si>
    <t>2022-02-11</t>
  </si>
  <si>
    <t>PRD4915</t>
  </si>
  <si>
    <t>ORD000275</t>
  </si>
  <si>
    <t>CUST6968</t>
  </si>
  <si>
    <t>amit788@email.com</t>
  </si>
  <si>
    <t>2023-03-13</t>
  </si>
  <si>
    <t>PRD3895</t>
  </si>
  <si>
    <t>ORD000276</t>
  </si>
  <si>
    <t>CUST1483</t>
  </si>
  <si>
    <t>manish593@email.com</t>
  </si>
  <si>
    <t>2023-03-27</t>
  </si>
  <si>
    <t>PRD1325</t>
  </si>
  <si>
    <t>ORD000277</t>
  </si>
  <si>
    <t>CUST8080</t>
  </si>
  <si>
    <t>vikram834@email.com</t>
  </si>
  <si>
    <t>2024-11-16</t>
  </si>
  <si>
    <t>PRD3585</t>
  </si>
  <si>
    <t>ORD000278</t>
  </si>
  <si>
    <t>CUST8327</t>
  </si>
  <si>
    <t>Swati Mehta</t>
  </si>
  <si>
    <t>swati366@email.com</t>
  </si>
  <si>
    <t>2024-08-16</t>
  </si>
  <si>
    <t>PRD4369</t>
  </si>
  <si>
    <t>ORD000279</t>
  </si>
  <si>
    <t>CUST4410</t>
  </si>
  <si>
    <t>meena595@email.com</t>
  </si>
  <si>
    <t>2023-06-01</t>
  </si>
  <si>
    <t>2023-06-03</t>
  </si>
  <si>
    <t>2023-06-11</t>
  </si>
  <si>
    <t>PRD3591</t>
  </si>
  <si>
    <t>ORD000280</t>
  </si>
  <si>
    <t>CUST9870</t>
  </si>
  <si>
    <t>nisha669@email.com</t>
  </si>
  <si>
    <t>2023-07-13</t>
  </si>
  <si>
    <t>PRD1494</t>
  </si>
  <si>
    <t>ORD000281</t>
  </si>
  <si>
    <t>CUST7886</t>
  </si>
  <si>
    <t>sunita282@email.com</t>
  </si>
  <si>
    <t>2022-09-16</t>
  </si>
  <si>
    <t>PRD1271</t>
  </si>
  <si>
    <t>ORD000282</t>
  </si>
  <si>
    <t>CUST1084</t>
  </si>
  <si>
    <t>Aditya Kumar</t>
  </si>
  <si>
    <t>aditya78@email.com</t>
  </si>
  <si>
    <t>2023-05-24</t>
  </si>
  <si>
    <t>2023-05-31</t>
  </si>
  <si>
    <t>PRD1327</t>
  </si>
  <si>
    <t>ORD000283</t>
  </si>
  <si>
    <t>CUST1396</t>
  </si>
  <si>
    <t>Rahul Mehta</t>
  </si>
  <si>
    <t>rahul823@email.com</t>
  </si>
  <si>
    <t>2024-02-24</t>
  </si>
  <si>
    <t>2024-02-26</t>
  </si>
  <si>
    <t>2024-03-04</t>
  </si>
  <si>
    <t>PRD1607</t>
  </si>
  <si>
    <t>ORD000284</t>
  </si>
  <si>
    <t>CUST4881</t>
  </si>
  <si>
    <t>rahul504@email.com</t>
  </si>
  <si>
    <t>2024-08-29</t>
  </si>
  <si>
    <t>PRD3164</t>
  </si>
  <si>
    <t>ORD000285</t>
  </si>
  <si>
    <t>CUST2556</t>
  </si>
  <si>
    <t>Rahul Sharma</t>
  </si>
  <si>
    <t>rahul468@email.com</t>
  </si>
  <si>
    <t>2023-06-13</t>
  </si>
  <si>
    <t>2023-06-19</t>
  </si>
  <si>
    <t>PRD4009</t>
  </si>
  <si>
    <t>ORD000286</t>
  </si>
  <si>
    <t>CUST5579</t>
  </si>
  <si>
    <t>priya787@email.com</t>
  </si>
  <si>
    <t>2023-04-07</t>
  </si>
  <si>
    <t>2023-04-10</t>
  </si>
  <si>
    <t>2023-04-13</t>
  </si>
  <si>
    <t>PRD4816</t>
  </si>
  <si>
    <t>ORD000287</t>
  </si>
  <si>
    <t>CUST4473</t>
  </si>
  <si>
    <t>Aditya Verma</t>
  </si>
  <si>
    <t>aditya26@email.com</t>
  </si>
  <si>
    <t>2023-03-21</t>
  </si>
  <si>
    <t>2023-03-22</t>
  </si>
  <si>
    <t>PRD3506</t>
  </si>
  <si>
    <t>ORD000288</t>
  </si>
  <si>
    <t>CUST2464</t>
  </si>
  <si>
    <t>kavya972@email.com</t>
  </si>
  <si>
    <t>2024-07-08</t>
  </si>
  <si>
    <t>PRD1863</t>
  </si>
  <si>
    <t>ORD000289</t>
  </si>
  <si>
    <t>CUST5066</t>
  </si>
  <si>
    <t>Sunita Verma</t>
  </si>
  <si>
    <t>sunita887@email.com</t>
  </si>
  <si>
    <t>PRD3228</t>
  </si>
  <si>
    <t>ORD000290</t>
  </si>
  <si>
    <t>CUST3078</t>
  </si>
  <si>
    <t>Meena Gupta</t>
  </si>
  <si>
    <t>meena95@email.com</t>
  </si>
  <si>
    <t>2023-04-20</t>
  </si>
  <si>
    <t>PRD1546</t>
  </si>
  <si>
    <t>ORD000291</t>
  </si>
  <si>
    <t>CUST7852</t>
  </si>
  <si>
    <t>Priya Patel</t>
  </si>
  <si>
    <t>priya496@email.com</t>
  </si>
  <si>
    <t>ORD000292</t>
  </si>
  <si>
    <t>CUST6093</t>
  </si>
  <si>
    <t>Karan Reddy</t>
  </si>
  <si>
    <t>karan438@email.com</t>
  </si>
  <si>
    <t>2024-05-11</t>
  </si>
  <si>
    <t>2024-05-19</t>
  </si>
  <si>
    <t>PRD1784</t>
  </si>
  <si>
    <t>ORD000293</t>
  </si>
  <si>
    <t>CUST2448</t>
  </si>
  <si>
    <t>nisha398@email.com</t>
  </si>
  <si>
    <t>PRD1139</t>
  </si>
  <si>
    <t>ORD000294</t>
  </si>
  <si>
    <t>CUST7225</t>
  </si>
  <si>
    <t>anita746@email.com</t>
  </si>
  <si>
    <t>PRD1576</t>
  </si>
  <si>
    <t>ORD000295</t>
  </si>
  <si>
    <t>CUST7447</t>
  </si>
  <si>
    <t>rekha129@email.com</t>
  </si>
  <si>
    <t>2023-12-07</t>
  </si>
  <si>
    <t>2023-12-17</t>
  </si>
  <si>
    <t>ORD000296</t>
  </si>
  <si>
    <t>CUST7675</t>
  </si>
  <si>
    <t>nisha256@email.com</t>
  </si>
  <si>
    <t>2024-12-06</t>
  </si>
  <si>
    <t>PRD2782</t>
  </si>
  <si>
    <t>ORD000297</t>
  </si>
  <si>
    <t>CUST1337</t>
  </si>
  <si>
    <t>pooja633@email.com</t>
  </si>
  <si>
    <t>PRD2171</t>
  </si>
  <si>
    <t>ORD000298</t>
  </si>
  <si>
    <t>CUST1663</t>
  </si>
  <si>
    <t>rohit570@email.com</t>
  </si>
  <si>
    <t>2022-12-22</t>
  </si>
  <si>
    <t>2022-12-30</t>
  </si>
  <si>
    <t>PRD2427</t>
  </si>
  <si>
    <t>ORD000299</t>
  </si>
  <si>
    <t>CUST7444</t>
  </si>
  <si>
    <t>swati413@email.com</t>
  </si>
  <si>
    <t>PRD2089</t>
  </si>
  <si>
    <t>ORD000300</t>
  </si>
  <si>
    <t>CUST3916</t>
  </si>
  <si>
    <t>priya69@email.com</t>
  </si>
  <si>
    <t>2023-09-14</t>
  </si>
  <si>
    <t>2023-09-16</t>
  </si>
  <si>
    <t>PRD2518</t>
  </si>
  <si>
    <t>ORD000301</t>
  </si>
  <si>
    <t>CUST6448</t>
  </si>
  <si>
    <t>meena727@email.com</t>
  </si>
  <si>
    <t>2023-11-02</t>
  </si>
  <si>
    <t>2023-11-09</t>
  </si>
  <si>
    <t>PRD2985</t>
  </si>
  <si>
    <t>ORD000302</t>
  </si>
  <si>
    <t>CUST9858</t>
  </si>
  <si>
    <t>Divya Singh</t>
  </si>
  <si>
    <t>divya181@email.com</t>
  </si>
  <si>
    <t>2022-04-06</t>
  </si>
  <si>
    <t>2022-04-08</t>
  </si>
  <si>
    <t>2022-04-14</t>
  </si>
  <si>
    <t>PRD4768</t>
  </si>
  <si>
    <t>ORD000303</t>
  </si>
  <si>
    <t>CUST5293</t>
  </si>
  <si>
    <t>kavya102@email.com</t>
  </si>
  <si>
    <t>2022-08-09</t>
  </si>
  <si>
    <t>PRD3640</t>
  </si>
  <si>
    <t>ORD000304</t>
  </si>
  <si>
    <t>CUST5102</t>
  </si>
  <si>
    <t>priya289@email.com</t>
  </si>
  <si>
    <t>2022-12-13</t>
  </si>
  <si>
    <t>PRD3761</t>
  </si>
  <si>
    <t>ORD000305</t>
  </si>
  <si>
    <t>CUST5446</t>
  </si>
  <si>
    <t>meena500@email.com</t>
  </si>
  <si>
    <t>2023-02-06</t>
  </si>
  <si>
    <t>2023-02-08</t>
  </si>
  <si>
    <t>PRD1057</t>
  </si>
  <si>
    <t>ORD000306</t>
  </si>
  <si>
    <t>nisha431@email.com</t>
  </si>
  <si>
    <t>2024-03-07</t>
  </si>
  <si>
    <t>2024-03-15</t>
  </si>
  <si>
    <t>PRD2318</t>
  </si>
  <si>
    <t>ORD000307</t>
  </si>
  <si>
    <t>CUST2968</t>
  </si>
  <si>
    <t>Swati Kumar</t>
  </si>
  <si>
    <t>swati884@email.com</t>
  </si>
  <si>
    <t>PRD1028</t>
  </si>
  <si>
    <t>ORD000308</t>
  </si>
  <si>
    <t>CUST4123</t>
  </si>
  <si>
    <t>amit11@email.com</t>
  </si>
  <si>
    <t>2024-09-08</t>
  </si>
  <si>
    <t>2024-09-11</t>
  </si>
  <si>
    <t>PRD1288</t>
  </si>
  <si>
    <t>ORD000309</t>
  </si>
  <si>
    <t>CUST1974</t>
  </si>
  <si>
    <t>nisha457@email.com</t>
  </si>
  <si>
    <t>2023-07-07</t>
  </si>
  <si>
    <t>PRD4434</t>
  </si>
  <si>
    <t>ORD000310</t>
  </si>
  <si>
    <t>CUST7397</t>
  </si>
  <si>
    <t>manish206@email.com</t>
  </si>
  <si>
    <t>2024-04-18</t>
  </si>
  <si>
    <t>PRD3641</t>
  </si>
  <si>
    <t>ORD000311</t>
  </si>
  <si>
    <t>CUST4621</t>
  </si>
  <si>
    <t>amit269@email.com</t>
  </si>
  <si>
    <t>2024-01-09</t>
  </si>
  <si>
    <t>PRD3682</t>
  </si>
  <si>
    <t>ORD000312</t>
  </si>
  <si>
    <t>CUST5876</t>
  </si>
  <si>
    <t>Divya Kumar</t>
  </si>
  <si>
    <t>divya67@email.com</t>
  </si>
  <si>
    <t>2022-11-11</t>
  </si>
  <si>
    <t>PRD2916</t>
  </si>
  <si>
    <t>ORD000313</t>
  </si>
  <si>
    <t>CUST3649</t>
  </si>
  <si>
    <t>divya526@email.com</t>
  </si>
  <si>
    <t>2023-11-04</t>
  </si>
  <si>
    <t>2023-11-12</t>
  </si>
  <si>
    <t>PRD2381</t>
  </si>
  <si>
    <t>ORD000314</t>
  </si>
  <si>
    <t>CUST1350</t>
  </si>
  <si>
    <t>pooja849@email.com</t>
  </si>
  <si>
    <t>2024-11-24</t>
  </si>
  <si>
    <t>2024-11-26</t>
  </si>
  <si>
    <t>PRD3283</t>
  </si>
  <si>
    <t>ORD000315</t>
  </si>
  <si>
    <t>CUST6633</t>
  </si>
  <si>
    <t>divya839@email.com</t>
  </si>
  <si>
    <t>2023-10-28</t>
  </si>
  <si>
    <t>PRD4576</t>
  </si>
  <si>
    <t>ORD000316</t>
  </si>
  <si>
    <t>CUST5676</t>
  </si>
  <si>
    <t>deepak804@email.com</t>
  </si>
  <si>
    <t>PRD3778</t>
  </si>
  <si>
    <t>ORD000317</t>
  </si>
  <si>
    <t>pooja546@email.com</t>
  </si>
  <si>
    <t>ORD000318</t>
  </si>
  <si>
    <t>CUST8539</t>
  </si>
  <si>
    <t>Kavya Verma</t>
  </si>
  <si>
    <t>kavya315@email.com</t>
  </si>
  <si>
    <t>PRD3068</t>
  </si>
  <si>
    <t>ORD000319</t>
  </si>
  <si>
    <t>CUST4067</t>
  </si>
  <si>
    <t>Kavya Mehta</t>
  </si>
  <si>
    <t>kavya954@email.com</t>
  </si>
  <si>
    <t>2024-07-24</t>
  </si>
  <si>
    <t>2024-07-28</t>
  </si>
  <si>
    <t>PRD2548</t>
  </si>
  <si>
    <t>ORD000320</t>
  </si>
  <si>
    <t>CUST9603</t>
  </si>
  <si>
    <t>Rekha Gupta</t>
  </si>
  <si>
    <t>rekha172@email.com</t>
  </si>
  <si>
    <t>2022-02-20</t>
  </si>
  <si>
    <t>2022-02-28</t>
  </si>
  <si>
    <t>PRD2269</t>
  </si>
  <si>
    <t>ORD000321</t>
  </si>
  <si>
    <t>CUST9334</t>
  </si>
  <si>
    <t>Amit Iyer</t>
  </si>
  <si>
    <t>amit294@email.com</t>
  </si>
  <si>
    <t>2023-05-27</t>
  </si>
  <si>
    <t>PRD2864</t>
  </si>
  <si>
    <t>ORD000322</t>
  </si>
  <si>
    <t>CUST2976</t>
  </si>
  <si>
    <t>nisha203@email.com</t>
  </si>
  <si>
    <t>2023-11-22</t>
  </si>
  <si>
    <t>PRD4504</t>
  </si>
  <si>
    <t>ORD000323</t>
  </si>
  <si>
    <t>CUST9516</t>
  </si>
  <si>
    <t>meena6@email.com</t>
  </si>
  <si>
    <t>PRD3923</t>
  </si>
  <si>
    <t>ORD000324</t>
  </si>
  <si>
    <t>karan482@email.com</t>
  </si>
  <si>
    <t>2023-11-11</t>
  </si>
  <si>
    <t>2023-11-14</t>
  </si>
  <si>
    <t>PRD3475</t>
  </si>
  <si>
    <t>ORD000325</t>
  </si>
  <si>
    <t>CUST5799</t>
  </si>
  <si>
    <t>Rekha Kumar</t>
  </si>
  <si>
    <t>rekha194@email.com</t>
  </si>
  <si>
    <t>2024-09-13</t>
  </si>
  <si>
    <t>2024-09-18</t>
  </si>
  <si>
    <t>PRD4233</t>
  </si>
  <si>
    <t>ORD000326</t>
  </si>
  <si>
    <t>anita307@email.com</t>
  </si>
  <si>
    <t>2023-02-04</t>
  </si>
  <si>
    <t>PRD1573</t>
  </si>
  <si>
    <t>ORD000327</t>
  </si>
  <si>
    <t>CUST4435</t>
  </si>
  <si>
    <t>rekha112@email.com</t>
  </si>
  <si>
    <t>ORD000328</t>
  </si>
  <si>
    <t>CUST7278</t>
  </si>
  <si>
    <t>Pooja Sharma</t>
  </si>
  <si>
    <t>pooja184@email.com</t>
  </si>
  <si>
    <t>2024-12-01</t>
  </si>
  <si>
    <t>PRD2105</t>
  </si>
  <si>
    <t>ORD000329</t>
  </si>
  <si>
    <t>CUST2216</t>
  </si>
  <si>
    <t>Rahul Patel</t>
  </si>
  <si>
    <t>rahul46@email.com</t>
  </si>
  <si>
    <t>2023-02-25</t>
  </si>
  <si>
    <t>2023-02-26</t>
  </si>
  <si>
    <t>2023-03-03</t>
  </si>
  <si>
    <t>PRD1011</t>
  </si>
  <si>
    <t>ORD000330</t>
  </si>
  <si>
    <t>CUST3936</t>
  </si>
  <si>
    <t>vikram607@email.com</t>
  </si>
  <si>
    <t>2024-02-08</t>
  </si>
  <si>
    <t>PRD1154</t>
  </si>
  <si>
    <t>ORD000331</t>
  </si>
  <si>
    <t>CUST6111</t>
  </si>
  <si>
    <t>anita549@email.com</t>
  </si>
  <si>
    <t>2022-10-01</t>
  </si>
  <si>
    <t>PRD1694</t>
  </si>
  <si>
    <t>ORD000332</t>
  </si>
  <si>
    <t>CUST1278</t>
  </si>
  <si>
    <t>suresh5@email.com</t>
  </si>
  <si>
    <t>2024-01-08</t>
  </si>
  <si>
    <t>2024-01-11</t>
  </si>
  <si>
    <t>PRD2497</t>
  </si>
  <si>
    <t>ORD000333</t>
  </si>
  <si>
    <t>CUST2037</t>
  </si>
  <si>
    <t>karan539@email.com</t>
  </si>
  <si>
    <t>2023-04-08</t>
  </si>
  <si>
    <t>2023-04-12</t>
  </si>
  <si>
    <t>PRD3279</t>
  </si>
  <si>
    <t>ORD000334</t>
  </si>
  <si>
    <t>CUST8550</t>
  </si>
  <si>
    <t>rekha639@email.com</t>
  </si>
  <si>
    <t>2024-09-30</t>
  </si>
  <si>
    <t>PRD2663</t>
  </si>
  <si>
    <t>ORD000335</t>
  </si>
  <si>
    <t>CUST1637</t>
  </si>
  <si>
    <t>anita662@email.com</t>
  </si>
  <si>
    <t>PRD2323</t>
  </si>
  <si>
    <t>ORD000336</t>
  </si>
  <si>
    <t>CUST8689</t>
  </si>
  <si>
    <t>rahul859@email.com</t>
  </si>
  <si>
    <t>2024-03-28</t>
  </si>
  <si>
    <t>2024-03-29</t>
  </si>
  <si>
    <t>2024-04-05</t>
  </si>
  <si>
    <t>PRD4026</t>
  </si>
  <si>
    <t>ORD000337</t>
  </si>
  <si>
    <t>CUST7736</t>
  </si>
  <si>
    <t>aditya696@email.com</t>
  </si>
  <si>
    <t>2022-11-15</t>
  </si>
  <si>
    <t>2022-11-20</t>
  </si>
  <si>
    <t>PRD2104</t>
  </si>
  <si>
    <t>ORD000338</t>
  </si>
  <si>
    <t>CUST4124</t>
  </si>
  <si>
    <t>arjun133@email.com</t>
  </si>
  <si>
    <t>PRD3156</t>
  </si>
  <si>
    <t>ORD000339</t>
  </si>
  <si>
    <t>CUST8941</t>
  </si>
  <si>
    <t>sunita421@email.com</t>
  </si>
  <si>
    <t>2023-04-23</t>
  </si>
  <si>
    <t>2023-04-28</t>
  </si>
  <si>
    <t>PRD3410</t>
  </si>
  <si>
    <t>ORD000340</t>
  </si>
  <si>
    <t>CUST4100</t>
  </si>
  <si>
    <t>deepak1@email.com</t>
  </si>
  <si>
    <t>2024-07-27</t>
  </si>
  <si>
    <t>2024-07-30</t>
  </si>
  <si>
    <t>PRD1162</t>
  </si>
  <si>
    <t>ORD000341</t>
  </si>
  <si>
    <t>CUST8034</t>
  </si>
  <si>
    <t>pooja192@email.com</t>
  </si>
  <si>
    <t>2024-05-18</t>
  </si>
  <si>
    <t>PRD2193</t>
  </si>
  <si>
    <t>ORD000342</t>
  </si>
  <si>
    <t>CUST4224</t>
  </si>
  <si>
    <t>rohit535@email.com</t>
  </si>
  <si>
    <t>PRD1806</t>
  </si>
  <si>
    <t>ORD000343</t>
  </si>
  <si>
    <t>CUST6103</t>
  </si>
  <si>
    <t>manish347@email.com</t>
  </si>
  <si>
    <t>2023-08-20</t>
  </si>
  <si>
    <t>2023-08-21</t>
  </si>
  <si>
    <t>PRD1759</t>
  </si>
  <si>
    <t>ORD000344</t>
  </si>
  <si>
    <t>CUST8521</t>
  </si>
  <si>
    <t>divya286@email.com</t>
  </si>
  <si>
    <t>PRD2443</t>
  </si>
  <si>
    <t>ORD000345</t>
  </si>
  <si>
    <t>CUST5390</t>
  </si>
  <si>
    <t>karan349@email.com</t>
  </si>
  <si>
    <t>2022-06-16</t>
  </si>
  <si>
    <t>2022-06-24</t>
  </si>
  <si>
    <t>PRD2480</t>
  </si>
  <si>
    <t>ORD000346</t>
  </si>
  <si>
    <t>CUST5972</t>
  </si>
  <si>
    <t>vikram516@email.com</t>
  </si>
  <si>
    <t>2022-01-12</t>
  </si>
  <si>
    <t>2022-01-16</t>
  </si>
  <si>
    <t>PRD2613</t>
  </si>
  <si>
    <t>ORD000347</t>
  </si>
  <si>
    <t>CUST3283</t>
  </si>
  <si>
    <t>nisha470@email.com</t>
  </si>
  <si>
    <t>PRD4056</t>
  </si>
  <si>
    <t>ORD000348</t>
  </si>
  <si>
    <t>vikram457@email.com</t>
  </si>
  <si>
    <t>2023-12-29</t>
  </si>
  <si>
    <t>2024-01-01</t>
  </si>
  <si>
    <t>2024-01-06</t>
  </si>
  <si>
    <t>PRD4671</t>
  </si>
  <si>
    <t>ORD000349</t>
  </si>
  <si>
    <t>CUST8047</t>
  </si>
  <si>
    <t>aditya328@email.com</t>
  </si>
  <si>
    <t>2023-07-01</t>
  </si>
  <si>
    <t>2023-07-10</t>
  </si>
  <si>
    <t>PRD4483</t>
  </si>
  <si>
    <t>ORD000350</t>
  </si>
  <si>
    <t>CUST1704</t>
  </si>
  <si>
    <t>Deepak Verma</t>
  </si>
  <si>
    <t>deepak624@email.com</t>
  </si>
  <si>
    <t>2024-09-06</t>
  </si>
  <si>
    <t>PRD2372</t>
  </si>
  <si>
    <t>ORD000351</t>
  </si>
  <si>
    <t>CUST8176</t>
  </si>
  <si>
    <t>meena563@email.com</t>
  </si>
  <si>
    <t>2022-12-12</t>
  </si>
  <si>
    <t>PRD1252</t>
  </si>
  <si>
    <t>ORD000352</t>
  </si>
  <si>
    <t>CUST5822</t>
  </si>
  <si>
    <t>rahul860@email.com</t>
  </si>
  <si>
    <t>PRD3145</t>
  </si>
  <si>
    <t>ORD000353</t>
  </si>
  <si>
    <t>CUST3777</t>
  </si>
  <si>
    <t>rahul716@email.com</t>
  </si>
  <si>
    <t>2022-02-10</t>
  </si>
  <si>
    <t>2022-02-15</t>
  </si>
  <si>
    <t>PRD3816</t>
  </si>
  <si>
    <t>ORD000354</t>
  </si>
  <si>
    <t>CUST1478</t>
  </si>
  <si>
    <t>deepak820@email.com</t>
  </si>
  <si>
    <t>PRD2517</t>
  </si>
  <si>
    <t>ORD000355</t>
  </si>
  <si>
    <t>CUST4734</t>
  </si>
  <si>
    <t>suresh354@email.com</t>
  </si>
  <si>
    <t>ORD000356</t>
  </si>
  <si>
    <t>CUST8117</t>
  </si>
  <si>
    <t>suresh179@email.com</t>
  </si>
  <si>
    <t>2023-04-17</t>
  </si>
  <si>
    <t>ORD000357</t>
  </si>
  <si>
    <t>CUST6203</t>
  </si>
  <si>
    <t>pooja357@email.com</t>
  </si>
  <si>
    <t>2022-01-25</t>
  </si>
  <si>
    <t>2022-01-29</t>
  </si>
  <si>
    <t>PRD1497</t>
  </si>
  <si>
    <t>ORD000358</t>
  </si>
  <si>
    <t>CUST9479</t>
  </si>
  <si>
    <t>arjun448@email.com</t>
  </si>
  <si>
    <t>PRD4029</t>
  </si>
  <si>
    <t>ORD000359</t>
  </si>
  <si>
    <t>CUST1421</t>
  </si>
  <si>
    <t>deepak831@email.com</t>
  </si>
  <si>
    <t>2023-05-02</t>
  </si>
  <si>
    <t>2023-05-03</t>
  </si>
  <si>
    <t>PRD1674</t>
  </si>
  <si>
    <t>ORD000360</t>
  </si>
  <si>
    <t>CUST6419</t>
  </si>
  <si>
    <t>aditya841@email.com</t>
  </si>
  <si>
    <t>2023-06-14</t>
  </si>
  <si>
    <t>PRD1608</t>
  </si>
  <si>
    <t>ORD000361</t>
  </si>
  <si>
    <t>CUST3222</t>
  </si>
  <si>
    <t>vikram716@email.com</t>
  </si>
  <si>
    <t>2023-07-30</t>
  </si>
  <si>
    <t>ORD000362</t>
  </si>
  <si>
    <t>CUST9246</t>
  </si>
  <si>
    <t>amit625@email.com</t>
  </si>
  <si>
    <t>2024-11-05</t>
  </si>
  <si>
    <t>2024-11-08</t>
  </si>
  <si>
    <t>PRD3592</t>
  </si>
  <si>
    <t>ORD000363</t>
  </si>
  <si>
    <t>CUST8310</t>
  </si>
  <si>
    <t>arjun847@email.com</t>
  </si>
  <si>
    <t>2024-02-29</t>
  </si>
  <si>
    <t>2024-03-01</t>
  </si>
  <si>
    <t>PRD3415</t>
  </si>
  <si>
    <t>ORD000364</t>
  </si>
  <si>
    <t>CUST1026</t>
  </si>
  <si>
    <t>Swati Singh</t>
  </si>
  <si>
    <t>swati690@email.com</t>
  </si>
  <si>
    <t>PRD3559</t>
  </si>
  <si>
    <t>ORD000365</t>
  </si>
  <si>
    <t>CUST6576</t>
  </si>
  <si>
    <t>Pooja Nair</t>
  </si>
  <si>
    <t>pooja363@email.com</t>
  </si>
  <si>
    <t>2023-12-11</t>
  </si>
  <si>
    <t>2023-12-12</t>
  </si>
  <si>
    <t>PRD3155</t>
  </si>
  <si>
    <t>ORD000366</t>
  </si>
  <si>
    <t>CUST7074</t>
  </si>
  <si>
    <t>rahul913@email.com</t>
  </si>
  <si>
    <t>2024-01-10</t>
  </si>
  <si>
    <t>PRD4801</t>
  </si>
  <si>
    <t>ORD000367</t>
  </si>
  <si>
    <t>CUST8212</t>
  </si>
  <si>
    <t>nisha409@email.com</t>
  </si>
  <si>
    <t>2024-02-02</t>
  </si>
  <si>
    <t>PRD3380</t>
  </si>
  <si>
    <t>ORD000368</t>
  </si>
  <si>
    <t>CUST8134</t>
  </si>
  <si>
    <t>vikram450@email.com</t>
  </si>
  <si>
    <t>2024-07-10</t>
  </si>
  <si>
    <t>2024-07-12</t>
  </si>
  <si>
    <t>2024-07-16</t>
  </si>
  <si>
    <t>PRD2521</t>
  </si>
  <si>
    <t>ORD000369</t>
  </si>
  <si>
    <t>CUST1586</t>
  </si>
  <si>
    <t>karan929@email.com</t>
  </si>
  <si>
    <t>PRD4878</t>
  </si>
  <si>
    <t>ORD000370</t>
  </si>
  <si>
    <t>CUST4308</t>
  </si>
  <si>
    <t>pooja613@email.com</t>
  </si>
  <si>
    <t>2023-02-21</t>
  </si>
  <si>
    <t>2023-02-23</t>
  </si>
  <si>
    <t>PRD3033</t>
  </si>
  <si>
    <t>ORD000371</t>
  </si>
  <si>
    <t>arjun264@email.com</t>
  </si>
  <si>
    <t>2022-08-29</t>
  </si>
  <si>
    <t>PRD4328</t>
  </si>
  <si>
    <t>ORD000372</t>
  </si>
  <si>
    <t>CUST5355</t>
  </si>
  <si>
    <t>Sunita Singh</t>
  </si>
  <si>
    <t>sunita918@email.com</t>
  </si>
  <si>
    <t>PRD2149</t>
  </si>
  <si>
    <t>ORD000373</t>
  </si>
  <si>
    <t>CUST7251</t>
  </si>
  <si>
    <t>rahul20@email.com</t>
  </si>
  <si>
    <t>PRD3143</t>
  </si>
  <si>
    <t>ORD000374</t>
  </si>
  <si>
    <t>CUST8369</t>
  </si>
  <si>
    <t>aditya282@email.com</t>
  </si>
  <si>
    <t>2024-11-04</t>
  </si>
  <si>
    <t>PRD1779</t>
  </si>
  <si>
    <t>ORD000375</t>
  </si>
  <si>
    <t>CUST7188</t>
  </si>
  <si>
    <t>meena790@email.com</t>
  </si>
  <si>
    <t>PRD3541</t>
  </si>
  <si>
    <t>ORD000376</t>
  </si>
  <si>
    <t>CUST3596</t>
  </si>
  <si>
    <t>Nisha Kumar</t>
  </si>
  <si>
    <t>nisha293@email.com</t>
  </si>
  <si>
    <t>2022-08-03</t>
  </si>
  <si>
    <t>2022-08-06</t>
  </si>
  <si>
    <t>2022-08-13</t>
  </si>
  <si>
    <t>PRD3630</t>
  </si>
  <si>
    <t>ORD000377</t>
  </si>
  <si>
    <t>CUST2452</t>
  </si>
  <si>
    <t>divya21@email.com</t>
  </si>
  <si>
    <t>PRD4872</t>
  </si>
  <si>
    <t>ORD000378</t>
  </si>
  <si>
    <t>rahul642@email.com</t>
  </si>
  <si>
    <t>2023-03-24</t>
  </si>
  <si>
    <t>PRD1072</t>
  </si>
  <si>
    <t>ORD000379</t>
  </si>
  <si>
    <t>CUST7626</t>
  </si>
  <si>
    <t>rahul813@email.com</t>
  </si>
  <si>
    <t>PRD1922</t>
  </si>
  <si>
    <t>ORD000380</t>
  </si>
  <si>
    <t>CUST6880</t>
  </si>
  <si>
    <t>kavya64@email.com</t>
  </si>
  <si>
    <t>2022-03-28</t>
  </si>
  <si>
    <t>2022-03-30</t>
  </si>
  <si>
    <t>PRD4735</t>
  </si>
  <si>
    <t>ORD000381</t>
  </si>
  <si>
    <t>CUST9051</t>
  </si>
  <si>
    <t>rekha771@email.com</t>
  </si>
  <si>
    <t>2022-07-01</t>
  </si>
  <si>
    <t>2022-07-04</t>
  </si>
  <si>
    <t>PRD1592</t>
  </si>
  <si>
    <t>ORD000382</t>
  </si>
  <si>
    <t>CUST1566</t>
  </si>
  <si>
    <t>Priya Reddy</t>
  </si>
  <si>
    <t>priya796@email.com</t>
  </si>
  <si>
    <t>2022-04-24</t>
  </si>
  <si>
    <t>PRD1778</t>
  </si>
  <si>
    <t>ORD000383</t>
  </si>
  <si>
    <t>CUST4668</t>
  </si>
  <si>
    <t>vikram154@email.com</t>
  </si>
  <si>
    <t>2023-06-05</t>
  </si>
  <si>
    <t>2023-06-09</t>
  </si>
  <si>
    <t>PRD2788</t>
  </si>
  <si>
    <t>ORD000384</t>
  </si>
  <si>
    <t>CUST2119</t>
  </si>
  <si>
    <t>rahul267@email.com</t>
  </si>
  <si>
    <t>ORD000385</t>
  </si>
  <si>
    <t>priya849@email.com</t>
  </si>
  <si>
    <t>ORD000386</t>
  </si>
  <si>
    <t>CUST9711</t>
  </si>
  <si>
    <t>2022-09-08</t>
  </si>
  <si>
    <t>2022-09-12</t>
  </si>
  <si>
    <t>PRD2712</t>
  </si>
  <si>
    <t>ORD000387</t>
  </si>
  <si>
    <t>manish775@email.com</t>
  </si>
  <si>
    <t>2023-06-02</t>
  </si>
  <si>
    <t>PRD3478</t>
  </si>
  <si>
    <t>ORD000388</t>
  </si>
  <si>
    <t>CUST9262</t>
  </si>
  <si>
    <t>pooja898@email.com</t>
  </si>
  <si>
    <t>ORD000389</t>
  </si>
  <si>
    <t>CUST9482</t>
  </si>
  <si>
    <t>Vikram Reddy</t>
  </si>
  <si>
    <t>vikram239@email.com</t>
  </si>
  <si>
    <t>2023-11-10</t>
  </si>
  <si>
    <t>2023-11-13</t>
  </si>
  <si>
    <t>PRD3668</t>
  </si>
  <si>
    <t>ORD000390</t>
  </si>
  <si>
    <t>CUST5940</t>
  </si>
  <si>
    <t>deepak716@email.com</t>
  </si>
  <si>
    <t>2023-07-08</t>
  </si>
  <si>
    <t>2023-07-17</t>
  </si>
  <si>
    <t>PRD3111</t>
  </si>
  <si>
    <t>ORD000391</t>
  </si>
  <si>
    <t>CUST9798</t>
  </si>
  <si>
    <t>meena88@email.com</t>
  </si>
  <si>
    <t>2024-06-18</t>
  </si>
  <si>
    <t>2024-06-20</t>
  </si>
  <si>
    <t>PRD4642</t>
  </si>
  <si>
    <t>ORD000392</t>
  </si>
  <si>
    <t>CUST2922</t>
  </si>
  <si>
    <t>aditya408@email.com</t>
  </si>
  <si>
    <t>2024-12-24</t>
  </si>
  <si>
    <t>PRD2701</t>
  </si>
  <si>
    <t>ORD000393</t>
  </si>
  <si>
    <t>CUST6112</t>
  </si>
  <si>
    <t>amit476@email.com</t>
  </si>
  <si>
    <t>PRD1515</t>
  </si>
  <si>
    <t>ORD000394</t>
  </si>
  <si>
    <t>CUST6168</t>
  </si>
  <si>
    <t>anita155@email.com</t>
  </si>
  <si>
    <t>PRD1106</t>
  </si>
  <si>
    <t>ORD000395</t>
  </si>
  <si>
    <t>CUST2855</t>
  </si>
  <si>
    <t>rohit847@email.com</t>
  </si>
  <si>
    <t>2022-05-17</t>
  </si>
  <si>
    <t>2022-05-21</t>
  </si>
  <si>
    <t>PRD1345</t>
  </si>
  <si>
    <t>ORD000396</t>
  </si>
  <si>
    <t>CUST4994</t>
  </si>
  <si>
    <t>manish567@email.com</t>
  </si>
  <si>
    <t>PRD1791</t>
  </si>
  <si>
    <t>ORD000397</t>
  </si>
  <si>
    <t>CUST2130</t>
  </si>
  <si>
    <t>sunita300@email.com</t>
  </si>
  <si>
    <t>PRD4477</t>
  </si>
  <si>
    <t>ORD000398</t>
  </si>
  <si>
    <t>CUST7076</t>
  </si>
  <si>
    <t>aditya398@email.com</t>
  </si>
  <si>
    <t>2023-02-09</t>
  </si>
  <si>
    <t>PRD4217</t>
  </si>
  <si>
    <t>ORD000399</t>
  </si>
  <si>
    <t>CUST7615</t>
  </si>
  <si>
    <t>suresh954@email.com</t>
  </si>
  <si>
    <t>PRD4078</t>
  </si>
  <si>
    <t>ORD000400</t>
  </si>
  <si>
    <t>CUST3865</t>
  </si>
  <si>
    <t>vikram273@email.com</t>
  </si>
  <si>
    <t>2022-10-28</t>
  </si>
  <si>
    <t>2022-10-31</t>
  </si>
  <si>
    <t>PRD2075</t>
  </si>
  <si>
    <t>ORD000401</t>
  </si>
  <si>
    <t>arjun741@email.com</t>
  </si>
  <si>
    <t>2024-09-19</t>
  </si>
  <si>
    <t>PRD3406</t>
  </si>
  <si>
    <t>ORD000402</t>
  </si>
  <si>
    <t>CUST4890</t>
  </si>
  <si>
    <t>sunita40@email.com</t>
  </si>
  <si>
    <t>PRD3979</t>
  </si>
  <si>
    <t>ORD000403</t>
  </si>
  <si>
    <t>CUST2677</t>
  </si>
  <si>
    <t>deepak754@email.com</t>
  </si>
  <si>
    <t>PRD1490</t>
  </si>
  <si>
    <t>ORD000404</t>
  </si>
  <si>
    <t>CUST7820</t>
  </si>
  <si>
    <t>vikram325@email.com</t>
  </si>
  <si>
    <t>2022-04-07</t>
  </si>
  <si>
    <t>PRD1074</t>
  </si>
  <si>
    <t>ORD000405</t>
  </si>
  <si>
    <t>CUST7307</t>
  </si>
  <si>
    <t>Aditya Nair</t>
  </si>
  <si>
    <t>aditya299@email.com</t>
  </si>
  <si>
    <t>2022-01-28</t>
  </si>
  <si>
    <t>PRD3492</t>
  </si>
  <si>
    <t>ORD000406</t>
  </si>
  <si>
    <t>CUST3933</t>
  </si>
  <si>
    <t>arjun814@email.com</t>
  </si>
  <si>
    <t>PRD4953</t>
  </si>
  <si>
    <t>ORD000407</t>
  </si>
  <si>
    <t>CUST4445</t>
  </si>
  <si>
    <t>suresh167@email.com</t>
  </si>
  <si>
    <t>2023-11-08</t>
  </si>
  <si>
    <t>PRD1129</t>
  </si>
  <si>
    <t>ORD000408</t>
  </si>
  <si>
    <t>CUST1435</t>
  </si>
  <si>
    <t>sunita640@email.com</t>
  </si>
  <si>
    <t>ORD000409</t>
  </si>
  <si>
    <t>CUST6315</t>
  </si>
  <si>
    <t>2024-11-20</t>
  </si>
  <si>
    <t>PRD3493</t>
  </si>
  <si>
    <t>ORD000410</t>
  </si>
  <si>
    <t>CUST5128</t>
  </si>
  <si>
    <t>aditya533@email.com</t>
  </si>
  <si>
    <t>2024-04-21</t>
  </si>
  <si>
    <t>PRD4880</t>
  </si>
  <si>
    <t>ORD000411</t>
  </si>
  <si>
    <t>CUST1548</t>
  </si>
  <si>
    <t>sunita3@email.com</t>
  </si>
  <si>
    <t>2022-05-28</t>
  </si>
  <si>
    <t>2022-05-31</t>
  </si>
  <si>
    <t>PRD4966</t>
  </si>
  <si>
    <t>ORD000412</t>
  </si>
  <si>
    <t>CUST3393</t>
  </si>
  <si>
    <t>karan331@email.com</t>
  </si>
  <si>
    <t>2023-08-06</t>
  </si>
  <si>
    <t>2023-08-09</t>
  </si>
  <si>
    <t>PRD2766</t>
  </si>
  <si>
    <t>ORD000413</t>
  </si>
  <si>
    <t>CUST2813</t>
  </si>
  <si>
    <t>pooja99@email.com</t>
  </si>
  <si>
    <t>PRD3109</t>
  </si>
  <si>
    <t>ORD000414</t>
  </si>
  <si>
    <t>CUST2442</t>
  </si>
  <si>
    <t>Nisha Singh</t>
  </si>
  <si>
    <t>nisha939@email.com</t>
  </si>
  <si>
    <t>2022-06-06</t>
  </si>
  <si>
    <t>2022-06-09</t>
  </si>
  <si>
    <t>PRD1007</t>
  </si>
  <si>
    <t>ORD000415</t>
  </si>
  <si>
    <t>CUST7360</t>
  </si>
  <si>
    <t>Swati Verma</t>
  </si>
  <si>
    <t>swati518@email.com</t>
  </si>
  <si>
    <t>PRD1407</t>
  </si>
  <si>
    <t>ORD000416</t>
  </si>
  <si>
    <t>CUST7016</t>
  </si>
  <si>
    <t>nisha8@email.com</t>
  </si>
  <si>
    <t>2022-04-27</t>
  </si>
  <si>
    <t>2022-04-30</t>
  </si>
  <si>
    <t>PRD1662</t>
  </si>
  <si>
    <t>ORD000417</t>
  </si>
  <si>
    <t>CUST7106</t>
  </si>
  <si>
    <t>suresh597@email.com</t>
  </si>
  <si>
    <t>2023-01-14</t>
  </si>
  <si>
    <t>PRD4753</t>
  </si>
  <si>
    <t>ORD000418</t>
  </si>
  <si>
    <t>CUST8928</t>
  </si>
  <si>
    <t>amit204@email.com</t>
  </si>
  <si>
    <t>2022-12-17</t>
  </si>
  <si>
    <t>PRD3259</t>
  </si>
  <si>
    <t>ORD000419</t>
  </si>
  <si>
    <t>CUST2742</t>
  </si>
  <si>
    <t>sunita670@email.com</t>
  </si>
  <si>
    <t>2022-06-08</t>
  </si>
  <si>
    <t>PRD3944</t>
  </si>
  <si>
    <t>ORD000420</t>
  </si>
  <si>
    <t>CUST2070</t>
  </si>
  <si>
    <t>rahul225@email.com</t>
  </si>
  <si>
    <t>2024-02-18</t>
  </si>
  <si>
    <t>PRD1062</t>
  </si>
  <si>
    <t>ORD000421</t>
  </si>
  <si>
    <t>anita757@email.com</t>
  </si>
  <si>
    <t>PRD4651</t>
  </si>
  <si>
    <t>ORD000422</t>
  </si>
  <si>
    <t>CUST6759</t>
  </si>
  <si>
    <t>meena413@email.com</t>
  </si>
  <si>
    <t>PRD3654</t>
  </si>
  <si>
    <t>ORD000423</t>
  </si>
  <si>
    <t>CUST7731</t>
  </si>
  <si>
    <t>aditya519@email.com</t>
  </si>
  <si>
    <t>PRD4873</t>
  </si>
  <si>
    <t>ORD000424</t>
  </si>
  <si>
    <t>CUST5619</t>
  </si>
  <si>
    <t>pooja146@email.com</t>
  </si>
  <si>
    <t>2022-09-20</t>
  </si>
  <si>
    <t>PRD4916</t>
  </si>
  <si>
    <t>ORD000425</t>
  </si>
  <si>
    <t>CUST6036</t>
  </si>
  <si>
    <t>divya695@email.com</t>
  </si>
  <si>
    <t>PRD4732</t>
  </si>
  <si>
    <t>ORD000426</t>
  </si>
  <si>
    <t>CUST4231</t>
  </si>
  <si>
    <t>nisha507@email.com</t>
  </si>
  <si>
    <t>2024-01-30</t>
  </si>
  <si>
    <t>ORD000427</t>
  </si>
  <si>
    <t>CUST4383</t>
  </si>
  <si>
    <t>Sunita Iyer</t>
  </si>
  <si>
    <t>sunita457@email.com</t>
  </si>
  <si>
    <t>2023-11-26</t>
  </si>
  <si>
    <t>PRD4327</t>
  </si>
  <si>
    <t>ORD000428</t>
  </si>
  <si>
    <t>CUST8984</t>
  </si>
  <si>
    <t>rahul846@email.com</t>
  </si>
  <si>
    <t>2022-05-19</t>
  </si>
  <si>
    <t>2022-05-27</t>
  </si>
  <si>
    <t>PRD4169</t>
  </si>
  <si>
    <t>ORD000429</t>
  </si>
  <si>
    <t>CUST9823</t>
  </si>
  <si>
    <t>meena537@email.com</t>
  </si>
  <si>
    <t>ORD000430</t>
  </si>
  <si>
    <t>CUST9462</t>
  </si>
  <si>
    <t>karan850@email.com</t>
  </si>
  <si>
    <t>PRD2301</t>
  </si>
  <si>
    <t>ORD000431</t>
  </si>
  <si>
    <t>CUST1905</t>
  </si>
  <si>
    <t>pooja853@email.com</t>
  </si>
  <si>
    <t>2022-03-03</t>
  </si>
  <si>
    <t>2022-03-06</t>
  </si>
  <si>
    <t>2022-03-11</t>
  </si>
  <si>
    <t>ORD000432</t>
  </si>
  <si>
    <t>CUST7257</t>
  </si>
  <si>
    <t>nisha459@email.com</t>
  </si>
  <si>
    <t>2022-12-21</t>
  </si>
  <si>
    <t>2022-12-27</t>
  </si>
  <si>
    <t>PRD2058</t>
  </si>
  <si>
    <t>ORD000433</t>
  </si>
  <si>
    <t>CUST6043</t>
  </si>
  <si>
    <t>deepak159@email.com</t>
  </si>
  <si>
    <t>2022-11-16</t>
  </si>
  <si>
    <t>2022-11-19</t>
  </si>
  <si>
    <t>2022-11-24</t>
  </si>
  <si>
    <t>ORD000434</t>
  </si>
  <si>
    <t>CUST8558</t>
  </si>
  <si>
    <t>suresh430@email.com</t>
  </si>
  <si>
    <t>2022-11-28</t>
  </si>
  <si>
    <t>2022-11-30</t>
  </si>
  <si>
    <t>PRD3551</t>
  </si>
  <si>
    <t>ORD000435</t>
  </si>
  <si>
    <t>CUST7135</t>
  </si>
  <si>
    <t>Rohit Kumar</t>
  </si>
  <si>
    <t>rohit751@email.com</t>
  </si>
  <si>
    <t>PRD2730</t>
  </si>
  <si>
    <t>ORD000436</t>
  </si>
  <si>
    <t>CUST1446</t>
  </si>
  <si>
    <t>Deepak Sharma</t>
  </si>
  <si>
    <t>2023-12-21</t>
  </si>
  <si>
    <t>PRD4255</t>
  </si>
  <si>
    <t>ORD000437</t>
  </si>
  <si>
    <t>CUST7165</t>
  </si>
  <si>
    <t>meena485@email.com</t>
  </si>
  <si>
    <t>2023-01-18</t>
  </si>
  <si>
    <t>PRD4647</t>
  </si>
  <si>
    <t>ORD000438</t>
  </si>
  <si>
    <t>CUST1741</t>
  </si>
  <si>
    <t>manish955@email.com</t>
  </si>
  <si>
    <t>2022-12-31</t>
  </si>
  <si>
    <t>2023-01-03</t>
  </si>
  <si>
    <t>PRD2873</t>
  </si>
  <si>
    <t>ORD000439</t>
  </si>
  <si>
    <t>CUST7420</t>
  </si>
  <si>
    <t>rahul908@email.com</t>
  </si>
  <si>
    <t>2024-03-30</t>
  </si>
  <si>
    <t>2024-04-01</t>
  </si>
  <si>
    <t>PRD3734</t>
  </si>
  <si>
    <t>ORD000440</t>
  </si>
  <si>
    <t>CUST8626</t>
  </si>
  <si>
    <t>rohit506@email.com</t>
  </si>
  <si>
    <t>2022-11-05</t>
  </si>
  <si>
    <t>PRD1181</t>
  </si>
  <si>
    <t>ORD000441</t>
  </si>
  <si>
    <t>CUST7488</t>
  </si>
  <si>
    <t>rohit742@email.com</t>
  </si>
  <si>
    <t>2023-05-30</t>
  </si>
  <si>
    <t>PRD2330</t>
  </si>
  <si>
    <t>ORD000442</t>
  </si>
  <si>
    <t>CUST7226</t>
  </si>
  <si>
    <t>rahul75@email.com</t>
  </si>
  <si>
    <t>2024-02-28</t>
  </si>
  <si>
    <t>PRD1609</t>
  </si>
  <si>
    <t>ORD000443</t>
  </si>
  <si>
    <t>CUST4368</t>
  </si>
  <si>
    <t>rahul330@email.com</t>
  </si>
  <si>
    <t>2022-03-09</t>
  </si>
  <si>
    <t>2022-03-10</t>
  </si>
  <si>
    <t>2022-03-16</t>
  </si>
  <si>
    <t>PRD4188</t>
  </si>
  <si>
    <t>ORD000444</t>
  </si>
  <si>
    <t>CUST4855</t>
  </si>
  <si>
    <t>sunita181@email.com</t>
  </si>
  <si>
    <t>2024-01-02</t>
  </si>
  <si>
    <t>2024-01-03</t>
  </si>
  <si>
    <t>2024-01-05</t>
  </si>
  <si>
    <t>PRD3757</t>
  </si>
  <si>
    <t>ORD000445</t>
  </si>
  <si>
    <t>CUST5770</t>
  </si>
  <si>
    <t>vikram967@email.com</t>
  </si>
  <si>
    <t>2024-07-19</t>
  </si>
  <si>
    <t>2024-07-20</t>
  </si>
  <si>
    <t>PRD4124</t>
  </si>
  <si>
    <t>ORD000446</t>
  </si>
  <si>
    <t>rohit884@email.com</t>
  </si>
  <si>
    <t>PRD4443</t>
  </si>
  <si>
    <t>ORD000447</t>
  </si>
  <si>
    <t>CUST2841</t>
  </si>
  <si>
    <t>aditya361@email.com</t>
  </si>
  <si>
    <t>2023-02-16</t>
  </si>
  <si>
    <t>2023-02-19</t>
  </si>
  <si>
    <t>2023-02-27</t>
  </si>
  <si>
    <t>PRD4489</t>
  </si>
  <si>
    <t>ORD000448</t>
  </si>
  <si>
    <t>CUST1221</t>
  </si>
  <si>
    <t>amit631@email.com</t>
  </si>
  <si>
    <t>2023-11-19</t>
  </si>
  <si>
    <t>PRD3834</t>
  </si>
  <si>
    <t>ORD000449</t>
  </si>
  <si>
    <t>CUST9172</t>
  </si>
  <si>
    <t>manish848@email.com</t>
  </si>
  <si>
    <t>2023-06-28</t>
  </si>
  <si>
    <t>PRD3370</t>
  </si>
  <si>
    <t>ORD000450</t>
  </si>
  <si>
    <t>CUST4510</t>
  </si>
  <si>
    <t>nisha145@email.com</t>
  </si>
  <si>
    <t>PRD1121</t>
  </si>
  <si>
    <t>ORD000451</t>
  </si>
  <si>
    <t>CUST9753</t>
  </si>
  <si>
    <t>arjun575@email.com</t>
  </si>
  <si>
    <t>PRD2076</t>
  </si>
  <si>
    <t>ORD000452</t>
  </si>
  <si>
    <t>CUST3419</t>
  </si>
  <si>
    <t>pooja105@email.com</t>
  </si>
  <si>
    <t>2023-06-16</t>
  </si>
  <si>
    <t>PRD2426</t>
  </si>
  <si>
    <t>ORD000453</t>
  </si>
  <si>
    <t>CUST1069</t>
  </si>
  <si>
    <t>priya560@email.com</t>
  </si>
  <si>
    <t>2023-06-06</t>
  </si>
  <si>
    <t>2023-06-08</t>
  </si>
  <si>
    <t>PRD1710</t>
  </si>
  <si>
    <t>ORD000454</t>
  </si>
  <si>
    <t>CUST5994</t>
  </si>
  <si>
    <t>sunita929@email.com</t>
  </si>
  <si>
    <t>2023-11-30</t>
  </si>
  <si>
    <t>2023-12-02</t>
  </si>
  <si>
    <t>PRD1269</t>
  </si>
  <si>
    <t>ORD000455</t>
  </si>
  <si>
    <t>priya794@email.com</t>
  </si>
  <si>
    <t>PRD4839</t>
  </si>
  <si>
    <t>ORD000456</t>
  </si>
  <si>
    <t>CUST8255</t>
  </si>
  <si>
    <t>2022-06-04</t>
  </si>
  <si>
    <t>PRD4033</t>
  </si>
  <si>
    <t>ORD000457</t>
  </si>
  <si>
    <t>CUST2697</t>
  </si>
  <si>
    <t>deepak873@email.com</t>
  </si>
  <si>
    <t>2023-05-05</t>
  </si>
  <si>
    <t>ORD000458</t>
  </si>
  <si>
    <t>CUST9408</t>
  </si>
  <si>
    <t>nisha95@email.com</t>
  </si>
  <si>
    <t>2023-09-11</t>
  </si>
  <si>
    <t>PRD4755</t>
  </si>
  <si>
    <t>ORD000459</t>
  </si>
  <si>
    <t>CUST8765</t>
  </si>
  <si>
    <t>aditya104@email.com</t>
  </si>
  <si>
    <t>PRD2222</t>
  </si>
  <si>
    <t>ORD000460</t>
  </si>
  <si>
    <t>CUST7237</t>
  </si>
  <si>
    <t>divya236@email.com</t>
  </si>
  <si>
    <t>2022-05-23</t>
  </si>
  <si>
    <t>PRD4111</t>
  </si>
  <si>
    <t>ORD000461</t>
  </si>
  <si>
    <t>CUST9837</t>
  </si>
  <si>
    <t>amit137@email.com</t>
  </si>
  <si>
    <t>2024-09-21</t>
  </si>
  <si>
    <t>PRD2396</t>
  </si>
  <si>
    <t>ORD000462</t>
  </si>
  <si>
    <t>CUST4202</t>
  </si>
  <si>
    <t>manish110@email.com</t>
  </si>
  <si>
    <t>2024-11-25</t>
  </si>
  <si>
    <t>PRD2319</t>
  </si>
  <si>
    <t>Bed Frame</t>
  </si>
  <si>
    <t>ORD000463</t>
  </si>
  <si>
    <t>CUST4711</t>
  </si>
  <si>
    <t>priya464@email.com</t>
  </si>
  <si>
    <t>PRD2982</t>
  </si>
  <si>
    <t>ORD000464</t>
  </si>
  <si>
    <t>CUST7354</t>
  </si>
  <si>
    <t>divya637@email.com</t>
  </si>
  <si>
    <t>2023-05-06</t>
  </si>
  <si>
    <t>2023-05-07</t>
  </si>
  <si>
    <t>2023-05-10</t>
  </si>
  <si>
    <t>PRD1575</t>
  </si>
  <si>
    <t>ORD000465</t>
  </si>
  <si>
    <t>CUST7309</t>
  </si>
  <si>
    <t>priya707@email.com</t>
  </si>
  <si>
    <t>PRD3012</t>
  </si>
  <si>
    <t>ORD000466</t>
  </si>
  <si>
    <t>CUST9871</t>
  </si>
  <si>
    <t>manish866@email.com</t>
  </si>
  <si>
    <t>2022-01-03</t>
  </si>
  <si>
    <t>PRD1200</t>
  </si>
  <si>
    <t>ORD000467</t>
  </si>
  <si>
    <t>CUST7427</t>
  </si>
  <si>
    <t>rahul202@email.com</t>
  </si>
  <si>
    <t>2023-08-27</t>
  </si>
  <si>
    <t>2023-08-31</t>
  </si>
  <si>
    <t>PRD3773</t>
  </si>
  <si>
    <t>ORD000468</t>
  </si>
  <si>
    <t>CUST4541</t>
  </si>
  <si>
    <t>pooja916@email.com</t>
  </si>
  <si>
    <t>2022-11-04</t>
  </si>
  <si>
    <t>PRD1830</t>
  </si>
  <si>
    <t>ORD000469</t>
  </si>
  <si>
    <t>CUST8991</t>
  </si>
  <si>
    <t>deepak709@email.com</t>
  </si>
  <si>
    <t>PRD1803</t>
  </si>
  <si>
    <t>ORD000470</t>
  </si>
  <si>
    <t>CUST1780</t>
  </si>
  <si>
    <t>divya436@email.com</t>
  </si>
  <si>
    <t>PRD3058</t>
  </si>
  <si>
    <t>ORD000471</t>
  </si>
  <si>
    <t>CUST5902</t>
  </si>
  <si>
    <t>meena935@email.com</t>
  </si>
  <si>
    <t>PRD1348</t>
  </si>
  <si>
    <t>ORD000472</t>
  </si>
  <si>
    <t>CUST5287</t>
  </si>
  <si>
    <t>anita34@email.com</t>
  </si>
  <si>
    <t>PRD1092</t>
  </si>
  <si>
    <t>ORD000473</t>
  </si>
  <si>
    <t>CUST9003</t>
  </si>
  <si>
    <t>meena329@email.com</t>
  </si>
  <si>
    <t>2022-04-15</t>
  </si>
  <si>
    <t>2022-04-23</t>
  </si>
  <si>
    <t>PRD3732</t>
  </si>
  <si>
    <t>ORD000474</t>
  </si>
  <si>
    <t>CUST2024</t>
  </si>
  <si>
    <t>rahul512@email.com</t>
  </si>
  <si>
    <t>2023-04-15</t>
  </si>
  <si>
    <t>PRD3102</t>
  </si>
  <si>
    <t>ORD000475</t>
  </si>
  <si>
    <t>CUST8303</t>
  </si>
  <si>
    <t>meena181@email.com</t>
  </si>
  <si>
    <t>PRD3901</t>
  </si>
  <si>
    <t>ORD000476</t>
  </si>
  <si>
    <t>CUST5645</t>
  </si>
  <si>
    <t>swati140@email.com</t>
  </si>
  <si>
    <t>2023-12-08</t>
  </si>
  <si>
    <t>PRD1949</t>
  </si>
  <si>
    <t>ORD000477</t>
  </si>
  <si>
    <t>CUST1803</t>
  </si>
  <si>
    <t>rahul416@email.com</t>
  </si>
  <si>
    <t>2023-02-15</t>
  </si>
  <si>
    <t>PRD3709</t>
  </si>
  <si>
    <t>ORD000478</t>
  </si>
  <si>
    <t>CUST4829</t>
  </si>
  <si>
    <t>aditya958@email.com</t>
  </si>
  <si>
    <t>PRD4920</t>
  </si>
  <si>
    <t>ORD000479</t>
  </si>
  <si>
    <t>CUST7163</t>
  </si>
  <si>
    <t>PRD3765</t>
  </si>
  <si>
    <t>ORD000480</t>
  </si>
  <si>
    <t>CUST7931</t>
  </si>
  <si>
    <t>priya318@email.com</t>
  </si>
  <si>
    <t>2022-10-18</t>
  </si>
  <si>
    <t>2022-10-26</t>
  </si>
  <si>
    <t>PRD3700</t>
  </si>
  <si>
    <t>ORD000481</t>
  </si>
  <si>
    <t>CUST5299</t>
  </si>
  <si>
    <t>karan992@email.com</t>
  </si>
  <si>
    <t>2024-03-19</t>
  </si>
  <si>
    <t>PRD1235</t>
  </si>
  <si>
    <t>ORD000482</t>
  </si>
  <si>
    <t>CUST4957</t>
  </si>
  <si>
    <t>rekha630@email.com</t>
  </si>
  <si>
    <t>PRD1964</t>
  </si>
  <si>
    <t>ORD000483</t>
  </si>
  <si>
    <t>CUST7409</t>
  </si>
  <si>
    <t>manish534@email.com</t>
  </si>
  <si>
    <t>2023-03-20</t>
  </si>
  <si>
    <t>ORD000484</t>
  </si>
  <si>
    <t>CUST3313</t>
  </si>
  <si>
    <t>manish5@email.com</t>
  </si>
  <si>
    <t>2024-01-23</t>
  </si>
  <si>
    <t>PRD2110</t>
  </si>
  <si>
    <t>ORD000485</t>
  </si>
  <si>
    <t>CUST4950</t>
  </si>
  <si>
    <t>deepak588@email.com</t>
  </si>
  <si>
    <t>2023-11-07</t>
  </si>
  <si>
    <t>ORD000486</t>
  </si>
  <si>
    <t>CUST3551</t>
  </si>
  <si>
    <t>priya442@email.com</t>
  </si>
  <si>
    <t>2024-07-18</t>
  </si>
  <si>
    <t>PRD2897</t>
  </si>
  <si>
    <t>ORD000487</t>
  </si>
  <si>
    <t>CUST7846</t>
  </si>
  <si>
    <t>rohit165@email.com</t>
  </si>
  <si>
    <t>2024-06-13</t>
  </si>
  <si>
    <t>2024-06-16</t>
  </si>
  <si>
    <t>PRD4495</t>
  </si>
  <si>
    <t>ORD000488</t>
  </si>
  <si>
    <t>CUST1538</t>
  </si>
  <si>
    <t>divya598@email.com</t>
  </si>
  <si>
    <t>2022-11-23</t>
  </si>
  <si>
    <t>PRD4583</t>
  </si>
  <si>
    <t>ORD000489</t>
  </si>
  <si>
    <t>CUST8019</t>
  </si>
  <si>
    <t>anita932@email.com</t>
  </si>
  <si>
    <t>2022-12-28</t>
  </si>
  <si>
    <t>PRD3038</t>
  </si>
  <si>
    <t>ORD000490</t>
  </si>
  <si>
    <t>CUST2091</t>
  </si>
  <si>
    <t>PRD3399</t>
  </si>
  <si>
    <t>ORD000491</t>
  </si>
  <si>
    <t>CUST7511</t>
  </si>
  <si>
    <t>rahul418@email.com</t>
  </si>
  <si>
    <t>PRD3836</t>
  </si>
  <si>
    <t>ORD000492</t>
  </si>
  <si>
    <t>CUST3863</t>
  </si>
  <si>
    <t>rohit113@email.com</t>
  </si>
  <si>
    <t>2022-01-01</t>
  </si>
  <si>
    <t>2022-01-11</t>
  </si>
  <si>
    <t>PRD4137</t>
  </si>
  <si>
    <t>ORD000493</t>
  </si>
  <si>
    <t>CUST9380</t>
  </si>
  <si>
    <t>suresh476@email.com</t>
  </si>
  <si>
    <t>PRD3417</t>
  </si>
  <si>
    <t>ORD000494</t>
  </si>
  <si>
    <t>CUST9195</t>
  </si>
  <si>
    <t>karan885@email.com</t>
  </si>
  <si>
    <t>ORD000495</t>
  </si>
  <si>
    <t>CUST2077</t>
  </si>
  <si>
    <t>nisha562@email.com</t>
  </si>
  <si>
    <t>ORD000496</t>
  </si>
  <si>
    <t>CUST1047</t>
  </si>
  <si>
    <t>rahul289@email.com</t>
  </si>
  <si>
    <t>2022-02-25</t>
  </si>
  <si>
    <t>ORD000497</t>
  </si>
  <si>
    <t>CUST5465</t>
  </si>
  <si>
    <t>anita173@email.com</t>
  </si>
  <si>
    <t>PRD1067</t>
  </si>
  <si>
    <t>ORD000498</t>
  </si>
  <si>
    <t>CUST6389</t>
  </si>
  <si>
    <t>meena36@email.com</t>
  </si>
  <si>
    <t>2023-10-19</t>
  </si>
  <si>
    <t>2023-10-27</t>
  </si>
  <si>
    <t>PRD2273</t>
  </si>
  <si>
    <t>ORD000499</t>
  </si>
  <si>
    <t>CUST7942</t>
  </si>
  <si>
    <t>sunita602@email.com</t>
  </si>
  <si>
    <t>2024-06-28</t>
  </si>
  <si>
    <t>PRD1461</t>
  </si>
  <si>
    <t>ORD000500</t>
  </si>
  <si>
    <t>CUST3152</t>
  </si>
  <si>
    <t>kavya908@email.com</t>
  </si>
  <si>
    <t>2024-01-20</t>
  </si>
  <si>
    <t>PRD2703</t>
  </si>
  <si>
    <t>ORD000501</t>
  </si>
  <si>
    <t>CUST3252</t>
  </si>
  <si>
    <t>karan28@email.com</t>
  </si>
  <si>
    <t>PRD2496</t>
  </si>
  <si>
    <t>ORD000502</t>
  </si>
  <si>
    <t>CUST2393</t>
  </si>
  <si>
    <t>rekha249@email.com</t>
  </si>
  <si>
    <t>2024-05-17</t>
  </si>
  <si>
    <t>2024-05-20</t>
  </si>
  <si>
    <t>ORD000503</t>
  </si>
  <si>
    <t>CUST8244</t>
  </si>
  <si>
    <t>deepak13@email.com</t>
  </si>
  <si>
    <t>PRD4597</t>
  </si>
  <si>
    <t>ORD000504</t>
  </si>
  <si>
    <t>CUST1827</t>
  </si>
  <si>
    <t>rohit851@email.com</t>
  </si>
  <si>
    <t>2022-03-25</t>
  </si>
  <si>
    <t>PRD1741</t>
  </si>
  <si>
    <t>ORD000505</t>
  </si>
  <si>
    <t>CUST6582</t>
  </si>
  <si>
    <t>rahul638@email.com</t>
  </si>
  <si>
    <t>PRD1060</t>
  </si>
  <si>
    <t>ORD000506</t>
  </si>
  <si>
    <t>CUST1572</t>
  </si>
  <si>
    <t>deepak230@email.com</t>
  </si>
  <si>
    <t>2023-04-14</t>
  </si>
  <si>
    <t>PRD4439</t>
  </si>
  <si>
    <t>ORD000507</t>
  </si>
  <si>
    <t>CUST8970</t>
  </si>
  <si>
    <t>priya632@email.com</t>
  </si>
  <si>
    <t>PRD3265</t>
  </si>
  <si>
    <t>ORD000508</t>
  </si>
  <si>
    <t>CUST6535</t>
  </si>
  <si>
    <t>sunita684@email.com</t>
  </si>
  <si>
    <t>2022-10-08</t>
  </si>
  <si>
    <t>PRD2592</t>
  </si>
  <si>
    <t>ORD000509</t>
  </si>
  <si>
    <t>CUST1443</t>
  </si>
  <si>
    <t>nisha605@email.com</t>
  </si>
  <si>
    <t>2024-02-22</t>
  </si>
  <si>
    <t>PRD4358</t>
  </si>
  <si>
    <t>ORD000510</t>
  </si>
  <si>
    <t>CUST5107</t>
  </si>
  <si>
    <t>rahul806@email.com</t>
  </si>
  <si>
    <t>2023-08-29</t>
  </si>
  <si>
    <t>2023-09-06</t>
  </si>
  <si>
    <t>PRD1514</t>
  </si>
  <si>
    <t>ORD000511</t>
  </si>
  <si>
    <t>anita70@email.com</t>
  </si>
  <si>
    <t>2022-07-28</t>
  </si>
  <si>
    <t>PRD4027</t>
  </si>
  <si>
    <t>ORD000512</t>
  </si>
  <si>
    <t>CUST2604</t>
  </si>
  <si>
    <t>amit230@email.com</t>
  </si>
  <si>
    <t>PRD3879</t>
  </si>
  <si>
    <t>ORD000513</t>
  </si>
  <si>
    <t>CUST6199</t>
  </si>
  <si>
    <t>Suresh Patel</t>
  </si>
  <si>
    <t>suresh994@email.com</t>
  </si>
  <si>
    <t>2022-09-07</t>
  </si>
  <si>
    <t>ORD000514</t>
  </si>
  <si>
    <t>CUST8823</t>
  </si>
  <si>
    <t>anita51@email.com</t>
  </si>
  <si>
    <t>2022-03-31</t>
  </si>
  <si>
    <t>PRD4505</t>
  </si>
  <si>
    <t>ORD000515</t>
  </si>
  <si>
    <t>CUST9946</t>
  </si>
  <si>
    <t>anita914@email.com</t>
  </si>
  <si>
    <t>2024-12-25</t>
  </si>
  <si>
    <t>2024-12-31</t>
  </si>
  <si>
    <t>PRD4970</t>
  </si>
  <si>
    <t>ORD000516</t>
  </si>
  <si>
    <t>CUST5428</t>
  </si>
  <si>
    <t>suresh186@email.com</t>
  </si>
  <si>
    <t>PRD3035</t>
  </si>
  <si>
    <t>ORD000517</t>
  </si>
  <si>
    <t>CUST2618</t>
  </si>
  <si>
    <t>nisha788@email.com</t>
  </si>
  <si>
    <t>PRD1522</t>
  </si>
  <si>
    <t>ORD000518</t>
  </si>
  <si>
    <t>meena198@email.com</t>
  </si>
  <si>
    <t>PRD1547</t>
  </si>
  <si>
    <t>ORD000519</t>
  </si>
  <si>
    <t>CUST9122</t>
  </si>
  <si>
    <t>rohit635@email.com</t>
  </si>
  <si>
    <t>PRD4827</t>
  </si>
  <si>
    <t>ORD000520</t>
  </si>
  <si>
    <t>CUST9854</t>
  </si>
  <si>
    <t>vikram216@email.com</t>
  </si>
  <si>
    <t>PRD1368</t>
  </si>
  <si>
    <t>ORD000521</t>
  </si>
  <si>
    <t>CUST2919</t>
  </si>
  <si>
    <t>sunita682@email.com</t>
  </si>
  <si>
    <t>2023-07-20</t>
  </si>
  <si>
    <t>2023-07-22</t>
  </si>
  <si>
    <t>PRD1910</t>
  </si>
  <si>
    <t>ORD000522</t>
  </si>
  <si>
    <t>CUST5425</t>
  </si>
  <si>
    <t>pooja879@email.com</t>
  </si>
  <si>
    <t>PRD4979</t>
  </si>
  <si>
    <t>ORD000523</t>
  </si>
  <si>
    <t>CUST3197</t>
  </si>
  <si>
    <t>kavya339@email.com</t>
  </si>
  <si>
    <t>2022-12-23</t>
  </si>
  <si>
    <t>PRD1382</t>
  </si>
  <si>
    <t>ORD000524</t>
  </si>
  <si>
    <t>CUST3616</t>
  </si>
  <si>
    <t>anita334@email.com</t>
  </si>
  <si>
    <t>2024-07-22</t>
  </si>
  <si>
    <t>2024-07-26</t>
  </si>
  <si>
    <t>PRD4476</t>
  </si>
  <si>
    <t>ORD000525</t>
  </si>
  <si>
    <t>CUST8224</t>
  </si>
  <si>
    <t>manish164@email.com</t>
  </si>
  <si>
    <t>PRD2789</t>
  </si>
  <si>
    <t>ORD000526</t>
  </si>
  <si>
    <t>CUST3796</t>
  </si>
  <si>
    <t>amit709@email.com</t>
  </si>
  <si>
    <t>PRD2474</t>
  </si>
  <si>
    <t>ORD000527</t>
  </si>
  <si>
    <t>CUST4639</t>
  </si>
  <si>
    <t>rekha71@email.com</t>
  </si>
  <si>
    <t>2024-03-26</t>
  </si>
  <si>
    <t>2024-03-27</t>
  </si>
  <si>
    <t>2024-04-03</t>
  </si>
  <si>
    <t>PRD2753</t>
  </si>
  <si>
    <t>ORD000528</t>
  </si>
  <si>
    <t>CUST5278</t>
  </si>
  <si>
    <t>anita219@email.com</t>
  </si>
  <si>
    <t>2023-10-16</t>
  </si>
  <si>
    <t>ORD000529</t>
  </si>
  <si>
    <t>CUST5307</t>
  </si>
  <si>
    <t>Deepak Reddy</t>
  </si>
  <si>
    <t>deepak649@email.com</t>
  </si>
  <si>
    <t>PRD2528</t>
  </si>
  <si>
    <t>ORD000530</t>
  </si>
  <si>
    <t>CUST5191</t>
  </si>
  <si>
    <t>priya600@email.com</t>
  </si>
  <si>
    <t>2023-09-15</t>
  </si>
  <si>
    <t>PRD4629</t>
  </si>
  <si>
    <t>ORD000531</t>
  </si>
  <si>
    <t>CUST5285</t>
  </si>
  <si>
    <t>sunita383@email.com</t>
  </si>
  <si>
    <t>PRD1440</t>
  </si>
  <si>
    <t>ORD000532</t>
  </si>
  <si>
    <t>CUST7318</t>
  </si>
  <si>
    <t>amit196@email.com</t>
  </si>
  <si>
    <t>PRD1302</t>
  </si>
  <si>
    <t>ORD000533</t>
  </si>
  <si>
    <t>CUST8903</t>
  </si>
  <si>
    <t>kavya162@email.com</t>
  </si>
  <si>
    <t>PRD1290</t>
  </si>
  <si>
    <t>ORD000534</t>
  </si>
  <si>
    <t>CUST1554</t>
  </si>
  <si>
    <t>meena769@email.com</t>
  </si>
  <si>
    <t>PRD4889</t>
  </si>
  <si>
    <t>ORD000535</t>
  </si>
  <si>
    <t>CUST3346</t>
  </si>
  <si>
    <t>suresh459@email.com</t>
  </si>
  <si>
    <t>PRD3496</t>
  </si>
  <si>
    <t>ORD000536</t>
  </si>
  <si>
    <t>CUST3167</t>
  </si>
  <si>
    <t>vikram380@email.com</t>
  </si>
  <si>
    <t>2023-08-25</t>
  </si>
  <si>
    <t>PRD2561</t>
  </si>
  <si>
    <t>ORD000537</t>
  </si>
  <si>
    <t>CUST2912</t>
  </si>
  <si>
    <t>amit174@email.com</t>
  </si>
  <si>
    <t>PRD3292</t>
  </si>
  <si>
    <t>ORD000538</t>
  </si>
  <si>
    <t>CUST7259</t>
  </si>
  <si>
    <t>suresh938@email.com</t>
  </si>
  <si>
    <t>PRD2787</t>
  </si>
  <si>
    <t>ORD000539</t>
  </si>
  <si>
    <t>CUST5215</t>
  </si>
  <si>
    <t>suresh792@email.com</t>
  </si>
  <si>
    <t>2023-04-16</t>
  </si>
  <si>
    <t>ORD000540</t>
  </si>
  <si>
    <t>CUST1590</t>
  </si>
  <si>
    <t>sunita996@email.com</t>
  </si>
  <si>
    <t>2023-11-03</t>
  </si>
  <si>
    <t>PRD3892</t>
  </si>
  <si>
    <t>ORD000541</t>
  </si>
  <si>
    <t>CUST5015</t>
  </si>
  <si>
    <t>amit989@email.com</t>
  </si>
  <si>
    <t>2023-11-05</t>
  </si>
  <si>
    <t>PRD1734</t>
  </si>
  <si>
    <t>ORD000542</t>
  </si>
  <si>
    <t>CUST2734</t>
  </si>
  <si>
    <t>amit797@email.com</t>
  </si>
  <si>
    <t>2022-02-08</t>
  </si>
  <si>
    <t>PRD2841</t>
  </si>
  <si>
    <t>ORD000543</t>
  </si>
  <si>
    <t>CUST7335</t>
  </si>
  <si>
    <t>karan428@email.com</t>
  </si>
  <si>
    <t>2022-05-08</t>
  </si>
  <si>
    <t>2022-05-16</t>
  </si>
  <si>
    <t>PRD4551</t>
  </si>
  <si>
    <t>ORD000544</t>
  </si>
  <si>
    <t>CUST6368</t>
  </si>
  <si>
    <t>suresh886@email.com</t>
  </si>
  <si>
    <t>2022-05-24</t>
  </si>
  <si>
    <t>PRD4401</t>
  </si>
  <si>
    <t>ORD000545</t>
  </si>
  <si>
    <t>CUST3859</t>
  </si>
  <si>
    <t>nisha534@email.com</t>
  </si>
  <si>
    <t>2022-08-21</t>
  </si>
  <si>
    <t>PRD4152</t>
  </si>
  <si>
    <t>ORD000546</t>
  </si>
  <si>
    <t>CUST1492</t>
  </si>
  <si>
    <t>Rahul Verma</t>
  </si>
  <si>
    <t>rahul738@email.com</t>
  </si>
  <si>
    <t>2023-08-17</t>
  </si>
  <si>
    <t>2023-08-19</t>
  </si>
  <si>
    <t>ORD000547</t>
  </si>
  <si>
    <t>CUST5009</t>
  </si>
  <si>
    <t>manish224@email.com</t>
  </si>
  <si>
    <t>PRD2587</t>
  </si>
  <si>
    <t>ORD000548</t>
  </si>
  <si>
    <t>CUST9964</t>
  </si>
  <si>
    <t>karan1@email.com</t>
  </si>
  <si>
    <t>PRD1826</t>
  </si>
  <si>
    <t>ORD000549</t>
  </si>
  <si>
    <t>CUST4471</t>
  </si>
  <si>
    <t>suresh71@email.com</t>
  </si>
  <si>
    <t>2022-07-03</t>
  </si>
  <si>
    <t>PRD1996</t>
  </si>
  <si>
    <t>ORD000550</t>
  </si>
  <si>
    <t>CUST3246</t>
  </si>
  <si>
    <t>anita124@email.com</t>
  </si>
  <si>
    <t>2023-02-18</t>
  </si>
  <si>
    <t>PRD1263</t>
  </si>
  <si>
    <t>ORD000551</t>
  </si>
  <si>
    <t>CUST7767</t>
  </si>
  <si>
    <t>amit644@email.com</t>
  </si>
  <si>
    <t>2022-02-01</t>
  </si>
  <si>
    <t>PRD3267</t>
  </si>
  <si>
    <t>ORD000552</t>
  </si>
  <si>
    <t>CUST2284</t>
  </si>
  <si>
    <t>Divya Mehta</t>
  </si>
  <si>
    <t>PRD2090</t>
  </si>
  <si>
    <t>ORD000553</t>
  </si>
  <si>
    <t>CUST2036</t>
  </si>
  <si>
    <t>Aditya Mehta</t>
  </si>
  <si>
    <t>aditya423@email.com</t>
  </si>
  <si>
    <t>PRD2230</t>
  </si>
  <si>
    <t>ORD000554</t>
  </si>
  <si>
    <t>CUST6000</t>
  </si>
  <si>
    <t>nisha342@email.com</t>
  </si>
  <si>
    <t>PRD4737</t>
  </si>
  <si>
    <t>ORD000555</t>
  </si>
  <si>
    <t>CUST6271</t>
  </si>
  <si>
    <t>meena820@email.com</t>
  </si>
  <si>
    <t>PRD2522</t>
  </si>
  <si>
    <t>ORD000556</t>
  </si>
  <si>
    <t>CUST3094</t>
  </si>
  <si>
    <t>arjun671@email.com</t>
  </si>
  <si>
    <t>2023-05-01</t>
  </si>
  <si>
    <t>2023-05-04</t>
  </si>
  <si>
    <t>2023-05-08</t>
  </si>
  <si>
    <t>PRD4023</t>
  </si>
  <si>
    <t>ORD000557</t>
  </si>
  <si>
    <t>CUST9019</t>
  </si>
  <si>
    <t>anita827@email.com</t>
  </si>
  <si>
    <t>PRD1503</t>
  </si>
  <si>
    <t>ORD000558</t>
  </si>
  <si>
    <t>CUST8024</t>
  </si>
  <si>
    <t>priya594@email.com</t>
  </si>
  <si>
    <t>2022-10-20</t>
  </si>
  <si>
    <t>PRD2275</t>
  </si>
  <si>
    <t>ORD000559</t>
  </si>
  <si>
    <t>CUST3852</t>
  </si>
  <si>
    <t>anita339@email.com</t>
  </si>
  <si>
    <t>PRD1651</t>
  </si>
  <si>
    <t>ORD000560</t>
  </si>
  <si>
    <t>CUST8792</t>
  </si>
  <si>
    <t>kavya572@email.com</t>
  </si>
  <si>
    <t>PRD1627</t>
  </si>
  <si>
    <t>ORD000561</t>
  </si>
  <si>
    <t>CUST9954</t>
  </si>
  <si>
    <t>suresh322@email.com</t>
  </si>
  <si>
    <t>2024-01-04</t>
  </si>
  <si>
    <t>PRD3121</t>
  </si>
  <si>
    <t>ORD000562</t>
  </si>
  <si>
    <t>CUST1676</t>
  </si>
  <si>
    <t>amit403@email.com</t>
  </si>
  <si>
    <t>2023-10-15</t>
  </si>
  <si>
    <t>PRD3931</t>
  </si>
  <si>
    <t>ORD000563</t>
  </si>
  <si>
    <t>CUST4939</t>
  </si>
  <si>
    <t>PRD1321</t>
  </si>
  <si>
    <t>ORD000564</t>
  </si>
  <si>
    <t>CUST6674</t>
  </si>
  <si>
    <t>manish889@email.com</t>
  </si>
  <si>
    <t>PRD3053</t>
  </si>
  <si>
    <t>ORD000565</t>
  </si>
  <si>
    <t>CUST4061</t>
  </si>
  <si>
    <t>rahul848@email.com</t>
  </si>
  <si>
    <t>PRD1095</t>
  </si>
  <si>
    <t>ORD000566</t>
  </si>
  <si>
    <t>CUST7315</t>
  </si>
  <si>
    <t>anita782@email.com</t>
  </si>
  <si>
    <t>2022-06-18</t>
  </si>
  <si>
    <t>ORD000567</t>
  </si>
  <si>
    <t>CUST2101</t>
  </si>
  <si>
    <t>arjun566@email.com</t>
  </si>
  <si>
    <t>PRD1031</t>
  </si>
  <si>
    <t>ORD000568</t>
  </si>
  <si>
    <t>CUST2733</t>
  </si>
  <si>
    <t>nisha977@email.com</t>
  </si>
  <si>
    <t>2022-10-25</t>
  </si>
  <si>
    <t>2022-10-27</t>
  </si>
  <si>
    <t>2022-10-29</t>
  </si>
  <si>
    <t>PRD4585</t>
  </si>
  <si>
    <t>ORD000569</t>
  </si>
  <si>
    <t>CUST8201</t>
  </si>
  <si>
    <t>rekha701@email.com</t>
  </si>
  <si>
    <t>2024-05-12</t>
  </si>
  <si>
    <t>2024-05-15</t>
  </si>
  <si>
    <t>PRD4069</t>
  </si>
  <si>
    <t>ORD000570</t>
  </si>
  <si>
    <t>CUST4291</t>
  </si>
  <si>
    <t>vikram80@email.com</t>
  </si>
  <si>
    <t>PRD1341</t>
  </si>
  <si>
    <t>ORD000571</t>
  </si>
  <si>
    <t>CUST2025</t>
  </si>
  <si>
    <t>kavya96@email.com</t>
  </si>
  <si>
    <t>2023-12-09</t>
  </si>
  <si>
    <t>PRD2312</t>
  </si>
  <si>
    <t>ORD000572</t>
  </si>
  <si>
    <t>CUST4838</t>
  </si>
  <si>
    <t>aditya804@email.com</t>
  </si>
  <si>
    <t>2023-02-02</t>
  </si>
  <si>
    <t>PRD1096</t>
  </si>
  <si>
    <t>ORD000573</t>
  </si>
  <si>
    <t>CUST5144</t>
  </si>
  <si>
    <t>priya552@email.com</t>
  </si>
  <si>
    <t>PRD1470</t>
  </si>
  <si>
    <t>ORD000574</t>
  </si>
  <si>
    <t>CUST6577</t>
  </si>
  <si>
    <t>rahul68@email.com</t>
  </si>
  <si>
    <t>2024-08-22</t>
  </si>
  <si>
    <t>PRD2271</t>
  </si>
  <si>
    <t>ORD000575</t>
  </si>
  <si>
    <t>CUST3708</t>
  </si>
  <si>
    <t>karan348@email.com</t>
  </si>
  <si>
    <t>2024-10-07</t>
  </si>
  <si>
    <t>PRD3626</t>
  </si>
  <si>
    <t>ORD000576</t>
  </si>
  <si>
    <t>rohit647@email.com</t>
  </si>
  <si>
    <t>2024-07-01</t>
  </si>
  <si>
    <t>2024-07-11</t>
  </si>
  <si>
    <t>ORD000577</t>
  </si>
  <si>
    <t>CUST1900</t>
  </si>
  <si>
    <t>Suresh Mehta</t>
  </si>
  <si>
    <t>suresh924@email.com</t>
  </si>
  <si>
    <t>PRD1892</t>
  </si>
  <si>
    <t>ORD000578</t>
  </si>
  <si>
    <t>CUST2306</t>
  </si>
  <si>
    <t>rahul681@email.com</t>
  </si>
  <si>
    <t>2023-02-13</t>
  </si>
  <si>
    <t>2023-02-20</t>
  </si>
  <si>
    <t>PRD2790</t>
  </si>
  <si>
    <t>ORD000579</t>
  </si>
  <si>
    <t>CUST6824</t>
  </si>
  <si>
    <t>rekha477@email.com</t>
  </si>
  <si>
    <t>2024-08-14</t>
  </si>
  <si>
    <t>2024-08-17</t>
  </si>
  <si>
    <t>2024-08-23</t>
  </si>
  <si>
    <t>PRD1349</t>
  </si>
  <si>
    <t>ORD000580</t>
  </si>
  <si>
    <t>CUST9829</t>
  </si>
  <si>
    <t>suresh881@email.com</t>
  </si>
  <si>
    <t>2022-12-29</t>
  </si>
  <si>
    <t>PRD4884</t>
  </si>
  <si>
    <t>ORD000581</t>
  </si>
  <si>
    <t>CUST6191</t>
  </si>
  <si>
    <t>karan938@email.com</t>
  </si>
  <si>
    <t>PRD2071</t>
  </si>
  <si>
    <t>ORD000582</t>
  </si>
  <si>
    <t>CUST7841</t>
  </si>
  <si>
    <t>rahul884@email.com</t>
  </si>
  <si>
    <t>2023-01-07</t>
  </si>
  <si>
    <t>PRD1124</t>
  </si>
  <si>
    <t>ORD000583</t>
  </si>
  <si>
    <t>CUST3495</t>
  </si>
  <si>
    <t>pooja117@email.com</t>
  </si>
  <si>
    <t>PRD2373</t>
  </si>
  <si>
    <t>ORD000584</t>
  </si>
  <si>
    <t>CUST6942</t>
  </si>
  <si>
    <t>nisha251@email.com</t>
  </si>
  <si>
    <t>PRD1730</t>
  </si>
  <si>
    <t>ORD000585</t>
  </si>
  <si>
    <t>CUST9043</t>
  </si>
  <si>
    <t>deepak741@email.com</t>
  </si>
  <si>
    <t>PRD1891</t>
  </si>
  <si>
    <t>ORD000586</t>
  </si>
  <si>
    <t>pooja746@email.com</t>
  </si>
  <si>
    <t>2024-03-25</t>
  </si>
  <si>
    <t>PRD4939</t>
  </si>
  <si>
    <t>ORD000587</t>
  </si>
  <si>
    <t>CUST4865</t>
  </si>
  <si>
    <t>pooja83@email.com</t>
  </si>
  <si>
    <t>2022-06-27</t>
  </si>
  <si>
    <t>2022-07-07</t>
  </si>
  <si>
    <t>PRD1588</t>
  </si>
  <si>
    <t>ORD000588</t>
  </si>
  <si>
    <t>CUST8102</t>
  </si>
  <si>
    <t>priya798@email.com</t>
  </si>
  <si>
    <t>PRD1667</t>
  </si>
  <si>
    <t>ORD000589</t>
  </si>
  <si>
    <t>CUST8836</t>
  </si>
  <si>
    <t>pooja2@email.com</t>
  </si>
  <si>
    <t>PRD3608</t>
  </si>
  <si>
    <t>ORD000590</t>
  </si>
  <si>
    <t>CUST9142</t>
  </si>
  <si>
    <t>karan513@email.com</t>
  </si>
  <si>
    <t>2024-11-01</t>
  </si>
  <si>
    <t>PRD2720</t>
  </si>
  <si>
    <t>ORD000591</t>
  </si>
  <si>
    <t>rohit171@email.com</t>
  </si>
  <si>
    <t>2024-11-12</t>
  </si>
  <si>
    <t>2024-11-21</t>
  </si>
  <si>
    <t>ORD000592</t>
  </si>
  <si>
    <t>sunita594@email.com</t>
  </si>
  <si>
    <t>2024-01-24</t>
  </si>
  <si>
    <t>PRD2067</t>
  </si>
  <si>
    <t>ORD000593</t>
  </si>
  <si>
    <t>CUST7118</t>
  </si>
  <si>
    <t>manish749@email.com</t>
  </si>
  <si>
    <t>2022-02-09</t>
  </si>
  <si>
    <t>PRD3342</t>
  </si>
  <si>
    <t>ORD000594</t>
  </si>
  <si>
    <t>swati61@email.com</t>
  </si>
  <si>
    <t>ORD000595</t>
  </si>
  <si>
    <t>CUST5007</t>
  </si>
  <si>
    <t>sunita674@email.com</t>
  </si>
  <si>
    <t>2024-08-08</t>
  </si>
  <si>
    <t>PRD4095</t>
  </si>
  <si>
    <t>ORD000596</t>
  </si>
  <si>
    <t>CUST8330</t>
  </si>
  <si>
    <t>rekha216@email.com</t>
  </si>
  <si>
    <t>PRD4959</t>
  </si>
  <si>
    <t>ORD000597</t>
  </si>
  <si>
    <t>CUST3180</t>
  </si>
  <si>
    <t>karan117@email.com</t>
  </si>
  <si>
    <t>ORD000598</t>
  </si>
  <si>
    <t>CUST8109</t>
  </si>
  <si>
    <t>amit190@email.com</t>
  </si>
  <si>
    <t>PRD4679</t>
  </si>
  <si>
    <t>ORD000599</t>
  </si>
  <si>
    <t>CUST6879</t>
  </si>
  <si>
    <t>divya668@email.com</t>
  </si>
  <si>
    <t>2024-09-15</t>
  </si>
  <si>
    <t>PRD2084</t>
  </si>
  <si>
    <t>ORD000600</t>
  </si>
  <si>
    <t>CUST8737</t>
  </si>
  <si>
    <t>deepak511@email.com</t>
  </si>
  <si>
    <t>2024-03-06</t>
  </si>
  <si>
    <t>PRD2595</t>
  </si>
  <si>
    <t>ORD000601</t>
  </si>
  <si>
    <t>CUST5332</t>
  </si>
  <si>
    <t>anita479@email.com</t>
  </si>
  <si>
    <t>PRD4475</t>
  </si>
  <si>
    <t>ORD000602</t>
  </si>
  <si>
    <t>CUST9371</t>
  </si>
  <si>
    <t>rekha440@email.com</t>
  </si>
  <si>
    <t>2023-09-05</t>
  </si>
  <si>
    <t>PRD4683</t>
  </si>
  <si>
    <t>ORD000603</t>
  </si>
  <si>
    <t>CUST4697</t>
  </si>
  <si>
    <t>pooja857@email.com</t>
  </si>
  <si>
    <t>PRD4896</t>
  </si>
  <si>
    <t>ORD000604</t>
  </si>
  <si>
    <t>CUST2385</t>
  </si>
  <si>
    <t>kavya775@email.com</t>
  </si>
  <si>
    <t>2024-06-29</t>
  </si>
  <si>
    <t>2024-07-04</t>
  </si>
  <si>
    <t>PRD4826</t>
  </si>
  <si>
    <t>ORD000605</t>
  </si>
  <si>
    <t>CUST9806</t>
  </si>
  <si>
    <t>nisha709@email.com</t>
  </si>
  <si>
    <t>2024-05-09</t>
  </si>
  <si>
    <t>PRD4674</t>
  </si>
  <si>
    <t>ORD000606</t>
  </si>
  <si>
    <t>CUST6603</t>
  </si>
  <si>
    <t>2022-05-26</t>
  </si>
  <si>
    <t>PRD1223</t>
  </si>
  <si>
    <t>ORD000607</t>
  </si>
  <si>
    <t>CUST4475</t>
  </si>
  <si>
    <t>kavya186@email.com</t>
  </si>
  <si>
    <t>2022-11-27</t>
  </si>
  <si>
    <t>PRD1392</t>
  </si>
  <si>
    <t>ORD000608</t>
  </si>
  <si>
    <t>CUST1681</t>
  </si>
  <si>
    <t>kavya494@email.com</t>
  </si>
  <si>
    <t>2023-02-12</t>
  </si>
  <si>
    <t>PRD2430</t>
  </si>
  <si>
    <t>ORD000609</t>
  </si>
  <si>
    <t>CUST8428</t>
  </si>
  <si>
    <t>rekha848@email.com</t>
  </si>
  <si>
    <t>PRD1101</t>
  </si>
  <si>
    <t>ORD000610</t>
  </si>
  <si>
    <t>CUST5700</t>
  </si>
  <si>
    <t>arjun58@email.com</t>
  </si>
  <si>
    <t>2024-03-23</t>
  </si>
  <si>
    <t>PRD1591</t>
  </si>
  <si>
    <t>ORD000611</t>
  </si>
  <si>
    <t>CUST7898</t>
  </si>
  <si>
    <t>rekha334@email.com</t>
  </si>
  <si>
    <t>PRD3511</t>
  </si>
  <si>
    <t>ORD000612</t>
  </si>
  <si>
    <t>CUST5153</t>
  </si>
  <si>
    <t>rahul523@email.com</t>
  </si>
  <si>
    <t>2024-07-29</t>
  </si>
  <si>
    <t>2024-08-05</t>
  </si>
  <si>
    <t>PRD2253</t>
  </si>
  <si>
    <t>ORD000613</t>
  </si>
  <si>
    <t>CUST1172</t>
  </si>
  <si>
    <t>sunita880@email.com</t>
  </si>
  <si>
    <t>PRD1567</t>
  </si>
  <si>
    <t>ORD000614</t>
  </si>
  <si>
    <t>CUST8500</t>
  </si>
  <si>
    <t>anita439@email.com</t>
  </si>
  <si>
    <t>2022-03-01</t>
  </si>
  <si>
    <t>ORD000615</t>
  </si>
  <si>
    <t>CUST3043</t>
  </si>
  <si>
    <t>nisha28@email.com</t>
  </si>
  <si>
    <t>2022-03-27</t>
  </si>
  <si>
    <t>PRD2866</t>
  </si>
  <si>
    <t>ORD000616</t>
  </si>
  <si>
    <t>CUST8373</t>
  </si>
  <si>
    <t>amit197@email.com</t>
  </si>
  <si>
    <t>2022-04-11</t>
  </si>
  <si>
    <t>2022-04-12</t>
  </si>
  <si>
    <t>PRD4206</t>
  </si>
  <si>
    <t>ORD000617</t>
  </si>
  <si>
    <t>CUST5329</t>
  </si>
  <si>
    <t>PRD4289</t>
  </si>
  <si>
    <t>ORD000618</t>
  </si>
  <si>
    <t>CUST4526</t>
  </si>
  <si>
    <t>nisha558@email.com</t>
  </si>
  <si>
    <t>2022-03-26</t>
  </si>
  <si>
    <t>PRD2341</t>
  </si>
  <si>
    <t>ORD000619</t>
  </si>
  <si>
    <t>CUST5484</t>
  </si>
  <si>
    <t>pooja635@email.com</t>
  </si>
  <si>
    <t>2024-07-21</t>
  </si>
  <si>
    <t>PRD4273</t>
  </si>
  <si>
    <t>ORD000620</t>
  </si>
  <si>
    <t>CUST3318</t>
  </si>
  <si>
    <t>kavya933@email.com</t>
  </si>
  <si>
    <t>PRD2601</t>
  </si>
  <si>
    <t>ORD000621</t>
  </si>
  <si>
    <t>CUST4817</t>
  </si>
  <si>
    <t>deepak916@email.com</t>
  </si>
  <si>
    <t>PRD4419</t>
  </si>
  <si>
    <t>ORD000622</t>
  </si>
  <si>
    <t>CUST4570</t>
  </si>
  <si>
    <t>karan730@email.com</t>
  </si>
  <si>
    <t>PRD3201</t>
  </si>
  <si>
    <t>ORD000623</t>
  </si>
  <si>
    <t>CUST6025</t>
  </si>
  <si>
    <t>pooja468@email.com</t>
  </si>
  <si>
    <t>PRD2825</t>
  </si>
  <si>
    <t>ORD000624</t>
  </si>
  <si>
    <t>CUST4228</t>
  </si>
  <si>
    <t>rekha124@email.com</t>
  </si>
  <si>
    <t>PRD3599</t>
  </si>
  <si>
    <t>ORD000625</t>
  </si>
  <si>
    <t>CUST6595</t>
  </si>
  <si>
    <t>pooja450@email.com</t>
  </si>
  <si>
    <t>2024-09-03</t>
  </si>
  <si>
    <t>ORD000626</t>
  </si>
  <si>
    <t>CUST7047</t>
  </si>
  <si>
    <t>amit945@email.com</t>
  </si>
  <si>
    <t>PRD3104</t>
  </si>
  <si>
    <t>ORD000627</t>
  </si>
  <si>
    <t>CUST5021</t>
  </si>
  <si>
    <t>priya505@email.com</t>
  </si>
  <si>
    <t>2024-02-27</t>
  </si>
  <si>
    <t>PRD4453</t>
  </si>
  <si>
    <t>ORD000628</t>
  </si>
  <si>
    <t>rekha207@email.com</t>
  </si>
  <si>
    <t>PRD1293</t>
  </si>
  <si>
    <t>ORD000629</t>
  </si>
  <si>
    <t>CUST6884</t>
  </si>
  <si>
    <t>deepak335@email.com</t>
  </si>
  <si>
    <t>2023-09-07</t>
  </si>
  <si>
    <t>2023-09-09</t>
  </si>
  <si>
    <t>PRD3222</t>
  </si>
  <si>
    <t>ORD000630</t>
  </si>
  <si>
    <t>CUST6094</t>
  </si>
  <si>
    <t>vikram543@email.com</t>
  </si>
  <si>
    <t>PRD4512</t>
  </si>
  <si>
    <t>ORD000631</t>
  </si>
  <si>
    <t>CUST1042</t>
  </si>
  <si>
    <t>arjun268@email.com</t>
  </si>
  <si>
    <t>2023-07-19</t>
  </si>
  <si>
    <t>2023-07-21</t>
  </si>
  <si>
    <t>PRD3921</t>
  </si>
  <si>
    <t>ORD000632</t>
  </si>
  <si>
    <t>CUST3725</t>
  </si>
  <si>
    <t>amit212@email.com</t>
  </si>
  <si>
    <t>2024-10-09</t>
  </si>
  <si>
    <t>PRD1909</t>
  </si>
  <si>
    <t>ORD000633</t>
  </si>
  <si>
    <t>CUST6997</t>
  </si>
  <si>
    <t>rohit267@email.com</t>
  </si>
  <si>
    <t>2024-08-09</t>
  </si>
  <si>
    <t>2024-08-13</t>
  </si>
  <si>
    <t>PRD1214</t>
  </si>
  <si>
    <t>ORD000634</t>
  </si>
  <si>
    <t>CUST8510</t>
  </si>
  <si>
    <t>rahul161@email.com</t>
  </si>
  <si>
    <t>PRD2045</t>
  </si>
  <si>
    <t>ORD000635</t>
  </si>
  <si>
    <t>CUST3839</t>
  </si>
  <si>
    <t>rohit439@email.com</t>
  </si>
  <si>
    <t>PRD1172</t>
  </si>
  <si>
    <t>ORD000636</t>
  </si>
  <si>
    <t>CUST3739</t>
  </si>
  <si>
    <t>manish160@email.com</t>
  </si>
  <si>
    <t>2023-01-23</t>
  </si>
  <si>
    <t>PRD1261</t>
  </si>
  <si>
    <t>ORD000637</t>
  </si>
  <si>
    <t>CUST8137</t>
  </si>
  <si>
    <t>divya207@email.com</t>
  </si>
  <si>
    <t>2022-07-30</t>
  </si>
  <si>
    <t>ORD000638</t>
  </si>
  <si>
    <t>CUST4444</t>
  </si>
  <si>
    <t>pooja657@email.com</t>
  </si>
  <si>
    <t>2023-04-05</t>
  </si>
  <si>
    <t>PRD1731</t>
  </si>
  <si>
    <t>ORD000639</t>
  </si>
  <si>
    <t>CUST6931</t>
  </si>
  <si>
    <t>swati155@email.com</t>
  </si>
  <si>
    <t>PRD4553</t>
  </si>
  <si>
    <t>ORD000640</t>
  </si>
  <si>
    <t>CUST9725</t>
  </si>
  <si>
    <t>arjun742@email.com</t>
  </si>
  <si>
    <t>2023-02-05</t>
  </si>
  <si>
    <t>PRD4981</t>
  </si>
  <si>
    <t>ORD000641</t>
  </si>
  <si>
    <t>CUST6541</t>
  </si>
  <si>
    <t>suresh985@email.com</t>
  </si>
  <si>
    <t>2022-03-22</t>
  </si>
  <si>
    <t>PRD1436</t>
  </si>
  <si>
    <t>ORD000642</t>
  </si>
  <si>
    <t>CUST5326</t>
  </si>
  <si>
    <t>amit328@email.com</t>
  </si>
  <si>
    <t>2022-12-05</t>
  </si>
  <si>
    <t>PRD4721</t>
  </si>
  <si>
    <t>ORD000643</t>
  </si>
  <si>
    <t>CUST2645</t>
  </si>
  <si>
    <t>Suresh Reddy</t>
  </si>
  <si>
    <t>suresh214@email.com</t>
  </si>
  <si>
    <t>2024-10-22</t>
  </si>
  <si>
    <t>PRD2731</t>
  </si>
  <si>
    <t>ORD000644</t>
  </si>
  <si>
    <t>CUST2418</t>
  </si>
  <si>
    <t>nisha36@email.com</t>
  </si>
  <si>
    <t>PRD2820</t>
  </si>
  <si>
    <t>ORD000645</t>
  </si>
  <si>
    <t>arjun338@email.com</t>
  </si>
  <si>
    <t>PRD2164</t>
  </si>
  <si>
    <t>ORD000646</t>
  </si>
  <si>
    <t>CUST4560</t>
  </si>
  <si>
    <t>nisha684@email.com</t>
  </si>
  <si>
    <t>PRD3332</t>
  </si>
  <si>
    <t>ORD000647</t>
  </si>
  <si>
    <t>CUST9514</t>
  </si>
  <si>
    <t>Suresh Gupta</t>
  </si>
  <si>
    <t>suresh779@email.com</t>
  </si>
  <si>
    <t>PRD4711</t>
  </si>
  <si>
    <t>ORD000648</t>
  </si>
  <si>
    <t>CUST5400</t>
  </si>
  <si>
    <t>swati218@email.com</t>
  </si>
  <si>
    <t>2024-04-02</t>
  </si>
  <si>
    <t>2024-04-09</t>
  </si>
  <si>
    <t>ORD000649</t>
  </si>
  <si>
    <t>CUST6569</t>
  </si>
  <si>
    <t>aditya363@email.com</t>
  </si>
  <si>
    <t>2024-04-07</t>
  </si>
  <si>
    <t>2024-04-11</t>
  </si>
  <si>
    <t>PRD3028</t>
  </si>
  <si>
    <t>ORD000650</t>
  </si>
  <si>
    <t>priya262@email.com</t>
  </si>
  <si>
    <t>PRD1771</t>
  </si>
  <si>
    <t>ORD000651</t>
  </si>
  <si>
    <t>CUST1729</t>
  </si>
  <si>
    <t>rekha699@email.com</t>
  </si>
  <si>
    <t>2022-10-12</t>
  </si>
  <si>
    <t>2022-10-23</t>
  </si>
  <si>
    <t>PRD1195</t>
  </si>
  <si>
    <t>ORD000652</t>
  </si>
  <si>
    <t>CUST7578</t>
  </si>
  <si>
    <t>deepak931@email.com</t>
  </si>
  <si>
    <t>PRD4209</t>
  </si>
  <si>
    <t>ORD000653</t>
  </si>
  <si>
    <t>CUST3072</t>
  </si>
  <si>
    <t>sunita260@email.com</t>
  </si>
  <si>
    <t>PRD3199</t>
  </si>
  <si>
    <t>ORD000654</t>
  </si>
  <si>
    <t>kavya20@email.com</t>
  </si>
  <si>
    <t>PRD3244</t>
  </si>
  <si>
    <t>ORD000655</t>
  </si>
  <si>
    <t>CUST1250</t>
  </si>
  <si>
    <t>meena622@email.com</t>
  </si>
  <si>
    <t>ORD000656</t>
  </si>
  <si>
    <t>Karan Gupta</t>
  </si>
  <si>
    <t>karan2@email.com</t>
  </si>
  <si>
    <t>2022-05-01</t>
  </si>
  <si>
    <t>PRD1210</t>
  </si>
  <si>
    <t>ORD000657</t>
  </si>
  <si>
    <t>CUST7271</t>
  </si>
  <si>
    <t>aditya590@email.com</t>
  </si>
  <si>
    <t>PRD2112</t>
  </si>
  <si>
    <t>ORD000658</t>
  </si>
  <si>
    <t>CUST4477</t>
  </si>
  <si>
    <t>vikram19@email.com</t>
  </si>
  <si>
    <t>2023-09-13</t>
  </si>
  <si>
    <t>PRD1845</t>
  </si>
  <si>
    <t>ORD000659</t>
  </si>
  <si>
    <t>CUST2367</t>
  </si>
  <si>
    <t>kavya765@email.com</t>
  </si>
  <si>
    <t>2024-02-16</t>
  </si>
  <si>
    <t>ORD000660</t>
  </si>
  <si>
    <t>CUST7657</t>
  </si>
  <si>
    <t>aditya364@email.com</t>
  </si>
  <si>
    <t>PRD2868</t>
  </si>
  <si>
    <t>ORD000661</t>
  </si>
  <si>
    <t>CUST1670</t>
  </si>
  <si>
    <t>vikram160@email.com</t>
  </si>
  <si>
    <t>2023-08-14</t>
  </si>
  <si>
    <t>PRD2070</t>
  </si>
  <si>
    <t>ORD000662</t>
  </si>
  <si>
    <t>CUST7502</t>
  </si>
  <si>
    <t>anita206@email.com</t>
  </si>
  <si>
    <t>ORD000663</t>
  </si>
  <si>
    <t>CUST8853</t>
  </si>
  <si>
    <t>pooja645@email.com</t>
  </si>
  <si>
    <t>PRD2582</t>
  </si>
  <si>
    <t>ORD000664</t>
  </si>
  <si>
    <t>CUST7304</t>
  </si>
  <si>
    <t>Kavya Gupta</t>
  </si>
  <si>
    <t>kavya73@email.com</t>
  </si>
  <si>
    <t>2022-10-13</t>
  </si>
  <si>
    <t>PRD4509</t>
  </si>
  <si>
    <t>ORD000665</t>
  </si>
  <si>
    <t>CUST7860</t>
  </si>
  <si>
    <t>amit528@email.com</t>
  </si>
  <si>
    <t>2022-04-03</t>
  </si>
  <si>
    <t>ORD000666</t>
  </si>
  <si>
    <t>CUST6527</t>
  </si>
  <si>
    <t>aditya977@email.com</t>
  </si>
  <si>
    <t>PRD3161</t>
  </si>
  <si>
    <t>ORD000667</t>
  </si>
  <si>
    <t>CUST4014</t>
  </si>
  <si>
    <t>vikram51@email.com</t>
  </si>
  <si>
    <t>PRD2920</t>
  </si>
  <si>
    <t>ORD000668</t>
  </si>
  <si>
    <t>CUST4227</t>
  </si>
  <si>
    <t>meena47@email.com</t>
  </si>
  <si>
    <t>2022-10-16</t>
  </si>
  <si>
    <t>PRD1993</t>
  </si>
  <si>
    <t>ORD000669</t>
  </si>
  <si>
    <t>CUST3577</t>
  </si>
  <si>
    <t>meena450@email.com</t>
  </si>
  <si>
    <t>PRD2597</t>
  </si>
  <si>
    <t>ORD000670</t>
  </si>
  <si>
    <t>CUST8528</t>
  </si>
  <si>
    <t>rekha278@email.com</t>
  </si>
  <si>
    <t>ORD000671</t>
  </si>
  <si>
    <t>CUST9420</t>
  </si>
  <si>
    <t>rohit82@email.com</t>
  </si>
  <si>
    <t>PRD1853</t>
  </si>
  <si>
    <t>ORD000672</t>
  </si>
  <si>
    <t>CUST7720</t>
  </si>
  <si>
    <t>meena256@email.com</t>
  </si>
  <si>
    <t>2022-08-27</t>
  </si>
  <si>
    <t>ORD000673</t>
  </si>
  <si>
    <t>CUST9521</t>
  </si>
  <si>
    <t>arjun288@email.com</t>
  </si>
  <si>
    <t>PRD4121</t>
  </si>
  <si>
    <t>ORD000674</t>
  </si>
  <si>
    <t>CUST4940</t>
  </si>
  <si>
    <t>kavya519@email.com</t>
  </si>
  <si>
    <t>PRD1802</t>
  </si>
  <si>
    <t>ORD000675</t>
  </si>
  <si>
    <t>CUST9624</t>
  </si>
  <si>
    <t>anita359@email.com</t>
  </si>
  <si>
    <t>PRD4286</t>
  </si>
  <si>
    <t>ORD000676</t>
  </si>
  <si>
    <t>CUST2646</t>
  </si>
  <si>
    <t>rohit795@email.com</t>
  </si>
  <si>
    <t>2024-10-31</t>
  </si>
  <si>
    <t>PRD4634</t>
  </si>
  <si>
    <t>ORD000677</t>
  </si>
  <si>
    <t>CUST7507</t>
  </si>
  <si>
    <t>anita522@email.com</t>
  </si>
  <si>
    <t>PRD3089</t>
  </si>
  <si>
    <t>ORD000678</t>
  </si>
  <si>
    <t>CUST3950</t>
  </si>
  <si>
    <t>meena475@email.com</t>
  </si>
  <si>
    <t>PRD4566</t>
  </si>
  <si>
    <t>ORD000679</t>
  </si>
  <si>
    <t>CUST1027</t>
  </si>
  <si>
    <t>deepak643@email.com</t>
  </si>
  <si>
    <t>PRD1756</t>
  </si>
  <si>
    <t>ORD000680</t>
  </si>
  <si>
    <t>CUST8609</t>
  </si>
  <si>
    <t>manish546@email.com</t>
  </si>
  <si>
    <t>PRD1600</t>
  </si>
  <si>
    <t>ORD000681</t>
  </si>
  <si>
    <t>anita107@email.com</t>
  </si>
  <si>
    <t>PRD1365</t>
  </si>
  <si>
    <t>ORD000682</t>
  </si>
  <si>
    <t>CUST6092</t>
  </si>
  <si>
    <t>deepak816@email.com</t>
  </si>
  <si>
    <t>PRD4260</t>
  </si>
  <si>
    <t>ORD000683</t>
  </si>
  <si>
    <t>CUST1913</t>
  </si>
  <si>
    <t>PRD2801</t>
  </si>
  <si>
    <t>ORD000684</t>
  </si>
  <si>
    <t>CUST1124</t>
  </si>
  <si>
    <t>vikram974@email.com</t>
  </si>
  <si>
    <t>PRD3392</t>
  </si>
  <si>
    <t>ORD000685</t>
  </si>
  <si>
    <t>CUST4530</t>
  </si>
  <si>
    <t>suresh863@email.com</t>
  </si>
  <si>
    <t>PRD3103</t>
  </si>
  <si>
    <t>ORD000686</t>
  </si>
  <si>
    <t>CUST8496</t>
  </si>
  <si>
    <t>sunita98@email.com</t>
  </si>
  <si>
    <t>PRD2877</t>
  </si>
  <si>
    <t>ORD000687</t>
  </si>
  <si>
    <t>CUST4043</t>
  </si>
  <si>
    <t>pooja824@email.com</t>
  </si>
  <si>
    <t>2024-12-14</t>
  </si>
  <si>
    <t>PRD1747</t>
  </si>
  <si>
    <t>ORD000688</t>
  </si>
  <si>
    <t>CUST9773</t>
  </si>
  <si>
    <t>rekha49@email.com</t>
  </si>
  <si>
    <t>PRD1268</t>
  </si>
  <si>
    <t>ORD000689</t>
  </si>
  <si>
    <t>arjun225@email.com</t>
  </si>
  <si>
    <t>PRD1039</t>
  </si>
  <si>
    <t>ORD000690</t>
  </si>
  <si>
    <t>CUST6766</t>
  </si>
  <si>
    <t>priya461@email.com</t>
  </si>
  <si>
    <t>2022-02-02</t>
  </si>
  <si>
    <t>2022-02-03</t>
  </si>
  <si>
    <t>PRD1152</t>
  </si>
  <si>
    <t>ORD000691</t>
  </si>
  <si>
    <t>CUST9459</t>
  </si>
  <si>
    <t>Nisha Sharma</t>
  </si>
  <si>
    <t>nisha784@email.com</t>
  </si>
  <si>
    <t>ORD000692</t>
  </si>
  <si>
    <t>CUST7734</t>
  </si>
  <si>
    <t>rohit734@email.com</t>
  </si>
  <si>
    <t>PRD4823</t>
  </si>
  <si>
    <t>ORD000693</t>
  </si>
  <si>
    <t>CUST8285</t>
  </si>
  <si>
    <t>deepak771@email.com</t>
  </si>
  <si>
    <t>PRD1145</t>
  </si>
  <si>
    <t>ORD000694</t>
  </si>
  <si>
    <t>swati453@email.com</t>
  </si>
  <si>
    <t>PRD4538</t>
  </si>
  <si>
    <t>ORD000695</t>
  </si>
  <si>
    <t>CUST4470</t>
  </si>
  <si>
    <t>divya566@email.com</t>
  </si>
  <si>
    <t>PRD3235</t>
  </si>
  <si>
    <t>ORD000696</t>
  </si>
  <si>
    <t>CUST9217</t>
  </si>
  <si>
    <t>Karan Verma</t>
  </si>
  <si>
    <t>karan677@email.com</t>
  </si>
  <si>
    <t>ORD000697</t>
  </si>
  <si>
    <t>CUST8981</t>
  </si>
  <si>
    <t>swati472@email.com</t>
  </si>
  <si>
    <t>PRD1234</t>
  </si>
  <si>
    <t>ORD000698</t>
  </si>
  <si>
    <t>CUST2518</t>
  </si>
  <si>
    <t>nisha771@email.com</t>
  </si>
  <si>
    <t>PRD1882</t>
  </si>
  <si>
    <t>ORD000699</t>
  </si>
  <si>
    <t>CUST1381</t>
  </si>
  <si>
    <t>nisha25@email.com</t>
  </si>
  <si>
    <t>2022-10-19</t>
  </si>
  <si>
    <t>2022-10-22</t>
  </si>
  <si>
    <t>PRD4134</t>
  </si>
  <si>
    <t>ORD000700</t>
  </si>
  <si>
    <t>CUST2861</t>
  </si>
  <si>
    <t>rohit462@email.com</t>
  </si>
  <si>
    <t>PRD3214</t>
  </si>
  <si>
    <t>ORD000701</t>
  </si>
  <si>
    <t>CUST4547</t>
  </si>
  <si>
    <t>meena157@email.com</t>
  </si>
  <si>
    <t>ORD000702</t>
  </si>
  <si>
    <t>manish429@email.com</t>
  </si>
  <si>
    <t>PRD4635</t>
  </si>
  <si>
    <t>ORD000703</t>
  </si>
  <si>
    <t>CUST8347</t>
  </si>
  <si>
    <t>deepak582@email.com</t>
  </si>
  <si>
    <t>PRD2086</t>
  </si>
  <si>
    <t>ORD000704</t>
  </si>
  <si>
    <t>CUST2113</t>
  </si>
  <si>
    <t>sunita281@email.com</t>
  </si>
  <si>
    <t>2023-10-31</t>
  </si>
  <si>
    <t>ORD000705</t>
  </si>
  <si>
    <t>CUST7851</t>
  </si>
  <si>
    <t>rohit992@email.com</t>
  </si>
  <si>
    <t>ORD000706</t>
  </si>
  <si>
    <t>CUST6414</t>
  </si>
  <si>
    <t>aditya95@email.com</t>
  </si>
  <si>
    <t>2023-09-01</t>
  </si>
  <si>
    <t>ORD000707</t>
  </si>
  <si>
    <t>CUST6159</t>
  </si>
  <si>
    <t>kavya807@email.com</t>
  </si>
  <si>
    <t>PRD4771</t>
  </si>
  <si>
    <t>ORD000708</t>
  </si>
  <si>
    <t>rohit756@email.com</t>
  </si>
  <si>
    <t>PRD2077</t>
  </si>
  <si>
    <t>ORD000709</t>
  </si>
  <si>
    <t>CUST3037</t>
  </si>
  <si>
    <t>rohit85@email.com</t>
  </si>
  <si>
    <t>PRD3672</t>
  </si>
  <si>
    <t>ORD000710</t>
  </si>
  <si>
    <t>CUST8960</t>
  </si>
  <si>
    <t>anita253@email.com</t>
  </si>
  <si>
    <t>PRD3812</t>
  </si>
  <si>
    <t>ORD000711</t>
  </si>
  <si>
    <t>CUST5079</t>
  </si>
  <si>
    <t>deepak367@email.com</t>
  </si>
  <si>
    <t>2023-05-16</t>
  </si>
  <si>
    <t>PRD3147</t>
  </si>
  <si>
    <t>ORD000712</t>
  </si>
  <si>
    <t>CUST3353</t>
  </si>
  <si>
    <t>meena266@email.com</t>
  </si>
  <si>
    <t>2024-05-24</t>
  </si>
  <si>
    <t>PRD2607</t>
  </si>
  <si>
    <t>ORD000713</t>
  </si>
  <si>
    <t>CUST9187</t>
  </si>
  <si>
    <t>priya182@email.com</t>
  </si>
  <si>
    <t>ORD000714</t>
  </si>
  <si>
    <t>CUST2508</t>
  </si>
  <si>
    <t>rahul702@email.com</t>
  </si>
  <si>
    <t>PRD1586</t>
  </si>
  <si>
    <t>ORD000715</t>
  </si>
  <si>
    <t>CUST4767</t>
  </si>
  <si>
    <t>priya501@email.com</t>
  </si>
  <si>
    <t>2022-03-07</t>
  </si>
  <si>
    <t>2022-03-13</t>
  </si>
  <si>
    <t>PRD1005</t>
  </si>
  <si>
    <t>ORD000716</t>
  </si>
  <si>
    <t>CUST3633</t>
  </si>
  <si>
    <t>rekha437@email.com</t>
  </si>
  <si>
    <t>PRD4912</t>
  </si>
  <si>
    <t>ORD000717</t>
  </si>
  <si>
    <t>pooja562@email.com</t>
  </si>
  <si>
    <t>PRD3203</t>
  </si>
  <si>
    <t>ORD000718</t>
  </si>
  <si>
    <t>CUST9221</t>
  </si>
  <si>
    <t>anita629@email.com</t>
  </si>
  <si>
    <t>PRD4012</t>
  </si>
  <si>
    <t>ORD000719</t>
  </si>
  <si>
    <t>CUST4054</t>
  </si>
  <si>
    <t>pooja862@email.com</t>
  </si>
  <si>
    <t>PRD2038</t>
  </si>
  <si>
    <t>ORD000720</t>
  </si>
  <si>
    <t>rahul397@email.com</t>
  </si>
  <si>
    <t>PRD2299</t>
  </si>
  <si>
    <t>ORD000721</t>
  </si>
  <si>
    <t>CUST7193</t>
  </si>
  <si>
    <t>rekha195@email.com</t>
  </si>
  <si>
    <t>2022-01-30</t>
  </si>
  <si>
    <t>2022-01-31</t>
  </si>
  <si>
    <t>ORD000722</t>
  </si>
  <si>
    <t>Rekha Mehta</t>
  </si>
  <si>
    <t>rekha501@email.com</t>
  </si>
  <si>
    <t>PRD2780</t>
  </si>
  <si>
    <t>ORD000723</t>
  </si>
  <si>
    <t>CUST4926</t>
  </si>
  <si>
    <t>deepak354@email.com</t>
  </si>
  <si>
    <t>PRD1587</t>
  </si>
  <si>
    <t>ORD000724</t>
  </si>
  <si>
    <t>CUST3150</t>
  </si>
  <si>
    <t>rahul768@email.com</t>
  </si>
  <si>
    <t>2022-03-24</t>
  </si>
  <si>
    <t>PRD1174</t>
  </si>
  <si>
    <t>ORD000725</t>
  </si>
  <si>
    <t>CUST8631</t>
  </si>
  <si>
    <t>swati845@email.com</t>
  </si>
  <si>
    <t>2022-09-05</t>
  </si>
  <si>
    <t>PRD4673</t>
  </si>
  <si>
    <t>ORD000726</t>
  </si>
  <si>
    <t>CUST8616</t>
  </si>
  <si>
    <t>kavya971@email.com</t>
  </si>
  <si>
    <t>2024-12-26</t>
  </si>
  <si>
    <t>2025-01-02</t>
  </si>
  <si>
    <t>PRD1496</t>
  </si>
  <si>
    <t>ORD000727</t>
  </si>
  <si>
    <t>CUST5511</t>
  </si>
  <si>
    <t>anita937@email.com</t>
  </si>
  <si>
    <t>PRD3707</t>
  </si>
  <si>
    <t>ORD000728</t>
  </si>
  <si>
    <t>CUST5997</t>
  </si>
  <si>
    <t>rohit9@email.com</t>
  </si>
  <si>
    <t>PRD1020</t>
  </si>
  <si>
    <t>ORD000729</t>
  </si>
  <si>
    <t>CUST9883</t>
  </si>
  <si>
    <t>amit707@email.com</t>
  </si>
  <si>
    <t>PRD1914</t>
  </si>
  <si>
    <t>ORD000730</t>
  </si>
  <si>
    <t>CUST1826</t>
  </si>
  <si>
    <t>kavya37@email.com</t>
  </si>
  <si>
    <t>2024-10-08</t>
  </si>
  <si>
    <t>PRD4633</t>
  </si>
  <si>
    <t>ORD000731</t>
  </si>
  <si>
    <t>CUST7371</t>
  </si>
  <si>
    <t>amit987@email.com</t>
  </si>
  <si>
    <t>PRD1353</t>
  </si>
  <si>
    <t>ORD000732</t>
  </si>
  <si>
    <t>CUST4155</t>
  </si>
  <si>
    <t>swati503@email.com</t>
  </si>
  <si>
    <t>2023-03-12</t>
  </si>
  <si>
    <t>2023-03-18</t>
  </si>
  <si>
    <t>PRD3725</t>
  </si>
  <si>
    <t>ORD000733</t>
  </si>
  <si>
    <t>CUST9997</t>
  </si>
  <si>
    <t>manish964@email.com</t>
  </si>
  <si>
    <t>PRD1724</t>
  </si>
  <si>
    <t>ORD000734</t>
  </si>
  <si>
    <t>CUST7917</t>
  </si>
  <si>
    <t>vikram371@email.com</t>
  </si>
  <si>
    <t>PRD2645</t>
  </si>
  <si>
    <t>ORD000735</t>
  </si>
  <si>
    <t>CUST1004</t>
  </si>
  <si>
    <t>divya445@email.com</t>
  </si>
  <si>
    <t>2022-12-14</t>
  </si>
  <si>
    <t>PRD2231</t>
  </si>
  <si>
    <t>ORD000736</t>
  </si>
  <si>
    <t>CUST9235</t>
  </si>
  <si>
    <t>arjun442@email.com</t>
  </si>
  <si>
    <t>PRD1898</t>
  </si>
  <si>
    <t>ORD000737</t>
  </si>
  <si>
    <t>CUST8780</t>
  </si>
  <si>
    <t>rekha328@email.com</t>
  </si>
  <si>
    <t>2024-11-02</t>
  </si>
  <si>
    <t>PRD3234</t>
  </si>
  <si>
    <t>ORD000738</t>
  </si>
  <si>
    <t>CUST6729</t>
  </si>
  <si>
    <t>rahul548@email.com</t>
  </si>
  <si>
    <t>PRD3719</t>
  </si>
  <si>
    <t>ORD000739</t>
  </si>
  <si>
    <t>CUST2399</t>
  </si>
  <si>
    <t>swati916@email.com</t>
  </si>
  <si>
    <t>ORD000740</t>
  </si>
  <si>
    <t>CUST9045</t>
  </si>
  <si>
    <t>pooja463@email.com</t>
  </si>
  <si>
    <t>2022-10-14</t>
  </si>
  <si>
    <t>PRD1488</t>
  </si>
  <si>
    <t>ORD000741</t>
  </si>
  <si>
    <t>CUST1294</t>
  </si>
  <si>
    <t>deepak812@email.com</t>
  </si>
  <si>
    <t>2023-06-20</t>
  </si>
  <si>
    <t>PRD1115</t>
  </si>
  <si>
    <t>ORD000742</t>
  </si>
  <si>
    <t>CUST2784</t>
  </si>
  <si>
    <t>nisha364@email.com</t>
  </si>
  <si>
    <t>2022-01-17</t>
  </si>
  <si>
    <t>2022-01-20</t>
  </si>
  <si>
    <t>ORD000743</t>
  </si>
  <si>
    <t>CUST2616</t>
  </si>
  <si>
    <t>swati383@email.com</t>
  </si>
  <si>
    <t>2024-11-29</t>
  </si>
  <si>
    <t>ORD000744</t>
  </si>
  <si>
    <t>CUST4650</t>
  </si>
  <si>
    <t>arjun966@email.com</t>
  </si>
  <si>
    <t>PRD4452</t>
  </si>
  <si>
    <t>ORD000745</t>
  </si>
  <si>
    <t>nisha891@email.com</t>
  </si>
  <si>
    <t>PRD3760</t>
  </si>
  <si>
    <t>ORD000746</t>
  </si>
  <si>
    <t>CUST8575</t>
  </si>
  <si>
    <t>rekha326@email.com</t>
  </si>
  <si>
    <t>PRD3999</t>
  </si>
  <si>
    <t>ORD000747</t>
  </si>
  <si>
    <t>CUST9193</t>
  </si>
  <si>
    <t>rohit415@email.com</t>
  </si>
  <si>
    <t>PRD2838</t>
  </si>
  <si>
    <t>ORD000748</t>
  </si>
  <si>
    <t>CUST8189</t>
  </si>
  <si>
    <t>arjun697@email.com</t>
  </si>
  <si>
    <t>ORD000749</t>
  </si>
  <si>
    <t>CUST2121</t>
  </si>
  <si>
    <t>meena853@email.com</t>
  </si>
  <si>
    <t>PRD2709</t>
  </si>
  <si>
    <t>ORD000750</t>
  </si>
  <si>
    <t>CUST7504</t>
  </si>
  <si>
    <t>manish500@email.com</t>
  </si>
  <si>
    <t>ORD000751</t>
  </si>
  <si>
    <t>CUST5358</t>
  </si>
  <si>
    <t>sunita12@email.com</t>
  </si>
  <si>
    <t>PRD1671</t>
  </si>
  <si>
    <t>ORD000752</t>
  </si>
  <si>
    <t>CUST3600</t>
  </si>
  <si>
    <t>deepak734@email.com</t>
  </si>
  <si>
    <t>PRD2951</t>
  </si>
  <si>
    <t>ORD000753</t>
  </si>
  <si>
    <t>CUST4898</t>
  </si>
  <si>
    <t>suresh303@email.com</t>
  </si>
  <si>
    <t>2022-03-08</t>
  </si>
  <si>
    <t>PRD4843</t>
  </si>
  <si>
    <t>ORD000754</t>
  </si>
  <si>
    <t>CUST6717</t>
  </si>
  <si>
    <t>manish672@email.com</t>
  </si>
  <si>
    <t>ORD000755</t>
  </si>
  <si>
    <t>CUST2435</t>
  </si>
  <si>
    <t>priya424@email.com</t>
  </si>
  <si>
    <t>PRD1946</t>
  </si>
  <si>
    <t>ORD000756</t>
  </si>
  <si>
    <t>CUST6606</t>
  </si>
  <si>
    <t>deepak154@email.com</t>
  </si>
  <si>
    <t>PRD4883</t>
  </si>
  <si>
    <t>ORD000757</t>
  </si>
  <si>
    <t>CUST1643</t>
  </si>
  <si>
    <t>rekha971@email.com</t>
  </si>
  <si>
    <t>PRD4842</t>
  </si>
  <si>
    <t>ORD000758</t>
  </si>
  <si>
    <t>CUST9461</t>
  </si>
  <si>
    <t>kavya272@email.com</t>
  </si>
  <si>
    <t>2023-09-08</t>
  </si>
  <si>
    <t>PRD3913</t>
  </si>
  <si>
    <t>ORD000759</t>
  </si>
  <si>
    <t>CUST4604</t>
  </si>
  <si>
    <t>amit138@email.com</t>
  </si>
  <si>
    <t>PRD2479</t>
  </si>
  <si>
    <t>ORD000760</t>
  </si>
  <si>
    <t>Swati Sharma</t>
  </si>
  <si>
    <t>swati934@email.com</t>
  </si>
  <si>
    <t>2022-01-06</t>
  </si>
  <si>
    <t>PRD2098</t>
  </si>
  <si>
    <t>ORD000761</t>
  </si>
  <si>
    <t>CUST4742</t>
  </si>
  <si>
    <t>divya969@email.com</t>
  </si>
  <si>
    <t>PRD3314</t>
  </si>
  <si>
    <t>ORD000762</t>
  </si>
  <si>
    <t>CUST1459</t>
  </si>
  <si>
    <t>Arjun Singh</t>
  </si>
  <si>
    <t>arjun589@email.com</t>
  </si>
  <si>
    <t>PRD1424</t>
  </si>
  <si>
    <t>ORD000763</t>
  </si>
  <si>
    <t>CUST7150</t>
  </si>
  <si>
    <t>suresh134@email.com</t>
  </si>
  <si>
    <t>PRD1016</t>
  </si>
  <si>
    <t>ORD000764</t>
  </si>
  <si>
    <t>rekha258@email.com</t>
  </si>
  <si>
    <t>2023-02-24</t>
  </si>
  <si>
    <t>PRD2202</t>
  </si>
  <si>
    <t>ORD000765</t>
  </si>
  <si>
    <t>CUST8507</t>
  </si>
  <si>
    <t>vikram601@email.com</t>
  </si>
  <si>
    <t>2022-07-06</t>
  </si>
  <si>
    <t>PRD3735</t>
  </si>
  <si>
    <t>ORD000766</t>
  </si>
  <si>
    <t>ORD000767</t>
  </si>
  <si>
    <t>CUST8349</t>
  </si>
  <si>
    <t>arjun455@email.com</t>
  </si>
  <si>
    <t>2022-01-02</t>
  </si>
  <si>
    <t>PRD2061</t>
  </si>
  <si>
    <t>ORD000768</t>
  </si>
  <si>
    <t>CUST1841</t>
  </si>
  <si>
    <t>kavya881@email.com</t>
  </si>
  <si>
    <t>PRD3083</t>
  </si>
  <si>
    <t>ORD000769</t>
  </si>
  <si>
    <t>CUST6660</t>
  </si>
  <si>
    <t>amit696@email.com</t>
  </si>
  <si>
    <t>PRD3011</t>
  </si>
  <si>
    <t>ORD000770</t>
  </si>
  <si>
    <t>CUST3231</t>
  </si>
  <si>
    <t>rohit865@email.com</t>
  </si>
  <si>
    <t>PRD4430</t>
  </si>
  <si>
    <t>ORD000771</t>
  </si>
  <si>
    <t>CUST2705</t>
  </si>
  <si>
    <t>karan503@email.com</t>
  </si>
  <si>
    <t>PRD4223</t>
  </si>
  <si>
    <t>ORD000772</t>
  </si>
  <si>
    <t>CUST3298</t>
  </si>
  <si>
    <t>ORD000773</t>
  </si>
  <si>
    <t>CUST8720</t>
  </si>
  <si>
    <t>PRD3513</t>
  </si>
  <si>
    <t>ORD000774</t>
  </si>
  <si>
    <t>CUST6492</t>
  </si>
  <si>
    <t>kavya320@email.com</t>
  </si>
  <si>
    <t>PRD4315</t>
  </si>
  <si>
    <t>ORD000775</t>
  </si>
  <si>
    <t>CUST7004</t>
  </si>
  <si>
    <t>rahul194@email.com</t>
  </si>
  <si>
    <t>ORD000776</t>
  </si>
  <si>
    <t>CUST7888</t>
  </si>
  <si>
    <t>swati254@email.com</t>
  </si>
  <si>
    <t>PRD3697</t>
  </si>
  <si>
    <t>ORD000777</t>
  </si>
  <si>
    <t>CUST5207</t>
  </si>
  <si>
    <t>priya612@email.com</t>
  </si>
  <si>
    <t>PRD3555</t>
  </si>
  <si>
    <t>ORD000778</t>
  </si>
  <si>
    <t>CUST1010</t>
  </si>
  <si>
    <t>deepak717@email.com</t>
  </si>
  <si>
    <t>2023-07-26</t>
  </si>
  <si>
    <t>PRD3321</t>
  </si>
  <si>
    <t>ORD000779</t>
  </si>
  <si>
    <t>CUST9418</t>
  </si>
  <si>
    <t>priya623@email.com</t>
  </si>
  <si>
    <t>PRD3628</t>
  </si>
  <si>
    <t>ORD000780</t>
  </si>
  <si>
    <t>CUST4357</t>
  </si>
  <si>
    <t>deepak30@email.com</t>
  </si>
  <si>
    <t>PRD3527</t>
  </si>
  <si>
    <t>ORD000781</t>
  </si>
  <si>
    <t>CUST5719</t>
  </si>
  <si>
    <t>rohit18@email.com</t>
  </si>
  <si>
    <t>2023-03-19</t>
  </si>
  <si>
    <t>PRD3898</t>
  </si>
  <si>
    <t>ORD000782</t>
  </si>
  <si>
    <t>CUST7157</t>
  </si>
  <si>
    <t>ORD000783</t>
  </si>
  <si>
    <t>CUST8120</t>
  </si>
  <si>
    <t>rekha395@email.com</t>
  </si>
  <si>
    <t>ORD000784</t>
  </si>
  <si>
    <t>CUST1965</t>
  </si>
  <si>
    <t>sunita83@email.com</t>
  </si>
  <si>
    <t>PRD1163</t>
  </si>
  <si>
    <t>ORD000785</t>
  </si>
  <si>
    <t>CUST8206</t>
  </si>
  <si>
    <t>divya475@email.com</t>
  </si>
  <si>
    <t>PRD1403</t>
  </si>
  <si>
    <t>ORD000786</t>
  </si>
  <si>
    <t>CUST8270</t>
  </si>
  <si>
    <t>anita903@email.com</t>
  </si>
  <si>
    <t>PRD2292</t>
  </si>
  <si>
    <t>ORD000787</t>
  </si>
  <si>
    <t>CUST5335</t>
  </si>
  <si>
    <t>divya29@email.com</t>
  </si>
  <si>
    <t>PRD2371</t>
  </si>
  <si>
    <t>ORD000788</t>
  </si>
  <si>
    <t>CUST7614</t>
  </si>
  <si>
    <t>rahul400@email.com</t>
  </si>
  <si>
    <t>PRD2990</t>
  </si>
  <si>
    <t>ORD000789</t>
  </si>
  <si>
    <t>CUST2678</t>
  </si>
  <si>
    <t>swati135@email.com</t>
  </si>
  <si>
    <t>PRD2510</t>
  </si>
  <si>
    <t>ORD000790</t>
  </si>
  <si>
    <t>CUST7855</t>
  </si>
  <si>
    <t>amit426@email.com</t>
  </si>
  <si>
    <t>ORD000791</t>
  </si>
  <si>
    <t>CUST5259</t>
  </si>
  <si>
    <t>aditya961@email.com</t>
  </si>
  <si>
    <t>2022-05-22</t>
  </si>
  <si>
    <t>PRD4379</t>
  </si>
  <si>
    <t>ORD000792</t>
  </si>
  <si>
    <t>CUST6060</t>
  </si>
  <si>
    <t>sunita18@email.com</t>
  </si>
  <si>
    <t>PRD1384</t>
  </si>
  <si>
    <t>ORD000793</t>
  </si>
  <si>
    <t>CUST5237</t>
  </si>
  <si>
    <t>suresh556@email.com</t>
  </si>
  <si>
    <t>PRD1973</t>
  </si>
  <si>
    <t>ORD000794</t>
  </si>
  <si>
    <t>CUST3637</t>
  </si>
  <si>
    <t>rahul99@email.com</t>
  </si>
  <si>
    <t>2022-05-12</t>
  </si>
  <si>
    <t>PRD4105</t>
  </si>
  <si>
    <t>ORD000795</t>
  </si>
  <si>
    <t>CUST7024</t>
  </si>
  <si>
    <t>vikram103@email.com</t>
  </si>
  <si>
    <t>PRD1425</t>
  </si>
  <si>
    <t>ORD000796</t>
  </si>
  <si>
    <t>CUST7173</t>
  </si>
  <si>
    <t>sunita155@email.com</t>
  </si>
  <si>
    <t>PRD1825</t>
  </si>
  <si>
    <t>ORD000797</t>
  </si>
  <si>
    <t>CUST7236</t>
  </si>
  <si>
    <t>meena353@email.com</t>
  </si>
  <si>
    <t>PRD1852</t>
  </si>
  <si>
    <t>ORD000798</t>
  </si>
  <si>
    <t>CUST8399</t>
  </si>
  <si>
    <t>vikram642@email.com</t>
  </si>
  <si>
    <t>ORD000799</t>
  </si>
  <si>
    <t>CUST2910</t>
  </si>
  <si>
    <t>deepak746@email.com</t>
  </si>
  <si>
    <t>2023-03-14</t>
  </si>
  <si>
    <t>2023-03-16</t>
  </si>
  <si>
    <t>PRD3042</t>
  </si>
  <si>
    <t>ORD000800</t>
  </si>
  <si>
    <t>2022-03-15</t>
  </si>
  <si>
    <t>PRD4680</t>
  </si>
  <si>
    <t>ORD000801</t>
  </si>
  <si>
    <t>CUST1133</t>
  </si>
  <si>
    <t>nisha171@email.com</t>
  </si>
  <si>
    <t>ORD000802</t>
  </si>
  <si>
    <t>CUST3690</t>
  </si>
  <si>
    <t>nisha568@email.com</t>
  </si>
  <si>
    <t>2024-08-07</t>
  </si>
  <si>
    <t>PRD2049</t>
  </si>
  <si>
    <t>ORD000803</t>
  </si>
  <si>
    <t>CUST2974</t>
  </si>
  <si>
    <t>meena572@email.com</t>
  </si>
  <si>
    <t>2022-06-10</t>
  </si>
  <si>
    <t>PRD1593</t>
  </si>
  <si>
    <t>ORD000804</t>
  </si>
  <si>
    <t>CUST5935</t>
  </si>
  <si>
    <t>divya994@email.com</t>
  </si>
  <si>
    <t>PRD1329</t>
  </si>
  <si>
    <t>ORD000805</t>
  </si>
  <si>
    <t>CUST3124</t>
  </si>
  <si>
    <t>deepak452@email.com</t>
  </si>
  <si>
    <t>PRD4218</t>
  </si>
  <si>
    <t>ORD000806</t>
  </si>
  <si>
    <t>CUST1171</t>
  </si>
  <si>
    <t>aditya844@email.com</t>
  </si>
  <si>
    <t>PRD4252</t>
  </si>
  <si>
    <t>ORD000807</t>
  </si>
  <si>
    <t>CUST2896</t>
  </si>
  <si>
    <t>priya837@email.com</t>
  </si>
  <si>
    <t>PRD4116</t>
  </si>
  <si>
    <t>ORD000808</t>
  </si>
  <si>
    <t>CUST6951</t>
  </si>
  <si>
    <t>priya38@email.com</t>
  </si>
  <si>
    <t>2023-04-29</t>
  </si>
  <si>
    <t>PRD3086</t>
  </si>
  <si>
    <t>ORD000809</t>
  </si>
  <si>
    <t>CUST8570</t>
  </si>
  <si>
    <t>sunita897@email.com</t>
  </si>
  <si>
    <t>PRD2268</t>
  </si>
  <si>
    <t>ORD000810</t>
  </si>
  <si>
    <t>CUST6266</t>
  </si>
  <si>
    <t>karan333@email.com</t>
  </si>
  <si>
    <t>2022-03-14</t>
  </si>
  <si>
    <t>2022-03-18</t>
  </si>
  <si>
    <t>PRD2366</t>
  </si>
  <si>
    <t>ORD000811</t>
  </si>
  <si>
    <t>CUST5014</t>
  </si>
  <si>
    <t>rahul58@email.com</t>
  </si>
  <si>
    <t>PRD1097</t>
  </si>
  <si>
    <t>ORD000812</t>
  </si>
  <si>
    <t>CUST4298</t>
  </si>
  <si>
    <t>sunita714@email.com</t>
  </si>
  <si>
    <t>2024-06-17</t>
  </si>
  <si>
    <t>PRD3263</t>
  </si>
  <si>
    <t>ORD000813</t>
  </si>
  <si>
    <t>CUST6735</t>
  </si>
  <si>
    <t>rohit606@email.com</t>
  </si>
  <si>
    <t>PRD3993</t>
  </si>
  <si>
    <t>ORD000814</t>
  </si>
  <si>
    <t>CUST8791</t>
  </si>
  <si>
    <t>meena650@email.com</t>
  </si>
  <si>
    <t>2024-06-03</t>
  </si>
  <si>
    <t>PRD4750</t>
  </si>
  <si>
    <t>ORD000815</t>
  </si>
  <si>
    <t>CUST4720</t>
  </si>
  <si>
    <t>anita167@email.com</t>
  </si>
  <si>
    <t>PRD2624</t>
  </si>
  <si>
    <t>ORD000816</t>
  </si>
  <si>
    <t>CUST4265</t>
  </si>
  <si>
    <t>swati984@email.com</t>
  </si>
  <si>
    <t>2023-03-04</t>
  </si>
  <si>
    <t>PRD4249</t>
  </si>
  <si>
    <t>ORD000817</t>
  </si>
  <si>
    <t>CUST5171</t>
  </si>
  <si>
    <t>aditya889@email.com</t>
  </si>
  <si>
    <t>2023-08-16</t>
  </si>
  <si>
    <t>ORD000818</t>
  </si>
  <si>
    <t>CUST4715</t>
  </si>
  <si>
    <t>arjun617@email.com</t>
  </si>
  <si>
    <t>PRD2940</t>
  </si>
  <si>
    <t>ORD000819</t>
  </si>
  <si>
    <t>CUST2716</t>
  </si>
  <si>
    <t>rahul787@email.com</t>
  </si>
  <si>
    <t>PRD3045</t>
  </si>
  <si>
    <t>ORD000820</t>
  </si>
  <si>
    <t>CUST8472</t>
  </si>
  <si>
    <t>suresh648@email.com</t>
  </si>
  <si>
    <t>2024-03-31</t>
  </si>
  <si>
    <t>PRD3574</t>
  </si>
  <si>
    <t>ORD000821</t>
  </si>
  <si>
    <t>CUST4046</t>
  </si>
  <si>
    <t>suresh786@email.com</t>
  </si>
  <si>
    <t>ORD000822</t>
  </si>
  <si>
    <t>CUST5858</t>
  </si>
  <si>
    <t>meena243@email.com</t>
  </si>
  <si>
    <t>PRD1278</t>
  </si>
  <si>
    <t>ORD000823</t>
  </si>
  <si>
    <t>CUST5063</t>
  </si>
  <si>
    <t>rohit280@email.com</t>
  </si>
  <si>
    <t>PRD1709</t>
  </si>
  <si>
    <t>ORD000824</t>
  </si>
  <si>
    <t>CUST8427</t>
  </si>
  <si>
    <t>amit832@email.com</t>
  </si>
  <si>
    <t>PRD2914</t>
  </si>
  <si>
    <t>ORD000825</t>
  </si>
  <si>
    <t>CUST8828</t>
  </si>
  <si>
    <t>swati768@email.com</t>
  </si>
  <si>
    <t>PRD3084</t>
  </si>
  <si>
    <t>ORD000826</t>
  </si>
  <si>
    <t>CUST7327</t>
  </si>
  <si>
    <t>meena640@email.com</t>
  </si>
  <si>
    <t>PRD3577</t>
  </si>
  <si>
    <t>ORD000827</t>
  </si>
  <si>
    <t>CUST8170</t>
  </si>
  <si>
    <t>suresh27@email.com</t>
  </si>
  <si>
    <t>PRD4858</t>
  </si>
  <si>
    <t>ORD000828</t>
  </si>
  <si>
    <t>CUST9218</t>
  </si>
  <si>
    <t>rekha48@email.com</t>
  </si>
  <si>
    <t>PRD3281</t>
  </si>
  <si>
    <t>ORD000829</t>
  </si>
  <si>
    <t>CUST1904</t>
  </si>
  <si>
    <t>manish271@email.com</t>
  </si>
  <si>
    <t>2023-07-27</t>
  </si>
  <si>
    <t>ORD000830</t>
  </si>
  <si>
    <t>CUST1186</t>
  </si>
  <si>
    <t>Rekha Patel</t>
  </si>
  <si>
    <t>rekha981@email.com</t>
  </si>
  <si>
    <t>2022-02-16</t>
  </si>
  <si>
    <t>PRD1056</t>
  </si>
  <si>
    <t>ORD000831</t>
  </si>
  <si>
    <t>CUST3785</t>
  </si>
  <si>
    <t>amit124@email.com</t>
  </si>
  <si>
    <t>PRD3105</t>
  </si>
  <si>
    <t>ORD000832</t>
  </si>
  <si>
    <t>CUST7421</t>
  </si>
  <si>
    <t>amit871@email.com</t>
  </si>
  <si>
    <t>2023-04-18</t>
  </si>
  <si>
    <t>PRD3112</t>
  </si>
  <si>
    <t>ORD000833</t>
  </si>
  <si>
    <t>CUST2536</t>
  </si>
  <si>
    <t>vikram785@email.com</t>
  </si>
  <si>
    <t>2024-05-22</t>
  </si>
  <si>
    <t>ORD000834</t>
  </si>
  <si>
    <t>CUST9067</t>
  </si>
  <si>
    <t>rahul822@email.com</t>
  </si>
  <si>
    <t>PRD4163</t>
  </si>
  <si>
    <t>ORD000835</t>
  </si>
  <si>
    <t>CUST3376</t>
  </si>
  <si>
    <t>deepak752@email.com</t>
  </si>
  <si>
    <t>PRD4079</t>
  </si>
  <si>
    <t>ORD000836</t>
  </si>
  <si>
    <t>CUST6196</t>
  </si>
  <si>
    <t>pooja480@email.com</t>
  </si>
  <si>
    <t>PRD1926</t>
  </si>
  <si>
    <t>ORD000837</t>
  </si>
  <si>
    <t>CUST3765</t>
  </si>
  <si>
    <t>PRD1628</t>
  </si>
  <si>
    <t>ORD000838</t>
  </si>
  <si>
    <t>CUST1890</t>
  </si>
  <si>
    <t>karan81@email.com</t>
  </si>
  <si>
    <t>PRD4486</t>
  </si>
  <si>
    <t>ORD000839</t>
  </si>
  <si>
    <t>CUST5266</t>
  </si>
  <si>
    <t>manish709@email.com</t>
  </si>
  <si>
    <t>ORD000840</t>
  </si>
  <si>
    <t>CUST4675</t>
  </si>
  <si>
    <t>arjun310@email.com</t>
  </si>
  <si>
    <t>ORD000841</t>
  </si>
  <si>
    <t>CUST8225</t>
  </si>
  <si>
    <t>suresh754@email.com</t>
  </si>
  <si>
    <t>PRD1447</t>
  </si>
  <si>
    <t>ORD000842</t>
  </si>
  <si>
    <t>CUST1638</t>
  </si>
  <si>
    <t>amit637@email.com</t>
  </si>
  <si>
    <t>PRD4715</t>
  </si>
  <si>
    <t>ORD000843</t>
  </si>
  <si>
    <t>CUST2041</t>
  </si>
  <si>
    <t>karan873@email.com</t>
  </si>
  <si>
    <t>ORD000844</t>
  </si>
  <si>
    <t>CUST6620</t>
  </si>
  <si>
    <t>vikram270@email.com</t>
  </si>
  <si>
    <t>2023-07-15</t>
  </si>
  <si>
    <t>PRD2803</t>
  </si>
  <si>
    <t>ORD000845</t>
  </si>
  <si>
    <t>CUST8788</t>
  </si>
  <si>
    <t>arjun950@email.com</t>
  </si>
  <si>
    <t>ORD000846</t>
  </si>
  <si>
    <t>CUST3599</t>
  </si>
  <si>
    <t>PRD2798</t>
  </si>
  <si>
    <t>ORD000847</t>
  </si>
  <si>
    <t>CUST8214</t>
  </si>
  <si>
    <t>sunita294@email.com</t>
  </si>
  <si>
    <t>ORD000848</t>
  </si>
  <si>
    <t>CUST1318</t>
  </si>
  <si>
    <t>pooja334@email.com</t>
  </si>
  <si>
    <t>PRD4097</t>
  </si>
  <si>
    <t>ORD000849</t>
  </si>
  <si>
    <t>CUST9847</t>
  </si>
  <si>
    <t>deepak497@email.com</t>
  </si>
  <si>
    <t>PRD1851</t>
  </si>
  <si>
    <t>ORD000850</t>
  </si>
  <si>
    <t>CUST3626</t>
  </si>
  <si>
    <t>manish455@email.com</t>
  </si>
  <si>
    <t>PRD3904</t>
  </si>
  <si>
    <t>ORD000851</t>
  </si>
  <si>
    <t>CUST7159</t>
  </si>
  <si>
    <t>PRD2934</t>
  </si>
  <si>
    <t>ORD000852</t>
  </si>
  <si>
    <t>CUST2146</t>
  </si>
  <si>
    <t>nisha182@email.com</t>
  </si>
  <si>
    <t>PRD1721</t>
  </si>
  <si>
    <t>ORD000853</t>
  </si>
  <si>
    <t>CUST4145</t>
  </si>
  <si>
    <t>suresh325@email.com</t>
  </si>
  <si>
    <t>2022-12-25</t>
  </si>
  <si>
    <t>PRD1534</t>
  </si>
  <si>
    <t>ORD000854</t>
  </si>
  <si>
    <t>CUST5023</t>
  </si>
  <si>
    <t>rahul191@email.com</t>
  </si>
  <si>
    <t>2022-07-23</t>
  </si>
  <si>
    <t>PRD3304</t>
  </si>
  <si>
    <t>ORD000855</t>
  </si>
  <si>
    <t>CUST5366</t>
  </si>
  <si>
    <t>pooja52@email.com</t>
  </si>
  <si>
    <t>PRD4586</t>
  </si>
  <si>
    <t>ORD000856</t>
  </si>
  <si>
    <t>CUST6346</t>
  </si>
  <si>
    <t>suresh70@email.com</t>
  </si>
  <si>
    <t>ORD000857</t>
  </si>
  <si>
    <t>CUST2625</t>
  </si>
  <si>
    <t>aditya49@email.com</t>
  </si>
  <si>
    <t>2023-08-24</t>
  </si>
  <si>
    <t>PRD2489</t>
  </si>
  <si>
    <t>ORD000858</t>
  </si>
  <si>
    <t>suresh173@email.com</t>
  </si>
  <si>
    <t>PRD2102</t>
  </si>
  <si>
    <t>ORD000859</t>
  </si>
  <si>
    <t>CUST1179</t>
  </si>
  <si>
    <t>pooja983@email.com</t>
  </si>
  <si>
    <t>ORD000860</t>
  </si>
  <si>
    <t>CUST7392</t>
  </si>
  <si>
    <t>divya281@email.com</t>
  </si>
  <si>
    <t>2022-03-20</t>
  </si>
  <si>
    <t>PRD1890</t>
  </si>
  <si>
    <t>ORD000861</t>
  </si>
  <si>
    <t>CUST5444</t>
  </si>
  <si>
    <t>swati585@email.com</t>
  </si>
  <si>
    <t>PRD4309</t>
  </si>
  <si>
    <t>ORD000862</t>
  </si>
  <si>
    <t>CUST1756</t>
  </si>
  <si>
    <t>divya359@email.com</t>
  </si>
  <si>
    <t>PRD2604</t>
  </si>
  <si>
    <t>ORD000863</t>
  </si>
  <si>
    <t>CUST7505</t>
  </si>
  <si>
    <t>swati206@email.com</t>
  </si>
  <si>
    <t>PRD4094</t>
  </si>
  <si>
    <t>ORD000864</t>
  </si>
  <si>
    <t>CUST8813</t>
  </si>
  <si>
    <t>pooja552@email.com</t>
  </si>
  <si>
    <t>ORD000865</t>
  </si>
  <si>
    <t>CUST8415</t>
  </si>
  <si>
    <t>rohit522@email.com</t>
  </si>
  <si>
    <t>ORD000866</t>
  </si>
  <si>
    <t>CUST4795</t>
  </si>
  <si>
    <t>kavya952@email.com</t>
  </si>
  <si>
    <t>2024-11-11</t>
  </si>
  <si>
    <t>PRD4496</t>
  </si>
  <si>
    <t>ORD000867</t>
  </si>
  <si>
    <t>CUST2331</t>
  </si>
  <si>
    <t>divya553@email.com</t>
  </si>
  <si>
    <t>PRD4367</t>
  </si>
  <si>
    <t>ORD000868</t>
  </si>
  <si>
    <t>CUST4292</t>
  </si>
  <si>
    <t>sunita883@email.com</t>
  </si>
  <si>
    <t>PRD1977</t>
  </si>
  <si>
    <t>ORD000869</t>
  </si>
  <si>
    <t>CUST1130</t>
  </si>
  <si>
    <t>rekha964@email.com</t>
  </si>
  <si>
    <t>PRD2759</t>
  </si>
  <si>
    <t>ORD000870</t>
  </si>
  <si>
    <t>CUST2475</t>
  </si>
  <si>
    <t>kavya478@email.com</t>
  </si>
  <si>
    <t>PRD3081</t>
  </si>
  <si>
    <t>ORD000871</t>
  </si>
  <si>
    <t>CUST2022</t>
  </si>
  <si>
    <t>rohit777@email.com</t>
  </si>
  <si>
    <t>2022-10-30</t>
  </si>
  <si>
    <t>2022-11-08</t>
  </si>
  <si>
    <t>PRD1631</t>
  </si>
  <si>
    <t>ORD000872</t>
  </si>
  <si>
    <t>CUST4111</t>
  </si>
  <si>
    <t>rohit218@email.com</t>
  </si>
  <si>
    <t>PRD1448</t>
  </si>
  <si>
    <t>ORD000873</t>
  </si>
  <si>
    <t>CUST4312</t>
  </si>
  <si>
    <t>arjun98@email.com</t>
  </si>
  <si>
    <t>PRD4933</t>
  </si>
  <si>
    <t>ORD000874</t>
  </si>
  <si>
    <t>CUST7690</t>
  </si>
  <si>
    <t>suresh712@email.com</t>
  </si>
  <si>
    <t>PRD3163</t>
  </si>
  <si>
    <t>ORD000875</t>
  </si>
  <si>
    <t>CUST6895</t>
  </si>
  <si>
    <t>kavya376@email.com</t>
  </si>
  <si>
    <t>PRD3685</t>
  </si>
  <si>
    <t>ORD000876</t>
  </si>
  <si>
    <t>CUST1123</t>
  </si>
  <si>
    <t>nisha86@email.com</t>
  </si>
  <si>
    <t>PRD2494</t>
  </si>
  <si>
    <t>ORD000877</t>
  </si>
  <si>
    <t>CUST8406</t>
  </si>
  <si>
    <t>swati75@email.com</t>
  </si>
  <si>
    <t>PRD4429</t>
  </si>
  <si>
    <t>ORD000878</t>
  </si>
  <si>
    <t>CUST8071</t>
  </si>
  <si>
    <t>rahul322@email.com</t>
  </si>
  <si>
    <t>2024-09-20</t>
  </si>
  <si>
    <t>PRD1718</t>
  </si>
  <si>
    <t>ORD000879</t>
  </si>
  <si>
    <t>CUST3352</t>
  </si>
  <si>
    <t>sunita635@email.com</t>
  </si>
  <si>
    <t>2023-08-10</t>
  </si>
  <si>
    <t>PRD3858</t>
  </si>
  <si>
    <t>ORD000880</t>
  </si>
  <si>
    <t>CUST2353</t>
  </si>
  <si>
    <t>nisha474@email.com</t>
  </si>
  <si>
    <t>PRD3603</t>
  </si>
  <si>
    <t>ORD000881</t>
  </si>
  <si>
    <t>CUST4494</t>
  </si>
  <si>
    <t>anita560@email.com</t>
  </si>
  <si>
    <t>PRD2884</t>
  </si>
  <si>
    <t>ORD000882</t>
  </si>
  <si>
    <t>CUST2168</t>
  </si>
  <si>
    <t>amit267@email.com</t>
  </si>
  <si>
    <t>PRD2051</t>
  </si>
  <si>
    <t>ORD000883</t>
  </si>
  <si>
    <t>CUST1321</t>
  </si>
  <si>
    <t>suresh283@email.com</t>
  </si>
  <si>
    <t>2023-10-11</t>
  </si>
  <si>
    <t>PRD1886</t>
  </si>
  <si>
    <t>ORD000884</t>
  </si>
  <si>
    <t>CUST9629</t>
  </si>
  <si>
    <t>sunita402@email.com</t>
  </si>
  <si>
    <t>PRD2340</t>
  </si>
  <si>
    <t>ORD000885</t>
  </si>
  <si>
    <t>CUST9097</t>
  </si>
  <si>
    <t>nisha506@email.com</t>
  </si>
  <si>
    <t>PRD1094</t>
  </si>
  <si>
    <t>ORD000886</t>
  </si>
  <si>
    <t>CUST9342</t>
  </si>
  <si>
    <t>anita812@email.com</t>
  </si>
  <si>
    <t>PRD4995</t>
  </si>
  <si>
    <t>ORD000887</t>
  </si>
  <si>
    <t>karan385@email.com</t>
  </si>
  <si>
    <t>PRD4090</t>
  </si>
  <si>
    <t>ORD000888</t>
  </si>
  <si>
    <t>CUST9786</t>
  </si>
  <si>
    <t>kavya365@email.com</t>
  </si>
  <si>
    <t>PRD2859</t>
  </si>
  <si>
    <t>ORD000889</t>
  </si>
  <si>
    <t>CUST2685</t>
  </si>
  <si>
    <t>priya942@email.com</t>
  </si>
  <si>
    <t>PRD3741</t>
  </si>
  <si>
    <t>ORD000890</t>
  </si>
  <si>
    <t>CUST2587</t>
  </si>
  <si>
    <t>anita45@email.com</t>
  </si>
  <si>
    <t>2024-03-22</t>
  </si>
  <si>
    <t>PRD4812</t>
  </si>
  <si>
    <t>ORD000891</t>
  </si>
  <si>
    <t>CUST8474</t>
  </si>
  <si>
    <t>amit926@email.com</t>
  </si>
  <si>
    <t>2022-05-14</t>
  </si>
  <si>
    <t>PRD4373</t>
  </si>
  <si>
    <t>ORD000892</t>
  </si>
  <si>
    <t>CUST8888</t>
  </si>
  <si>
    <t>suresh428@email.com</t>
  </si>
  <si>
    <t>PRD2406</t>
  </si>
  <si>
    <t>ORD000893</t>
  </si>
  <si>
    <t>CUST8763</t>
  </si>
  <si>
    <t>suresh801@email.com</t>
  </si>
  <si>
    <t>PRD1516</t>
  </si>
  <si>
    <t>ORD000894</t>
  </si>
  <si>
    <t>aditya141@email.com</t>
  </si>
  <si>
    <t>2022-05-13</t>
  </si>
  <si>
    <t>PRD4019</t>
  </si>
  <si>
    <t>ORD000895</t>
  </si>
  <si>
    <t>CUST6234</t>
  </si>
  <si>
    <t>aditya309@email.com</t>
  </si>
  <si>
    <t>2022-05-20</t>
  </si>
  <si>
    <t>PRD2481</t>
  </si>
  <si>
    <t>ORD000896</t>
  </si>
  <si>
    <t>arjun710@email.com</t>
  </si>
  <si>
    <t>ORD000897</t>
  </si>
  <si>
    <t>CUST5611</t>
  </si>
  <si>
    <t>priya567@email.com</t>
  </si>
  <si>
    <t>PRD4189</t>
  </si>
  <si>
    <t>ORD000898</t>
  </si>
  <si>
    <t>CUST2569</t>
  </si>
  <si>
    <t>arjun568@email.com</t>
  </si>
  <si>
    <t>PRD2734</t>
  </si>
  <si>
    <t>ORD000899</t>
  </si>
  <si>
    <t>CUST9008</t>
  </si>
  <si>
    <t>sunita305@email.com</t>
  </si>
  <si>
    <t>2023-07-14</t>
  </si>
  <si>
    <t>PRD1267</t>
  </si>
  <si>
    <t>ORD000900</t>
  </si>
  <si>
    <t>CUST4035</t>
  </si>
  <si>
    <t>meena831@email.com</t>
  </si>
  <si>
    <t>ORD000901</t>
  </si>
  <si>
    <t>karan189@email.com</t>
  </si>
  <si>
    <t>PRD2832</t>
  </si>
  <si>
    <t>ORD000902</t>
  </si>
  <si>
    <t>CUST3664</t>
  </si>
  <si>
    <t>priya187@email.com</t>
  </si>
  <si>
    <t>PRD4478</t>
  </si>
  <si>
    <t>ORD000903</t>
  </si>
  <si>
    <t>aditya129@email.com</t>
  </si>
  <si>
    <t>PRD2285</t>
  </si>
  <si>
    <t>ORD000904</t>
  </si>
  <si>
    <t>CUST8858</t>
  </si>
  <si>
    <t>ORD000905</t>
  </si>
  <si>
    <t>CUST4424</t>
  </si>
  <si>
    <t>amit91@email.com</t>
  </si>
  <si>
    <t>PRD1445</t>
  </si>
  <si>
    <t>ORD000906</t>
  </si>
  <si>
    <t>CUST1093</t>
  </si>
  <si>
    <t>divya775@email.com</t>
  </si>
  <si>
    <t>PRD3774</t>
  </si>
  <si>
    <t>ORD000907</t>
  </si>
  <si>
    <t>CUST8504</t>
  </si>
  <si>
    <t>deepak366@email.com</t>
  </si>
  <si>
    <t>ORD000908</t>
  </si>
  <si>
    <t>CUST5904</t>
  </si>
  <si>
    <t>amit499@email.com</t>
  </si>
  <si>
    <t>PRD1148</t>
  </si>
  <si>
    <t>ORD000909</t>
  </si>
  <si>
    <t>CUST4353</t>
  </si>
  <si>
    <t>nisha522@email.com</t>
  </si>
  <si>
    <t>ORD000910</t>
  </si>
  <si>
    <t>CUST9432</t>
  </si>
  <si>
    <t>vikram432@email.com</t>
  </si>
  <si>
    <t>2022-11-26</t>
  </si>
  <si>
    <t>PRD3825</t>
  </si>
  <si>
    <t>ORD000911</t>
  </si>
  <si>
    <t>CUST9160</t>
  </si>
  <si>
    <t>swati965@email.com</t>
  </si>
  <si>
    <t>PRD3065</t>
  </si>
  <si>
    <t>ORD000912</t>
  </si>
  <si>
    <t>CUST9752</t>
  </si>
  <si>
    <t>nisha649@email.com</t>
  </si>
  <si>
    <t>PRD3689</t>
  </si>
  <si>
    <t>ORD000913</t>
  </si>
  <si>
    <t>CUST4582</t>
  </si>
  <si>
    <t>priya666@email.com</t>
  </si>
  <si>
    <t>PRD1122</t>
  </si>
  <si>
    <t>ORD000914</t>
  </si>
  <si>
    <t>CUST1598</t>
  </si>
  <si>
    <t>rohit855@email.com</t>
  </si>
  <si>
    <t>PRD4641</t>
  </si>
  <si>
    <t>ORD000915</t>
  </si>
  <si>
    <t>CUST8247</t>
  </si>
  <si>
    <t>swati861@email.com</t>
  </si>
  <si>
    <t>PRD2099</t>
  </si>
  <si>
    <t>ORD000916</t>
  </si>
  <si>
    <t>CUST5585</t>
  </si>
  <si>
    <t>anita828@email.com</t>
  </si>
  <si>
    <t>PRD2631</t>
  </si>
  <si>
    <t>ORD000917</t>
  </si>
  <si>
    <t>aditya150@email.com</t>
  </si>
  <si>
    <t>2023-08-03</t>
  </si>
  <si>
    <t>ORD000918</t>
  </si>
  <si>
    <t>CUST9305</t>
  </si>
  <si>
    <t>Kavya Patel</t>
  </si>
  <si>
    <t>kavya287@email.com</t>
  </si>
  <si>
    <t>2024-12-29</t>
  </si>
  <si>
    <t>PRD4001</t>
  </si>
  <si>
    <t>ORD000919</t>
  </si>
  <si>
    <t>CUST7634</t>
  </si>
  <si>
    <t>rekha740@email.com</t>
  </si>
  <si>
    <t>PRD1501</t>
  </si>
  <si>
    <t>ORD000920</t>
  </si>
  <si>
    <t>CUST1675</t>
  </si>
  <si>
    <t>divya233@email.com</t>
  </si>
  <si>
    <t>PRD4818</t>
  </si>
  <si>
    <t>ORD000921</t>
  </si>
  <si>
    <t>CUST9766</t>
  </si>
  <si>
    <t>aditya205@email.com</t>
  </si>
  <si>
    <t>PRD4016</t>
  </si>
  <si>
    <t>ORD000922</t>
  </si>
  <si>
    <t>CUST6350</t>
  </si>
  <si>
    <t>kavya387@email.com</t>
  </si>
  <si>
    <t>PRD2778</t>
  </si>
  <si>
    <t>ORD000923</t>
  </si>
  <si>
    <t>CUST2586</t>
  </si>
  <si>
    <t>rahul59@email.com</t>
  </si>
  <si>
    <t>ORD000924</t>
  </si>
  <si>
    <t>CUST9098</t>
  </si>
  <si>
    <t>nisha645@email.com</t>
  </si>
  <si>
    <t>ORD000925</t>
  </si>
  <si>
    <t>CUST5376</t>
  </si>
  <si>
    <t>manish731@email.com</t>
  </si>
  <si>
    <t>ORD000926</t>
  </si>
  <si>
    <t>CUST6114</t>
  </si>
  <si>
    <t>nisha639@email.com</t>
  </si>
  <si>
    <t>PRD3236</t>
  </si>
  <si>
    <t>ORD000927</t>
  </si>
  <si>
    <t>CUST2149</t>
  </si>
  <si>
    <t>aditya307@email.com</t>
  </si>
  <si>
    <t>PRD2162</t>
  </si>
  <si>
    <t>ORD000928</t>
  </si>
  <si>
    <t>CUST3476</t>
  </si>
  <si>
    <t>divya818@email.com</t>
  </si>
  <si>
    <t>2022-01-26</t>
  </si>
  <si>
    <t>PRD1672</t>
  </si>
  <si>
    <t>ORD000929</t>
  </si>
  <si>
    <t>CUST3321</t>
  </si>
  <si>
    <t>karan670@email.com</t>
  </si>
  <si>
    <t>PRD2228</t>
  </si>
  <si>
    <t>ORD000930</t>
  </si>
  <si>
    <t>CUST8958</t>
  </si>
  <si>
    <t>priya299@email.com</t>
  </si>
  <si>
    <t>PRD2092</t>
  </si>
  <si>
    <t>ORD000931</t>
  </si>
  <si>
    <t>CUST8195</t>
  </si>
  <si>
    <t>divya935@email.com</t>
  </si>
  <si>
    <t>PRD3446</t>
  </si>
  <si>
    <t>ORD000932</t>
  </si>
  <si>
    <t>CUST1754</t>
  </si>
  <si>
    <t>manish330@email.com</t>
  </si>
  <si>
    <t>PRD1832</t>
  </si>
  <si>
    <t>ORD000933</t>
  </si>
  <si>
    <t>CUST9736</t>
  </si>
  <si>
    <t>pooja449@email.com</t>
  </si>
  <si>
    <t>PRD3306</t>
  </si>
  <si>
    <t>ORD000934</t>
  </si>
  <si>
    <t>CUST3932</t>
  </si>
  <si>
    <t>amit217@email.com</t>
  </si>
  <si>
    <t>2023-09-25</t>
  </si>
  <si>
    <t>PRD2584</t>
  </si>
  <si>
    <t>ORD000935</t>
  </si>
  <si>
    <t>CUST7863</t>
  </si>
  <si>
    <t>arjun578@email.com</t>
  </si>
  <si>
    <t>PRD2529</t>
  </si>
  <si>
    <t>ORD000936</t>
  </si>
  <si>
    <t>CUST8229</t>
  </si>
  <si>
    <t>meena340@email.com</t>
  </si>
  <si>
    <t>PRD2583</t>
  </si>
  <si>
    <t>ORD000937</t>
  </si>
  <si>
    <t>CUST1246</t>
  </si>
  <si>
    <t>pooja29@email.com</t>
  </si>
  <si>
    <t>ORD000938</t>
  </si>
  <si>
    <t>CUST3741</t>
  </si>
  <si>
    <t>rekha520@email.com</t>
  </si>
  <si>
    <t>PRD4493</t>
  </si>
  <si>
    <t>ORD000939</t>
  </si>
  <si>
    <t>CUST5691</t>
  </si>
  <si>
    <t>priya667@email.com</t>
  </si>
  <si>
    <t>PRD3564</t>
  </si>
  <si>
    <t>ORD000940</t>
  </si>
  <si>
    <t>CUST1052</t>
  </si>
  <si>
    <t>anita876@email.com</t>
  </si>
  <si>
    <t>PRD1513</t>
  </si>
  <si>
    <t>ORD000941</t>
  </si>
  <si>
    <t>vikram714@email.com</t>
  </si>
  <si>
    <t>PRD4035</t>
  </si>
  <si>
    <t>ORD000942</t>
  </si>
  <si>
    <t>nisha609@email.com</t>
  </si>
  <si>
    <t>ORD000943</t>
  </si>
  <si>
    <t>CUST9297</t>
  </si>
  <si>
    <t>rahul952@email.com</t>
  </si>
  <si>
    <t>PRD2124</t>
  </si>
  <si>
    <t>ORD000944</t>
  </si>
  <si>
    <t>CUST8051</t>
  </si>
  <si>
    <t>manish208@email.com</t>
  </si>
  <si>
    <t>PRD1390</t>
  </si>
  <si>
    <t>ORD000945</t>
  </si>
  <si>
    <t>CUST1770</t>
  </si>
  <si>
    <t>deepak34@email.com</t>
  </si>
  <si>
    <t>PRD2281</t>
  </si>
  <si>
    <t>ORD000946</t>
  </si>
  <si>
    <t>CUST8999</t>
  </si>
  <si>
    <t>nisha721@email.com</t>
  </si>
  <si>
    <t>PRD4562</t>
  </si>
  <si>
    <t>ORD000947</t>
  </si>
  <si>
    <t>CUST9047</t>
  </si>
  <si>
    <t>karan480@email.com</t>
  </si>
  <si>
    <t>PRD2986</t>
  </si>
  <si>
    <t>ORD000948</t>
  </si>
  <si>
    <t>CUST5742</t>
  </si>
  <si>
    <t>aditya225@email.com</t>
  </si>
  <si>
    <t>2024-08-11</t>
  </si>
  <si>
    <t>PRD3553</t>
  </si>
  <si>
    <t>ORD000949</t>
  </si>
  <si>
    <t>CUST1329</t>
  </si>
  <si>
    <t>arjun52@email.com</t>
  </si>
  <si>
    <t>PRD4239</t>
  </si>
  <si>
    <t>ORD000950</t>
  </si>
  <si>
    <t>CUST9289</t>
  </si>
  <si>
    <t>kavya313@email.com</t>
  </si>
  <si>
    <t>PRD1959</t>
  </si>
  <si>
    <t>ORD000951</t>
  </si>
  <si>
    <t>CUST8490</t>
  </si>
  <si>
    <t>sunita669@email.com</t>
  </si>
  <si>
    <t>ORD000952</t>
  </si>
  <si>
    <t>swati215@email.com</t>
  </si>
  <si>
    <t>PRD1816</t>
  </si>
  <si>
    <t>ORD000953</t>
  </si>
  <si>
    <t>CUST5297</t>
  </si>
  <si>
    <t>priya376@email.com</t>
  </si>
  <si>
    <t>PRD1677</t>
  </si>
  <si>
    <t>ORD000954</t>
  </si>
  <si>
    <t>CUST8996</t>
  </si>
  <si>
    <t>rohit652@email.com</t>
  </si>
  <si>
    <t>2022-07-15</t>
  </si>
  <si>
    <t>PRD4700</t>
  </si>
  <si>
    <t>ORD000955</t>
  </si>
  <si>
    <t>CUST7702</t>
  </si>
  <si>
    <t>vikram98@email.com</t>
  </si>
  <si>
    <t>ORD000956</t>
  </si>
  <si>
    <t>CUST6791</t>
  </si>
  <si>
    <t>deepak475@email.com</t>
  </si>
  <si>
    <t>PRD3720</t>
  </si>
  <si>
    <t>ORD000957</t>
  </si>
  <si>
    <t>CUST1001</t>
  </si>
  <si>
    <t>suresh525@email.com</t>
  </si>
  <si>
    <t>PRD4143</t>
  </si>
  <si>
    <t>ORD000958</t>
  </si>
  <si>
    <t>CUST7807</t>
  </si>
  <si>
    <t>pooja296@email.com</t>
  </si>
  <si>
    <t>PRD2530</t>
  </si>
  <si>
    <t>ORD000959</t>
  </si>
  <si>
    <t>CUST4554</t>
  </si>
  <si>
    <t>swati153@email.com</t>
  </si>
  <si>
    <t>ORD000960</t>
  </si>
  <si>
    <t>CUST5049</t>
  </si>
  <si>
    <t>arjun306@email.com</t>
  </si>
  <si>
    <t>PRD1683</t>
  </si>
  <si>
    <t>ORD000961</t>
  </si>
  <si>
    <t>CUST4587</t>
  </si>
  <si>
    <t>aditya636@email.com</t>
  </si>
  <si>
    <t>PRD4554</t>
  </si>
  <si>
    <t>ORD000962</t>
  </si>
  <si>
    <t>CUST2007</t>
  </si>
  <si>
    <t>kavya92@email.com</t>
  </si>
  <si>
    <t>2024-12-21</t>
  </si>
  <si>
    <t>PRD2765</t>
  </si>
  <si>
    <t>ORD000963</t>
  </si>
  <si>
    <t>CUST3921</t>
  </si>
  <si>
    <t>deepak25@email.com</t>
  </si>
  <si>
    <t>2024-07-06</t>
  </si>
  <si>
    <t>PRD2399</t>
  </si>
  <si>
    <t>ORD000964</t>
  </si>
  <si>
    <t>CUST1632</t>
  </si>
  <si>
    <t>sunita477@email.com</t>
  </si>
  <si>
    <t>ORD000965</t>
  </si>
  <si>
    <t>CUST7276</t>
  </si>
  <si>
    <t>suresh659@email.com</t>
  </si>
  <si>
    <t>PRD2793</t>
  </si>
  <si>
    <t>ORD000966</t>
  </si>
  <si>
    <t>CUST3681</t>
  </si>
  <si>
    <t>deepak600@email.com</t>
  </si>
  <si>
    <t>2023-12-04</t>
  </si>
  <si>
    <t>ORD000967</t>
  </si>
  <si>
    <t>CUST8007</t>
  </si>
  <si>
    <t>pooja237@email.com</t>
  </si>
  <si>
    <t>PRD2579</t>
  </si>
  <si>
    <t>ORD000968</t>
  </si>
  <si>
    <t>CUST2601</t>
  </si>
  <si>
    <t>rekha68@email.com</t>
  </si>
  <si>
    <t>ORD000969</t>
  </si>
  <si>
    <t>CUST5275</t>
  </si>
  <si>
    <t>vikram42@email.com</t>
  </si>
  <si>
    <t>PRD3262</t>
  </si>
  <si>
    <t>ORD000970</t>
  </si>
  <si>
    <t>anita420@email.com</t>
  </si>
  <si>
    <t>ORD000971</t>
  </si>
  <si>
    <t>CUST2272</t>
  </si>
  <si>
    <t>rohit467@email.com</t>
  </si>
  <si>
    <t>PRD4138</t>
  </si>
  <si>
    <t>ORD000972</t>
  </si>
  <si>
    <t>CUST1787</t>
  </si>
  <si>
    <t>meena771@email.com</t>
  </si>
  <si>
    <t>PRD2774</t>
  </si>
  <si>
    <t>ORD000973</t>
  </si>
  <si>
    <t>karan30@email.com</t>
  </si>
  <si>
    <t>PRD4758</t>
  </si>
  <si>
    <t>ORD000974</t>
  </si>
  <si>
    <t>CUST6235</t>
  </si>
  <si>
    <t>amit186@email.com</t>
  </si>
  <si>
    <t>ORD000975</t>
  </si>
  <si>
    <t>nisha357@email.com</t>
  </si>
  <si>
    <t>PRD2348</t>
  </si>
  <si>
    <t>ORD000976</t>
  </si>
  <si>
    <t>CUST8898</t>
  </si>
  <si>
    <t>kavya380@email.com</t>
  </si>
  <si>
    <t>2023-10-26</t>
  </si>
  <si>
    <t>PRD1625</t>
  </si>
  <si>
    <t>ORD000977</t>
  </si>
  <si>
    <t>nisha117@email.com</t>
  </si>
  <si>
    <t>2024-12-18</t>
  </si>
  <si>
    <t>2024-12-27</t>
  </si>
  <si>
    <t>PRD1913</t>
  </si>
  <si>
    <t>ORD000978</t>
  </si>
  <si>
    <t>CUST9724</t>
  </si>
  <si>
    <t>rahul921@email.com</t>
  </si>
  <si>
    <t>2023-06-12</t>
  </si>
  <si>
    <t>PRD3108</t>
  </si>
  <si>
    <t>ORD000979</t>
  </si>
  <si>
    <t>divya748@email.com</t>
  </si>
  <si>
    <t>PRD4935</t>
  </si>
  <si>
    <t>ORD000980</t>
  </si>
  <si>
    <t>CUST7845</t>
  </si>
  <si>
    <t>aditya747@email.com</t>
  </si>
  <si>
    <t>ORD000981</t>
  </si>
  <si>
    <t>aditya537@email.com</t>
  </si>
  <si>
    <t>PRD3521</t>
  </si>
  <si>
    <t>ORD000982</t>
  </si>
  <si>
    <t>CUST7877</t>
  </si>
  <si>
    <t>deepak72@email.com</t>
  </si>
  <si>
    <t>PRD4806</t>
  </si>
  <si>
    <t>ORD000983</t>
  </si>
  <si>
    <t>CUST6442</t>
  </si>
  <si>
    <t>aditya932@email.com</t>
  </si>
  <si>
    <t>PRD3132</t>
  </si>
  <si>
    <t>ORD000984</t>
  </si>
  <si>
    <t>CUST1898</t>
  </si>
  <si>
    <t>arjun933@email.com</t>
  </si>
  <si>
    <t>PRD1538</t>
  </si>
  <si>
    <t>ORD000985</t>
  </si>
  <si>
    <t>CUST3692</t>
  </si>
  <si>
    <t>kavya635@email.com</t>
  </si>
  <si>
    <t>PRD1794</t>
  </si>
  <si>
    <t>ORD000986</t>
  </si>
  <si>
    <t>CUST6458</t>
  </si>
  <si>
    <t>swati556@email.com</t>
  </si>
  <si>
    <t>PRD3044</t>
  </si>
  <si>
    <t>ORD000987</t>
  </si>
  <si>
    <t>CUST9681</t>
  </si>
  <si>
    <t>suresh861@email.com</t>
  </si>
  <si>
    <t>ORD000988</t>
  </si>
  <si>
    <t>CUST2713</t>
  </si>
  <si>
    <t>priya217@email.com</t>
  </si>
  <si>
    <t>2023-11-18</t>
  </si>
  <si>
    <t>PRD1297</t>
  </si>
  <si>
    <t>ORD000989</t>
  </si>
  <si>
    <t>CUST1705</t>
  </si>
  <si>
    <t>anita826@email.com</t>
  </si>
  <si>
    <t>ORD000990</t>
  </si>
  <si>
    <t>CUST1018</t>
  </si>
  <si>
    <t>manish406@email.com</t>
  </si>
  <si>
    <t>PRD1598</t>
  </si>
  <si>
    <t>ORD000991</t>
  </si>
  <si>
    <t>CUST4178</t>
  </si>
  <si>
    <t>pooja53@email.com</t>
  </si>
  <si>
    <t>PRD2350</t>
  </si>
  <si>
    <t>ORD000992</t>
  </si>
  <si>
    <t>CUST2703</t>
  </si>
  <si>
    <t>amit807@email.com</t>
  </si>
  <si>
    <t>ORD000993</t>
  </si>
  <si>
    <t>CUST2836</t>
  </si>
  <si>
    <t>PRD2233</t>
  </si>
  <si>
    <t>ORD000994</t>
  </si>
  <si>
    <t>CUST8939</t>
  </si>
  <si>
    <t>karan695@email.com</t>
  </si>
  <si>
    <t>PRD1948</t>
  </si>
  <si>
    <t>ORD000995</t>
  </si>
  <si>
    <t>CUST5970</t>
  </si>
  <si>
    <t>manish947@email.com</t>
  </si>
  <si>
    <t>2022-03-23</t>
  </si>
  <si>
    <t>PRD1420</t>
  </si>
  <si>
    <t>ORD000996</t>
  </si>
  <si>
    <t>CUST8123</t>
  </si>
  <si>
    <t>vikram550@email.com</t>
  </si>
  <si>
    <t>PRD2752</t>
  </si>
  <si>
    <t>ORD000997</t>
  </si>
  <si>
    <t>CUST4122</t>
  </si>
  <si>
    <t>kavya88@email.com</t>
  </si>
  <si>
    <t>ORD000998</t>
  </si>
  <si>
    <t>amit473@email.com</t>
  </si>
  <si>
    <t>ORD000999</t>
  </si>
  <si>
    <t>CUST9038</t>
  </si>
  <si>
    <t>manish219@email.com</t>
  </si>
  <si>
    <t>2023-02-11</t>
  </si>
  <si>
    <t>PRD2020</t>
  </si>
  <si>
    <t>ORD001000</t>
  </si>
  <si>
    <t>CUST6858</t>
  </si>
  <si>
    <t>PRD4733</t>
  </si>
  <si>
    <t>ORD001001</t>
  </si>
  <si>
    <t>CUST3558</t>
  </si>
  <si>
    <t>rekha784@email.com</t>
  </si>
  <si>
    <t>PRD3295</t>
  </si>
  <si>
    <t>ORD001002</t>
  </si>
  <si>
    <t>CUST3539</t>
  </si>
  <si>
    <t>kavya433@email.com</t>
  </si>
  <si>
    <t>2022-05-05</t>
  </si>
  <si>
    <t>PRD4567</t>
  </si>
  <si>
    <t>ORD001003</t>
  </si>
  <si>
    <t>CUST2175</t>
  </si>
  <si>
    <t>anita861@email.com</t>
  </si>
  <si>
    <t>PRD3526</t>
  </si>
  <si>
    <t>ORD001004</t>
  </si>
  <si>
    <t>CUST3766</t>
  </si>
  <si>
    <t>rohit495@email.com</t>
  </si>
  <si>
    <t>2024-08-25</t>
  </si>
  <si>
    <t>PRD4205</t>
  </si>
  <si>
    <t>ORD001005</t>
  </si>
  <si>
    <t>CUST8344</t>
  </si>
  <si>
    <t>swati624@email.com</t>
  </si>
  <si>
    <t>PRD3698</t>
  </si>
  <si>
    <t>ORD001006</t>
  </si>
  <si>
    <t>CUST9539</t>
  </si>
  <si>
    <t>aditya960@email.com</t>
  </si>
  <si>
    <t>PRD3061</t>
  </si>
  <si>
    <t>ORD001007</t>
  </si>
  <si>
    <t>CUST6813</t>
  </si>
  <si>
    <t>deepak811@email.com</t>
  </si>
  <si>
    <t>2024-05-10</t>
  </si>
  <si>
    <t>PRD3057</t>
  </si>
  <si>
    <t>ORD001008</t>
  </si>
  <si>
    <t>CUST7554</t>
  </si>
  <si>
    <t>amit381@email.com</t>
  </si>
  <si>
    <t>PRD3759</t>
  </si>
  <si>
    <t>ORD001009</t>
  </si>
  <si>
    <t>manish225@email.com</t>
  </si>
  <si>
    <t>PRD4436</t>
  </si>
  <si>
    <t>ORD001010</t>
  </si>
  <si>
    <t>CUST1725</t>
  </si>
  <si>
    <t>swati593@email.com</t>
  </si>
  <si>
    <t>PRD3329</t>
  </si>
  <si>
    <t>ORD001011</t>
  </si>
  <si>
    <t>CUST9830</t>
  </si>
  <si>
    <t>sunita624@email.com</t>
  </si>
  <si>
    <t>PRD3149</t>
  </si>
  <si>
    <t>ORD001012</t>
  </si>
  <si>
    <t>CUST2129</t>
  </si>
  <si>
    <t>sunita324@email.com</t>
  </si>
  <si>
    <t>PRD3284</t>
  </si>
  <si>
    <t>ORD001013</t>
  </si>
  <si>
    <t>CUST7483</t>
  </si>
  <si>
    <t>swati445@email.com</t>
  </si>
  <si>
    <t>2023-09-02</t>
  </si>
  <si>
    <t>PRD1446</t>
  </si>
  <si>
    <t>ORD001014</t>
  </si>
  <si>
    <t>CUST9927</t>
  </si>
  <si>
    <t>arjun162@email.com</t>
  </si>
  <si>
    <t>PRD4494</t>
  </si>
  <si>
    <t>ORD001015</t>
  </si>
  <si>
    <t>CUST5993</t>
  </si>
  <si>
    <t>divya405@email.com</t>
  </si>
  <si>
    <t>PRD4256</t>
  </si>
  <si>
    <t>ORD001016</t>
  </si>
  <si>
    <t>CUST7418</t>
  </si>
  <si>
    <t>karan904@email.com</t>
  </si>
  <si>
    <t>PRD1435</t>
  </si>
  <si>
    <t>ORD001017</t>
  </si>
  <si>
    <t>CUST2317</t>
  </si>
  <si>
    <t>pooja353@email.com</t>
  </si>
  <si>
    <t>PRD1343</t>
  </si>
  <si>
    <t>ORD001018</t>
  </si>
  <si>
    <t>CUST9575</t>
  </si>
  <si>
    <t>nisha475@email.com</t>
  </si>
  <si>
    <t>PRD2501</t>
  </si>
  <si>
    <t>ORD001019</t>
  </si>
  <si>
    <t>CUST2426</t>
  </si>
  <si>
    <t>meena823@email.com</t>
  </si>
  <si>
    <t>PRD2294</t>
  </si>
  <si>
    <t>ORD001020</t>
  </si>
  <si>
    <t>pooja714@email.com</t>
  </si>
  <si>
    <t>2024-06-14</t>
  </si>
  <si>
    <t>PRD1879</t>
  </si>
  <si>
    <t>ORD001021</t>
  </si>
  <si>
    <t>CUST8352</t>
  </si>
  <si>
    <t>PRD2878</t>
  </si>
  <si>
    <t>ORD001022</t>
  </si>
  <si>
    <t>CUST7256</t>
  </si>
  <si>
    <t>anita283@email.com</t>
  </si>
  <si>
    <t>PRD1111</t>
  </si>
  <si>
    <t>ORD001023</t>
  </si>
  <si>
    <t>CUST3987</t>
  </si>
  <si>
    <t>sunita154@email.com</t>
  </si>
  <si>
    <t>PRD4531</t>
  </si>
  <si>
    <t>ORD001024</t>
  </si>
  <si>
    <t>CUST3358</t>
  </si>
  <si>
    <t>arjun2@email.com</t>
  </si>
  <si>
    <t>PRD4004</t>
  </si>
  <si>
    <t>ORD001025</t>
  </si>
  <si>
    <t>CUST3405</t>
  </si>
  <si>
    <t>kavya241@email.com</t>
  </si>
  <si>
    <t>ORD001026</t>
  </si>
  <si>
    <t>CUST7679</t>
  </si>
  <si>
    <t>suresh720@email.com</t>
  </si>
  <si>
    <t>PRD1684</t>
  </si>
  <si>
    <t>ORD001027</t>
  </si>
  <si>
    <t>CUST4181</t>
  </si>
  <si>
    <t>deepak915@email.com</t>
  </si>
  <si>
    <t>PRD3169</t>
  </si>
  <si>
    <t>ORD001028</t>
  </si>
  <si>
    <t>CUST5671</t>
  </si>
  <si>
    <t>manish818@email.com</t>
  </si>
  <si>
    <t>PRD3746</t>
  </si>
  <si>
    <t>ORD001029</t>
  </si>
  <si>
    <t>CUST2345</t>
  </si>
  <si>
    <t>nisha41@email.com</t>
  </si>
  <si>
    <t>ORD001030</t>
  </si>
  <si>
    <t>CUST4505</t>
  </si>
  <si>
    <t>rekha953@email.com</t>
  </si>
  <si>
    <t>PRD3468</t>
  </si>
  <si>
    <t>ORD001031</t>
  </si>
  <si>
    <t>CUST2006</t>
  </si>
  <si>
    <t>swati791@email.com</t>
  </si>
  <si>
    <t>2022-01-23</t>
  </si>
  <si>
    <t>PRD1655</t>
  </si>
  <si>
    <t>ORD001032</t>
  </si>
  <si>
    <t>CUST6115</t>
  </si>
  <si>
    <t>karan128@email.com</t>
  </si>
  <si>
    <t>ORD001033</t>
  </si>
  <si>
    <t>CUST3896</t>
  </si>
  <si>
    <t>vikram711@email.com</t>
  </si>
  <si>
    <t>PRD1549</t>
  </si>
  <si>
    <t>ORD001034</t>
  </si>
  <si>
    <t>CUST5576</t>
  </si>
  <si>
    <t>suresh359@email.com</t>
  </si>
  <si>
    <t>PRD4014</t>
  </si>
  <si>
    <t>ORD001035</t>
  </si>
  <si>
    <t>CUST6028</t>
  </si>
  <si>
    <t>priya453@email.com</t>
  </si>
  <si>
    <t>PRD1612</t>
  </si>
  <si>
    <t>ORD001036</t>
  </si>
  <si>
    <t>CUST1030</t>
  </si>
  <si>
    <t>pooja717@email.com</t>
  </si>
  <si>
    <t>ORD001037</t>
  </si>
  <si>
    <t>CUST1876</t>
  </si>
  <si>
    <t>pooja155@email.com</t>
  </si>
  <si>
    <t>PRD3992</t>
  </si>
  <si>
    <t>ORD001038</t>
  </si>
  <si>
    <t>CUST9780</t>
  </si>
  <si>
    <t>suresh828@email.com</t>
  </si>
  <si>
    <t>ORD001039</t>
  </si>
  <si>
    <t>CUST8379</t>
  </si>
  <si>
    <t>pooja953@email.com</t>
  </si>
  <si>
    <t>PRD1298</t>
  </si>
  <si>
    <t>ORD001040</t>
  </si>
  <si>
    <t>CUST5615</t>
  </si>
  <si>
    <t>divya162@email.com</t>
  </si>
  <si>
    <t>PRD4588</t>
  </si>
  <si>
    <t>ORD001041</t>
  </si>
  <si>
    <t>CUST8545</t>
  </si>
  <si>
    <t>karan643@email.com</t>
  </si>
  <si>
    <t>2023-01-28</t>
  </si>
  <si>
    <t>PRD2025</t>
  </si>
  <si>
    <t>ORD001042</t>
  </si>
  <si>
    <t>CUST3494</t>
  </si>
  <si>
    <t>rekha649@email.com</t>
  </si>
  <si>
    <t>ORD001043</t>
  </si>
  <si>
    <t>CUST3207</t>
  </si>
  <si>
    <t>PRD2027</t>
  </si>
  <si>
    <t>ORD001044</t>
  </si>
  <si>
    <t>CUST2939</t>
  </si>
  <si>
    <t>suresh813@email.com</t>
  </si>
  <si>
    <t>PRD1619</t>
  </si>
  <si>
    <t>ORD001045</t>
  </si>
  <si>
    <t>CUST9085</t>
  </si>
  <si>
    <t>suresh49@email.com</t>
  </si>
  <si>
    <t>PRD4702</t>
  </si>
  <si>
    <t>ORD001046</t>
  </si>
  <si>
    <t>CUST6244</t>
  </si>
  <si>
    <t>rekha166@email.com</t>
  </si>
  <si>
    <t>PRD4515</t>
  </si>
  <si>
    <t>ORD001047</t>
  </si>
  <si>
    <t>CUST3652</t>
  </si>
  <si>
    <t>nisha744@email.com</t>
  </si>
  <si>
    <t>PRD4947</t>
  </si>
  <si>
    <t>ORD001048</t>
  </si>
  <si>
    <t>CUST6832</t>
  </si>
  <si>
    <t>nisha127@email.com</t>
  </si>
  <si>
    <t>ORD001049</t>
  </si>
  <si>
    <t>suresh324@email.com</t>
  </si>
  <si>
    <t>PRD2154</t>
  </si>
  <si>
    <t>ORD001050</t>
  </si>
  <si>
    <t>CUST7439</t>
  </si>
  <si>
    <t>manish531@email.com</t>
  </si>
  <si>
    <t>ORD001051</t>
  </si>
  <si>
    <t>aditya712@email.com</t>
  </si>
  <si>
    <t>2024-09-29</t>
  </si>
  <si>
    <t>PRD4318</t>
  </si>
  <si>
    <t>ORD001052</t>
  </si>
  <si>
    <t>CUST7768</t>
  </si>
  <si>
    <t>kavya607@email.com</t>
  </si>
  <si>
    <t>2024-05-29</t>
  </si>
  <si>
    <t>ORD001053</t>
  </si>
  <si>
    <t>CUST4665</t>
  </si>
  <si>
    <t>manish187@email.com</t>
  </si>
  <si>
    <t>ORD001054</t>
  </si>
  <si>
    <t>CUST3856</t>
  </si>
  <si>
    <t>suresh981@email.com</t>
  </si>
  <si>
    <t>2022-07-09</t>
  </si>
  <si>
    <t>PRD2015</t>
  </si>
  <si>
    <t>ORD001055</t>
  </si>
  <si>
    <t>CUST4984</t>
  </si>
  <si>
    <t>priya925@email.com</t>
  </si>
  <si>
    <t>PRD1144</t>
  </si>
  <si>
    <t>ORD001056</t>
  </si>
  <si>
    <t>CUST5068</t>
  </si>
  <si>
    <t>PRD1171</t>
  </si>
  <si>
    <t>ORD001057</t>
  </si>
  <si>
    <t>CUST1195</t>
  </si>
  <si>
    <t>vikram771@email.com</t>
  </si>
  <si>
    <t>PRD1444</t>
  </si>
  <si>
    <t>ORD001058</t>
  </si>
  <si>
    <t>CUST9087</t>
  </si>
  <si>
    <t>karan39@email.com</t>
  </si>
  <si>
    <t>2022-07-22</t>
  </si>
  <si>
    <t>PRD4142</t>
  </si>
  <si>
    <t>ORD001059</t>
  </si>
  <si>
    <t>CUST7628</t>
  </si>
  <si>
    <t>swati397@email.com</t>
  </si>
  <si>
    <t>PRD1230</t>
  </si>
  <si>
    <t>ORD001060</t>
  </si>
  <si>
    <t>CUST1945</t>
  </si>
  <si>
    <t>divya319@email.com</t>
  </si>
  <si>
    <t>2022-07-31</t>
  </si>
  <si>
    <t>ORD001061</t>
  </si>
  <si>
    <t>CUST5779</t>
  </si>
  <si>
    <t>vikram18@email.com</t>
  </si>
  <si>
    <t>PRD1335</t>
  </si>
  <si>
    <t>ORD001062</t>
  </si>
  <si>
    <t>CUST1690</t>
  </si>
  <si>
    <t>meena607@email.com</t>
  </si>
  <si>
    <t>PRD1911</t>
  </si>
  <si>
    <t>ORD001063</t>
  </si>
  <si>
    <t>CUST4406</t>
  </si>
  <si>
    <t>karan41@email.com</t>
  </si>
  <si>
    <t>PRD1925</t>
  </si>
  <si>
    <t>ORD001064</t>
  </si>
  <si>
    <t>CUST9741</t>
  </si>
  <si>
    <t>rohit327@email.com</t>
  </si>
  <si>
    <t>2024-01-15</t>
  </si>
  <si>
    <t>PRD4312</t>
  </si>
  <si>
    <t>ORD001065</t>
  </si>
  <si>
    <t>CUST7625</t>
  </si>
  <si>
    <t>rekha749@email.com</t>
  </si>
  <si>
    <t>PRD2745</t>
  </si>
  <si>
    <t>ORD001066</t>
  </si>
  <si>
    <t>rahul981@email.com</t>
  </si>
  <si>
    <t>PRD3167</t>
  </si>
  <si>
    <t>ORD001067</t>
  </si>
  <si>
    <t>CUST9230</t>
  </si>
  <si>
    <t>deepak908@email.com</t>
  </si>
  <si>
    <t>PRD3491</t>
  </si>
  <si>
    <t>ORD001068</t>
  </si>
  <si>
    <t>CUST3906</t>
  </si>
  <si>
    <t>rahul907@email.com</t>
  </si>
  <si>
    <t>PRD1084</t>
  </si>
  <si>
    <t>ORD001069</t>
  </si>
  <si>
    <t>CUST7465</t>
  </si>
  <si>
    <t>manish369@email.com</t>
  </si>
  <si>
    <t>PRD4714</t>
  </si>
  <si>
    <t>ORD001070</t>
  </si>
  <si>
    <t>CUST6878</t>
  </si>
  <si>
    <t>nisha345@email.com</t>
  </si>
  <si>
    <t>PRD1786</t>
  </si>
  <si>
    <t>ORD001071</t>
  </si>
  <si>
    <t>CUST1550</t>
  </si>
  <si>
    <t>aditya970@email.com</t>
  </si>
  <si>
    <t>PRD4034</t>
  </si>
  <si>
    <t>ORD001072</t>
  </si>
  <si>
    <t>CUST6250</t>
  </si>
  <si>
    <t>aditya34@email.com</t>
  </si>
  <si>
    <t>ORD001073</t>
  </si>
  <si>
    <t>rekha490@email.com</t>
  </si>
  <si>
    <t>ORD001074</t>
  </si>
  <si>
    <t>CUST3989</t>
  </si>
  <si>
    <t>arjun861@email.com</t>
  </si>
  <si>
    <t>ORD001075</t>
  </si>
  <si>
    <t>CUST6662</t>
  </si>
  <si>
    <t>anita98@email.com</t>
  </si>
  <si>
    <t>PRD4381</t>
  </si>
  <si>
    <t>ORD001076</t>
  </si>
  <si>
    <t>CUST1260</t>
  </si>
  <si>
    <t>vikram514@email.com</t>
  </si>
  <si>
    <t>PRD1218</t>
  </si>
  <si>
    <t>ORD001077</t>
  </si>
  <si>
    <t>CUST8260</t>
  </si>
  <si>
    <t>ORD001078</t>
  </si>
  <si>
    <t>CUST1401</t>
  </si>
  <si>
    <t>rahul173@email.com</t>
  </si>
  <si>
    <t>ORD001079</t>
  </si>
  <si>
    <t>CUST9240</t>
  </si>
  <si>
    <t>suresh319@email.com</t>
  </si>
  <si>
    <t>PRD1715</t>
  </si>
  <si>
    <t>ORD001080</t>
  </si>
  <si>
    <t>CUST8862</t>
  </si>
  <si>
    <t>Vikram Verma</t>
  </si>
  <si>
    <t>vikram114@email.com</t>
  </si>
  <si>
    <t>ORD001081</t>
  </si>
  <si>
    <t>CUST8628</t>
  </si>
  <si>
    <t>PRD1801</t>
  </si>
  <si>
    <t>ORD001082</t>
  </si>
  <si>
    <t>CUST6010</t>
  </si>
  <si>
    <t>karan967@email.com</t>
  </si>
  <si>
    <t>PRD4600</t>
  </si>
  <si>
    <t>ORD001083</t>
  </si>
  <si>
    <t>CUST6752</t>
  </si>
  <si>
    <t>rekha905@email.com</t>
  </si>
  <si>
    <t>2022-05-30</t>
  </si>
  <si>
    <t>PRD4840</t>
  </si>
  <si>
    <t>ORD001084</t>
  </si>
  <si>
    <t>CUST6385</t>
  </si>
  <si>
    <t>karan728@email.com</t>
  </si>
  <si>
    <t>PRD1707</t>
  </si>
  <si>
    <t>ORD001085</t>
  </si>
  <si>
    <t>CUST4080</t>
  </si>
  <si>
    <t>PRD2198</t>
  </si>
  <si>
    <t>ORD001086</t>
  </si>
  <si>
    <t>CUST2100</t>
  </si>
  <si>
    <t>aditya417@email.com</t>
  </si>
  <si>
    <t>ORD001087</t>
  </si>
  <si>
    <t>CUST7338</t>
  </si>
  <si>
    <t>amit257@email.com</t>
  </si>
  <si>
    <t>PRD1313</t>
  </si>
  <si>
    <t>ORD001088</t>
  </si>
  <si>
    <t>CUST7642</t>
  </si>
  <si>
    <t>aditya724@email.com</t>
  </si>
  <si>
    <t>2022-09-15</t>
  </si>
  <si>
    <t>PRD1333</t>
  </si>
  <si>
    <t>ORD001089</t>
  </si>
  <si>
    <t>CUST7518</t>
  </si>
  <si>
    <t>PRD3851</t>
  </si>
  <si>
    <t>ORD001090</t>
  </si>
  <si>
    <t>CUST8334</t>
  </si>
  <si>
    <t>rekha931@email.com</t>
  </si>
  <si>
    <t>PRD3842</t>
  </si>
  <si>
    <t>ORD001091</t>
  </si>
  <si>
    <t>CUST3914</t>
  </si>
  <si>
    <t>suresh24@email.com</t>
  </si>
  <si>
    <t>ORD001092</t>
  </si>
  <si>
    <t>nisha92@email.com</t>
  </si>
  <si>
    <t>PRD3225</t>
  </si>
  <si>
    <t>ORD001093</t>
  </si>
  <si>
    <t>kavya675@email.com</t>
  </si>
  <si>
    <t>PRD3850</t>
  </si>
  <si>
    <t>ORD001094</t>
  </si>
  <si>
    <t>CUST6637</t>
  </si>
  <si>
    <t>sunita473@email.com</t>
  </si>
  <si>
    <t>PRD4955</t>
  </si>
  <si>
    <t>ORD001095</t>
  </si>
  <si>
    <t>CUST4098</t>
  </si>
  <si>
    <t>meena46@email.com</t>
  </si>
  <si>
    <t>PRD3200</t>
  </si>
  <si>
    <t>ORD001096</t>
  </si>
  <si>
    <t>nisha437@email.com</t>
  </si>
  <si>
    <t>PRD1486</t>
  </si>
  <si>
    <t>ORD001097</t>
  </si>
  <si>
    <t>CUST9155</t>
  </si>
  <si>
    <t>nisha220@email.com</t>
  </si>
  <si>
    <t>PRD1985</t>
  </si>
  <si>
    <t>ORD001098</t>
  </si>
  <si>
    <t>rahul500@email.com</t>
  </si>
  <si>
    <t>PRD3391</t>
  </si>
  <si>
    <t>ORD001099</t>
  </si>
  <si>
    <t>CUST9694</t>
  </si>
  <si>
    <t>amit960@email.com</t>
  </si>
  <si>
    <t>PRD1874</t>
  </si>
  <si>
    <t>ORD001100</t>
  </si>
  <si>
    <t>CUST2429</t>
  </si>
  <si>
    <t>manish46@email.com</t>
  </si>
  <si>
    <t>PRD3542</t>
  </si>
  <si>
    <t>ORD001101</t>
  </si>
  <si>
    <t>CUST2767</t>
  </si>
  <si>
    <t>PRD4866</t>
  </si>
  <si>
    <t>ORD001102</t>
  </si>
  <si>
    <t>anita947@email.com</t>
  </si>
  <si>
    <t>2022-04-05</t>
  </si>
  <si>
    <t>ORD001103</t>
  </si>
  <si>
    <t>CUST9802</t>
  </si>
  <si>
    <t>rohit409@email.com</t>
  </si>
  <si>
    <t>2024-05-02</t>
  </si>
  <si>
    <t>2024-05-05</t>
  </si>
  <si>
    <t>PRD1676</t>
  </si>
  <si>
    <t>ORD001104</t>
  </si>
  <si>
    <t>CUST1417</t>
  </si>
  <si>
    <t>amit86@email.com</t>
  </si>
  <si>
    <t>PRD2773</t>
  </si>
  <si>
    <t>ORD001105</t>
  </si>
  <si>
    <t>CUST3670</t>
  </si>
  <si>
    <t>sunita419@email.com</t>
  </si>
  <si>
    <t>PRD1378</t>
  </si>
  <si>
    <t>ORD001106</t>
  </si>
  <si>
    <t>CUST6636</t>
  </si>
  <si>
    <t>manish817@email.com</t>
  </si>
  <si>
    <t>PRD4516</t>
  </si>
  <si>
    <t>ORD001107</t>
  </si>
  <si>
    <t>CUST1607</t>
  </si>
  <si>
    <t>2022-10-11</t>
  </si>
  <si>
    <t>PRD2264</t>
  </si>
  <si>
    <t>ORD001108</t>
  </si>
  <si>
    <t>CUST3368</t>
  </si>
  <si>
    <t>amit976@email.com</t>
  </si>
  <si>
    <t>PRD1406</t>
  </si>
  <si>
    <t>ORD001109</t>
  </si>
  <si>
    <t>CUST8574</t>
  </si>
  <si>
    <t>manish118@email.com</t>
  </si>
  <si>
    <t>ORD001110</t>
  </si>
  <si>
    <t>CUST9208</t>
  </si>
  <si>
    <t>arjun928@email.com</t>
  </si>
  <si>
    <t>PRD4368</t>
  </si>
  <si>
    <t>ORD001111</t>
  </si>
  <si>
    <t>CUST4397</t>
  </si>
  <si>
    <t>amit247@email.com</t>
  </si>
  <si>
    <t>PRD4825</t>
  </si>
  <si>
    <t>ORD001112</t>
  </si>
  <si>
    <t>CUST2520</t>
  </si>
  <si>
    <t>meena226@email.com</t>
  </si>
  <si>
    <t>PRD3877</t>
  </si>
  <si>
    <t>ORD001113</t>
  </si>
  <si>
    <t>CUST6016</t>
  </si>
  <si>
    <t>manish409@email.com</t>
  </si>
  <si>
    <t>PRD1054</t>
  </si>
  <si>
    <t>ORD001114</t>
  </si>
  <si>
    <t>CUST2402</t>
  </si>
  <si>
    <t>nisha550@email.com</t>
  </si>
  <si>
    <t>PRD2971</t>
  </si>
  <si>
    <t>ORD001115</t>
  </si>
  <si>
    <t>CUST4467</t>
  </si>
  <si>
    <t>nisha332@email.com</t>
  </si>
  <si>
    <t>PRD4698</t>
  </si>
  <si>
    <t>ORD001116</t>
  </si>
  <si>
    <t>CUST3374</t>
  </si>
  <si>
    <t>arjun812@email.com</t>
  </si>
  <si>
    <t>ORD001117</t>
  </si>
  <si>
    <t>CUST8706</t>
  </si>
  <si>
    <t>vikram786@email.com</t>
  </si>
  <si>
    <t>PRD1838</t>
  </si>
  <si>
    <t>ORD001118</t>
  </si>
  <si>
    <t>CUST6104</t>
  </si>
  <si>
    <t>kavya855@email.com</t>
  </si>
  <si>
    <t>PRD4582</t>
  </si>
  <si>
    <t>ORD001119</t>
  </si>
  <si>
    <t>CUST4344</t>
  </si>
  <si>
    <t>deepak372@email.com</t>
  </si>
  <si>
    <t>PRD3568</t>
  </si>
  <si>
    <t>ORD001120</t>
  </si>
  <si>
    <t>CUST2822</t>
  </si>
  <si>
    <t>sunita984@email.com</t>
  </si>
  <si>
    <t>2023-01-19</t>
  </si>
  <si>
    <t>PRD4776</t>
  </si>
  <si>
    <t>ORD001121</t>
  </si>
  <si>
    <t>CUST5610</t>
  </si>
  <si>
    <t>swati264@email.com</t>
  </si>
  <si>
    <t>PRD2524</t>
  </si>
  <si>
    <t>ORD001122</t>
  </si>
  <si>
    <t>CUST8259</t>
  </si>
  <si>
    <t>ORD001123</t>
  </si>
  <si>
    <t>CUST3308</t>
  </si>
  <si>
    <t>sunita204@email.com</t>
  </si>
  <si>
    <t>ORD001124</t>
  </si>
  <si>
    <t>CUST7330</t>
  </si>
  <si>
    <t>rekha815@email.com</t>
  </si>
  <si>
    <t>ORD001125</t>
  </si>
  <si>
    <t>arjun186@email.com</t>
  </si>
  <si>
    <t>PRD2176</t>
  </si>
  <si>
    <t>ORD001126</t>
  </si>
  <si>
    <t>kavya15@email.com</t>
  </si>
  <si>
    <t>PRD1220</t>
  </si>
  <si>
    <t>ORD001127</t>
  </si>
  <si>
    <t>CUST3141</t>
  </si>
  <si>
    <t>deepak238@email.com</t>
  </si>
  <si>
    <t>PRD4172</t>
  </si>
  <si>
    <t>ORD001128</t>
  </si>
  <si>
    <t>CUST3418</t>
  </si>
  <si>
    <t>aditya236@email.com</t>
  </si>
  <si>
    <t>PRD3455</t>
  </si>
  <si>
    <t>ORD001129</t>
  </si>
  <si>
    <t>CUST7316</t>
  </si>
  <si>
    <t>swati370@email.com</t>
  </si>
  <si>
    <t>ORD001130</t>
  </si>
  <si>
    <t>CUST2993</t>
  </si>
  <si>
    <t>divya639@email.com</t>
  </si>
  <si>
    <t>PRD1453</t>
  </si>
  <si>
    <t>ORD001131</t>
  </si>
  <si>
    <t>CUST3897</t>
  </si>
  <si>
    <t>meena992@email.com</t>
  </si>
  <si>
    <t>PRD1360</t>
  </si>
  <si>
    <t>ORD001132</t>
  </si>
  <si>
    <t>CUST1477</t>
  </si>
  <si>
    <t>suresh271@email.com</t>
  </si>
  <si>
    <t>PRD2335</t>
  </si>
  <si>
    <t>ORD001133</t>
  </si>
  <si>
    <t>CUST6601</t>
  </si>
  <si>
    <t>ORD001134</t>
  </si>
  <si>
    <t>CUST7031</t>
  </si>
  <si>
    <t>amit527@email.com</t>
  </si>
  <si>
    <t>PRD4197</t>
  </si>
  <si>
    <t>ORD001135</t>
  </si>
  <si>
    <t>CUST9402</t>
  </si>
  <si>
    <t>anita823@email.com</t>
  </si>
  <si>
    <t>ORD001136</t>
  </si>
  <si>
    <t>CUST3584</t>
  </si>
  <si>
    <t>manish862@email.com</t>
  </si>
  <si>
    <t>2023-08-12</t>
  </si>
  <si>
    <t>PRD2316</t>
  </si>
  <si>
    <t>ORD001137</t>
  </si>
  <si>
    <t>CUST4376</t>
  </si>
  <si>
    <t>aditya53@email.com</t>
  </si>
  <si>
    <t>PRD3565</t>
  </si>
  <si>
    <t>ORD001138</t>
  </si>
  <si>
    <t>CUST8745</t>
  </si>
  <si>
    <t>anita277@email.com</t>
  </si>
  <si>
    <t>ORD001139</t>
  </si>
  <si>
    <t>suresh265@email.com</t>
  </si>
  <si>
    <t>ORD001140</t>
  </si>
  <si>
    <t>CUST5028</t>
  </si>
  <si>
    <t>kavya899@email.com</t>
  </si>
  <si>
    <t>ORD001141</t>
  </si>
  <si>
    <t>CUST8810</t>
  </si>
  <si>
    <t>priya51@email.com</t>
  </si>
  <si>
    <t>2023-07-16</t>
  </si>
  <si>
    <t>PRD2095</t>
  </si>
  <si>
    <t>ORD001142</t>
  </si>
  <si>
    <t>CUST5263</t>
  </si>
  <si>
    <t>priya645@email.com</t>
  </si>
  <si>
    <t>2022-08-07</t>
  </si>
  <si>
    <t>PRD4240</t>
  </si>
  <si>
    <t>ORD001143</t>
  </si>
  <si>
    <t>CUST3021</t>
  </si>
  <si>
    <t>kavya361@email.com</t>
  </si>
  <si>
    <t>ORD001144</t>
  </si>
  <si>
    <t>CUST8660</t>
  </si>
  <si>
    <t>sunita13@email.com</t>
  </si>
  <si>
    <t>PRD2573</t>
  </si>
  <si>
    <t>ORD001145</t>
  </si>
  <si>
    <t>CUST5594</t>
  </si>
  <si>
    <t>suresh42@email.com</t>
  </si>
  <si>
    <t>PRD3540</t>
  </si>
  <si>
    <t>ORD001146</t>
  </si>
  <si>
    <t>CUST5268</t>
  </si>
  <si>
    <t>vikram81@email.com</t>
  </si>
  <si>
    <t>PRD4598</t>
  </si>
  <si>
    <t>ORD001147</t>
  </si>
  <si>
    <t>CUST9948</t>
  </si>
  <si>
    <t>divya332@email.com</t>
  </si>
  <si>
    <t>PRD1110</t>
  </si>
  <si>
    <t>ORD001148</t>
  </si>
  <si>
    <t>CUST4999</t>
  </si>
  <si>
    <t>ORD001149</t>
  </si>
  <si>
    <t>rahul900@email.com</t>
  </si>
  <si>
    <t>ORD001150</t>
  </si>
  <si>
    <t>CUST2594</t>
  </si>
  <si>
    <t>swati712@email.com</t>
  </si>
  <si>
    <t>PRD2936</t>
  </si>
  <si>
    <t>ORD001151</t>
  </si>
  <si>
    <t>CUST7650</t>
  </si>
  <si>
    <t>amit482@email.com</t>
  </si>
  <si>
    <t>ORD001152</t>
  </si>
  <si>
    <t>CUST6844</t>
  </si>
  <si>
    <t>vikram91@email.com</t>
  </si>
  <si>
    <t>PRD4299</t>
  </si>
  <si>
    <t>ORD001153</t>
  </si>
  <si>
    <t>CUST7040</t>
  </si>
  <si>
    <t>PRD4231</t>
  </si>
  <si>
    <t>ORD001154</t>
  </si>
  <si>
    <t>CUST1668</t>
  </si>
  <si>
    <t>vikram243@email.com</t>
  </si>
  <si>
    <t>2023-02-17</t>
  </si>
  <si>
    <t>2023-02-22</t>
  </si>
  <si>
    <t>PRD4921</t>
  </si>
  <si>
    <t>ORD001155</t>
  </si>
  <si>
    <t>CUST6684</t>
  </si>
  <si>
    <t>priya684@email.com</t>
  </si>
  <si>
    <t>PRD3563</t>
  </si>
  <si>
    <t>ORD001156</t>
  </si>
  <si>
    <t>swati538@email.com</t>
  </si>
  <si>
    <t>PRD1394</t>
  </si>
  <si>
    <t>ORD001157</t>
  </si>
  <si>
    <t>CUST7659</t>
  </si>
  <si>
    <t>meena490@email.com</t>
  </si>
  <si>
    <t>PRD1536</t>
  </si>
  <si>
    <t>ORD001158</t>
  </si>
  <si>
    <t>CUST8141</t>
  </si>
  <si>
    <t>amit185@email.com</t>
  </si>
  <si>
    <t>ORD001159</t>
  </si>
  <si>
    <t>CUST9635</t>
  </si>
  <si>
    <t>ORD001160</t>
  </si>
  <si>
    <t>swati258@email.com</t>
  </si>
  <si>
    <t>ORD001161</t>
  </si>
  <si>
    <t>CUST8977</t>
  </si>
  <si>
    <t>sunita57@email.com</t>
  </si>
  <si>
    <t>2022-07-17</t>
  </si>
  <si>
    <t>PRD1255</t>
  </si>
  <si>
    <t>ORD001162</t>
  </si>
  <si>
    <t>CUST6340</t>
  </si>
  <si>
    <t>arjun429@email.com</t>
  </si>
  <si>
    <t>2024-03-20</t>
  </si>
  <si>
    <t>ORD001163</t>
  </si>
  <si>
    <t>CUST7941</t>
  </si>
  <si>
    <t>amit794@email.com</t>
  </si>
  <si>
    <t>ORD001164</t>
  </si>
  <si>
    <t>CUST6736</t>
  </si>
  <si>
    <t>manish70@email.com</t>
  </si>
  <si>
    <t>PRD4672</t>
  </si>
  <si>
    <t>ORD001165</t>
  </si>
  <si>
    <t>karan70@email.com</t>
  </si>
  <si>
    <t>ORD001166</t>
  </si>
  <si>
    <t>CUST4961</t>
  </si>
  <si>
    <t>rahul906@email.com</t>
  </si>
  <si>
    <t>ORD001167</t>
  </si>
  <si>
    <t>CUST2513</t>
  </si>
  <si>
    <t>deepak29@email.com</t>
  </si>
  <si>
    <t>2024-10-28</t>
  </si>
  <si>
    <t>PRD1143</t>
  </si>
  <si>
    <t>ORD001168</t>
  </si>
  <si>
    <t>CUST5897</t>
  </si>
  <si>
    <t>sunita366@email.com</t>
  </si>
  <si>
    <t>PRD3744</t>
  </si>
  <si>
    <t>ORD001169</t>
  </si>
  <si>
    <t>CUST2303</t>
  </si>
  <si>
    <t>sunita134@email.com</t>
  </si>
  <si>
    <t>PRD1259</t>
  </si>
  <si>
    <t>ORD001170</t>
  </si>
  <si>
    <t>CUST6876</t>
  </si>
  <si>
    <t>rekha970@email.com</t>
  </si>
  <si>
    <t>PRD1930</t>
  </si>
  <si>
    <t>ORD001171</t>
  </si>
  <si>
    <t>CUST7312</t>
  </si>
  <si>
    <t>arjun269@email.com</t>
  </si>
  <si>
    <t>PRD3843</t>
  </si>
  <si>
    <t>ORD001172</t>
  </si>
  <si>
    <t>CUST5247</t>
  </si>
  <si>
    <t>rekha94@email.com</t>
  </si>
  <si>
    <t>PRD4081</t>
  </si>
  <si>
    <t>ORD001173</t>
  </si>
  <si>
    <t>CUST3029</t>
  </si>
  <si>
    <t>ORD001174</t>
  </si>
  <si>
    <t>CUST1490</t>
  </si>
  <si>
    <t>suresh968@email.com</t>
  </si>
  <si>
    <t>PRD3714</t>
  </si>
  <si>
    <t>ORD001175</t>
  </si>
  <si>
    <t>kavya880@email.com</t>
  </si>
  <si>
    <t>PRD3301</t>
  </si>
  <si>
    <t>ORD001176</t>
  </si>
  <si>
    <t>CUST6936</t>
  </si>
  <si>
    <t>rekha556@email.com</t>
  </si>
  <si>
    <t>ORD001177</t>
  </si>
  <si>
    <t>CUST9425</t>
  </si>
  <si>
    <t>rekha280@email.com</t>
  </si>
  <si>
    <t>2023-07-18</t>
  </si>
  <si>
    <t>PRD3828</t>
  </si>
  <si>
    <t>ORD001178</t>
  </si>
  <si>
    <t>CUST4393</t>
  </si>
  <si>
    <t>meena845@email.com</t>
  </si>
  <si>
    <t>ORD001179</t>
  </si>
  <si>
    <t>CUST7903</t>
  </si>
  <si>
    <t>deepak466@email.com</t>
  </si>
  <si>
    <t>PRD3670</t>
  </si>
  <si>
    <t>ORD001180</t>
  </si>
  <si>
    <t>CUST7945</t>
  </si>
  <si>
    <t>manish399@email.com</t>
  </si>
  <si>
    <t>ORD001181</t>
  </si>
  <si>
    <t>CUST1188</t>
  </si>
  <si>
    <t>priya387@email.com</t>
  </si>
  <si>
    <t>PRD3134</t>
  </si>
  <si>
    <t>ORD001182</t>
  </si>
  <si>
    <t>CUST9734</t>
  </si>
  <si>
    <t>sunita112@email.com</t>
  </si>
  <si>
    <t>ORD001183</t>
  </si>
  <si>
    <t>CUST7946</t>
  </si>
  <si>
    <t>karan364@email.com</t>
  </si>
  <si>
    <t>PRD2905</t>
  </si>
  <si>
    <t>ORD001184</t>
  </si>
  <si>
    <t>CUST5767</t>
  </si>
  <si>
    <t>aditya885@email.com</t>
  </si>
  <si>
    <t>ORD001185</t>
  </si>
  <si>
    <t>CUST1796</t>
  </si>
  <si>
    <t>sunita126@email.com</t>
  </si>
  <si>
    <t>PRD4052</t>
  </si>
  <si>
    <t>ORD001186</t>
  </si>
  <si>
    <t>CUST7091</t>
  </si>
  <si>
    <t>kavya860@email.com</t>
  </si>
  <si>
    <t>2023-11-23</t>
  </si>
  <si>
    <t>ORD001187</t>
  </si>
  <si>
    <t>CUST2221</t>
  </si>
  <si>
    <t>meena842@email.com</t>
  </si>
  <si>
    <t>ORD001188</t>
  </si>
  <si>
    <t>CUST7080</t>
  </si>
  <si>
    <t>deepak458@email.com</t>
  </si>
  <si>
    <t>2024-04-29</t>
  </si>
  <si>
    <t>PRD3179</t>
  </si>
  <si>
    <t>ORD001189</t>
  </si>
  <si>
    <t>CUST3030</t>
  </si>
  <si>
    <t>meena897@email.com</t>
  </si>
  <si>
    <t>PRD2811</t>
  </si>
  <si>
    <t>ORD001190</t>
  </si>
  <si>
    <t>CUST2687</t>
  </si>
  <si>
    <t>meena257@email.com</t>
  </si>
  <si>
    <t>PRD4757</t>
  </si>
  <si>
    <t>ORD001191</t>
  </si>
  <si>
    <t>CUST5260</t>
  </si>
  <si>
    <t>priya737@email.com</t>
  </si>
  <si>
    <t>PRD1153</t>
  </si>
  <si>
    <t>ORD001192</t>
  </si>
  <si>
    <t>CUST8245</t>
  </si>
  <si>
    <t>kavya587@email.com</t>
  </si>
  <si>
    <t>ORD001193</t>
  </si>
  <si>
    <t>CUST9189</t>
  </si>
  <si>
    <t>rohit675@email.com</t>
  </si>
  <si>
    <t>PRD4877</t>
  </si>
  <si>
    <t>ORD001194</t>
  </si>
  <si>
    <t>CUST8893</t>
  </si>
  <si>
    <t>deepak293@email.com</t>
  </si>
  <si>
    <t>PRD4793</t>
  </si>
  <si>
    <t>ORD001195</t>
  </si>
  <si>
    <t>CUST6426</t>
  </si>
  <si>
    <t>PRD2174</t>
  </si>
  <si>
    <t>ORD001196</t>
  </si>
  <si>
    <t>CUST5029</t>
  </si>
  <si>
    <t>rekha933@email.com</t>
  </si>
  <si>
    <t>PRD4547</t>
  </si>
  <si>
    <t>ORD001197</t>
  </si>
  <si>
    <t>CUST2787</t>
  </si>
  <si>
    <t>PRD1048</t>
  </si>
  <si>
    <t>ORD001198</t>
  </si>
  <si>
    <t>CUST4125</t>
  </si>
  <si>
    <t>vikram476@email.com</t>
  </si>
  <si>
    <t>PRD1243</t>
  </si>
  <si>
    <t>ORD001199</t>
  </si>
  <si>
    <t>CUST9687</t>
  </si>
  <si>
    <t>arjun137@email.com</t>
  </si>
  <si>
    <t>PRD4281</t>
  </si>
  <si>
    <t>ORD001200</t>
  </si>
  <si>
    <t>CUST2615</t>
  </si>
  <si>
    <t>arjun384@email.com</t>
  </si>
  <si>
    <t>ORD001201</t>
  </si>
  <si>
    <t>CUST3224</t>
  </si>
  <si>
    <t>rohit949@email.com</t>
  </si>
  <si>
    <t>PRD4794</t>
  </si>
  <si>
    <t>ORD001202</t>
  </si>
  <si>
    <t>CUST6561</t>
  </si>
  <si>
    <t>vikram230@email.com</t>
  </si>
  <si>
    <t>PRD4948</t>
  </si>
  <si>
    <t>ORD001203</t>
  </si>
  <si>
    <t>CUST8673</t>
  </si>
  <si>
    <t>suresh967@email.com</t>
  </si>
  <si>
    <t>PRD2988</t>
  </si>
  <si>
    <t>ORD001204</t>
  </si>
  <si>
    <t>CUST9549</t>
  </si>
  <si>
    <t>arjun141@email.com</t>
  </si>
  <si>
    <t>PRD2664</t>
  </si>
  <si>
    <t>ORD001205</t>
  </si>
  <si>
    <t>CUST3143</t>
  </si>
  <si>
    <t>aditya383@email.com</t>
  </si>
  <si>
    <t>ORD001206</t>
  </si>
  <si>
    <t>CUST1310</t>
  </si>
  <si>
    <t>manish100@email.com</t>
  </si>
  <si>
    <t>PRD1089</t>
  </si>
  <si>
    <t>ORD001207</t>
  </si>
  <si>
    <t>CUST2897</t>
  </si>
  <si>
    <t>pooja589@email.com</t>
  </si>
  <si>
    <t>ORD001208</t>
  </si>
  <si>
    <t>CUST1995</t>
  </si>
  <si>
    <t>deepak103@email.com</t>
  </si>
  <si>
    <t>PRD4263</t>
  </si>
  <si>
    <t>ORD001209</t>
  </si>
  <si>
    <t>CUST8119</t>
  </si>
  <si>
    <t>pooja309@email.com</t>
  </si>
  <si>
    <t>ORD001210</t>
  </si>
  <si>
    <t>CUST3266</t>
  </si>
  <si>
    <t>arjun428@email.com</t>
  </si>
  <si>
    <t>ORD001211</t>
  </si>
  <si>
    <t>CUST1848</t>
  </si>
  <si>
    <t>aditya349@email.com</t>
  </si>
  <si>
    <t>ORD001212</t>
  </si>
  <si>
    <t>CUST3295</t>
  </si>
  <si>
    <t>manish774@email.com</t>
  </si>
  <si>
    <t>PRD3428</t>
  </si>
  <si>
    <t>ORD001213</t>
  </si>
  <si>
    <t>CUST4876</t>
  </si>
  <si>
    <t>rohit145@email.com</t>
  </si>
  <si>
    <t>ORD001214</t>
  </si>
  <si>
    <t>CUST9707</t>
  </si>
  <si>
    <t>manish668@email.com</t>
  </si>
  <si>
    <t>PRD3908</t>
  </si>
  <si>
    <t>ORD001215</t>
  </si>
  <si>
    <t>CUST5625</t>
  </si>
  <si>
    <t>rekha391@email.com</t>
  </si>
  <si>
    <t>ORD001216</t>
  </si>
  <si>
    <t>CUST7495</t>
  </si>
  <si>
    <t>rahul842@email.com</t>
  </si>
  <si>
    <t>PRD1052</t>
  </si>
  <si>
    <t>ORD001217</t>
  </si>
  <si>
    <t>CUST7038</t>
  </si>
  <si>
    <t>divya773@email.com</t>
  </si>
  <si>
    <t>PRD4564</t>
  </si>
  <si>
    <t>ORD001218</t>
  </si>
  <si>
    <t>CUST7423</t>
  </si>
  <si>
    <t>anita118@email.com</t>
  </si>
  <si>
    <t>ORD001219</t>
  </si>
  <si>
    <t>CUST6170</t>
  </si>
  <si>
    <t>divya86@email.com</t>
  </si>
  <si>
    <t>PRD2702</t>
  </si>
  <si>
    <t>ORD001220</t>
  </si>
  <si>
    <t>CUST7963</t>
  </si>
  <si>
    <t>pooja490@email.com</t>
  </si>
  <si>
    <t>2023-05-22</t>
  </si>
  <si>
    <t>PRD4164</t>
  </si>
  <si>
    <t>ORD001221</t>
  </si>
  <si>
    <t>CUST9849</t>
  </si>
  <si>
    <t>manish643@email.com</t>
  </si>
  <si>
    <t>PRD3570</t>
  </si>
  <si>
    <t>ORD001222</t>
  </si>
  <si>
    <t>CUST3768</t>
  </si>
  <si>
    <t>aditya903@email.com</t>
  </si>
  <si>
    <t>PRD1533</t>
  </si>
  <si>
    <t>ORD001223</t>
  </si>
  <si>
    <t>kavya622@email.com</t>
  </si>
  <si>
    <t>PRD2547</t>
  </si>
  <si>
    <t>ORD001224</t>
  </si>
  <si>
    <t>CUST6777</t>
  </si>
  <si>
    <t>kavya710@email.com</t>
  </si>
  <si>
    <t>PRD3575</t>
  </si>
  <si>
    <t>ORD001225</t>
  </si>
  <si>
    <t>CUST8461</t>
  </si>
  <si>
    <t>deepak441@email.com</t>
  </si>
  <si>
    <t>ORD001226</t>
  </si>
  <si>
    <t>CUST4622</t>
  </si>
  <si>
    <t>arjun648@email.com</t>
  </si>
  <si>
    <t>PRD4066</t>
  </si>
  <si>
    <t>ORD001227</t>
  </si>
  <si>
    <t>CUST7596</t>
  </si>
  <si>
    <t>sunita707@email.com</t>
  </si>
  <si>
    <t>PRD2259</t>
  </si>
  <si>
    <t>ORD001228</t>
  </si>
  <si>
    <t>arjun789@email.com</t>
  </si>
  <si>
    <t>2024-12-22</t>
  </si>
  <si>
    <t>PRD1400</t>
  </si>
  <si>
    <t>ORD001229</t>
  </si>
  <si>
    <t>CUST9436</t>
  </si>
  <si>
    <t>arjun806@email.com</t>
  </si>
  <si>
    <t>ORD001230</t>
  </si>
  <si>
    <t>meena552@email.com</t>
  </si>
  <si>
    <t>ORD001231</t>
  </si>
  <si>
    <t>CUST7484</t>
  </si>
  <si>
    <t>divya77@email.com</t>
  </si>
  <si>
    <t>PRD3867</t>
  </si>
  <si>
    <t>ORD001232</t>
  </si>
  <si>
    <t>CUST2462</t>
  </si>
  <si>
    <t>nisha997@email.com</t>
  </si>
  <si>
    <t>ORD001233</t>
  </si>
  <si>
    <t>CUST2957</t>
  </si>
  <si>
    <t>karan870@email.com</t>
  </si>
  <si>
    <t>2022-05-03</t>
  </si>
  <si>
    <t>ORD001234</t>
  </si>
  <si>
    <t>CUST3109</t>
  </si>
  <si>
    <t>manish840@email.com</t>
  </si>
  <si>
    <t>PRD1897</t>
  </si>
  <si>
    <t>ORD001235</t>
  </si>
  <si>
    <t>CUST6073</t>
  </si>
  <si>
    <t>anita818@email.com</t>
  </si>
  <si>
    <t>PRD4607</t>
  </si>
  <si>
    <t>ORD001236</t>
  </si>
  <si>
    <t>CUST6290</t>
  </si>
  <si>
    <t>deepak829@email.com</t>
  </si>
  <si>
    <t>PRD2137</t>
  </si>
  <si>
    <t>ORD001237</t>
  </si>
  <si>
    <t>CUST3946</t>
  </si>
  <si>
    <t>rohit195@email.com</t>
  </si>
  <si>
    <t>PRD1933</t>
  </si>
  <si>
    <t>ORD001238</t>
  </si>
  <si>
    <t>CUST3388</t>
  </si>
  <si>
    <t>amit520@email.com</t>
  </si>
  <si>
    <t>PRD3991</t>
  </si>
  <si>
    <t>ORD001239</t>
  </si>
  <si>
    <t>CUST7184</t>
  </si>
  <si>
    <t>manish508@email.com</t>
  </si>
  <si>
    <t>ORD001240</t>
  </si>
  <si>
    <t>CUST9275</t>
  </si>
  <si>
    <t>arjun981@email.com</t>
  </si>
  <si>
    <t>ORD001241</t>
  </si>
  <si>
    <t>CUST3683</t>
  </si>
  <si>
    <t>anita572@email.com</t>
  </si>
  <si>
    <t>ORD001242</t>
  </si>
  <si>
    <t>CUST4807</t>
  </si>
  <si>
    <t>nisha7@email.com</t>
  </si>
  <si>
    <t>ORD001243</t>
  </si>
  <si>
    <t>CUST5130</t>
  </si>
  <si>
    <t>ORD001244</t>
  </si>
  <si>
    <t>CUST7733</t>
  </si>
  <si>
    <t>anita237@email.com</t>
  </si>
  <si>
    <t>ORD001245</t>
  </si>
  <si>
    <t>CUST3810</t>
  </si>
  <si>
    <t>anita380@email.com</t>
  </si>
  <si>
    <t>PRD4868</t>
  </si>
  <si>
    <t>ORD001246</t>
  </si>
  <si>
    <t>CUST5210</t>
  </si>
  <si>
    <t>sunita823@email.com</t>
  </si>
  <si>
    <t>ORD001247</t>
  </si>
  <si>
    <t>priya901@email.com</t>
  </si>
  <si>
    <t>2024-07-17</t>
  </si>
  <si>
    <t>PRD2685</t>
  </si>
  <si>
    <t>ORD001248</t>
  </si>
  <si>
    <t>CUST4586</t>
  </si>
  <si>
    <t>aditya944@email.com</t>
  </si>
  <si>
    <t>PRD4544</t>
  </si>
  <si>
    <t>ORD001249</t>
  </si>
  <si>
    <t>CUST7735</t>
  </si>
  <si>
    <t>anita526@email.com</t>
  </si>
  <si>
    <t>ORD001250</t>
  </si>
  <si>
    <t>CUST5022</t>
  </si>
  <si>
    <t>arjun156@email.com</t>
  </si>
  <si>
    <t>PRD4222</t>
  </si>
  <si>
    <t>ORD001251</t>
  </si>
  <si>
    <t>CUST2953</t>
  </si>
  <si>
    <t>meena394@email.com</t>
  </si>
  <si>
    <t>PRD1476</t>
  </si>
  <si>
    <t>ORD001252</t>
  </si>
  <si>
    <t>CUST4776</t>
  </si>
  <si>
    <t>nisha703@email.com</t>
  </si>
  <si>
    <t>PRD4165</t>
  </si>
  <si>
    <t>ORD001253</t>
  </si>
  <si>
    <t>CUST6161</t>
  </si>
  <si>
    <t>manish794@email.com</t>
  </si>
  <si>
    <t>ORD001254</t>
  </si>
  <si>
    <t>CUST2248</t>
  </si>
  <si>
    <t>swati320@email.com</t>
  </si>
  <si>
    <t>PRD3643</t>
  </si>
  <si>
    <t>ORD001255</t>
  </si>
  <si>
    <t>CUST1985</t>
  </si>
  <si>
    <t>manish787@email.com</t>
  </si>
  <si>
    <t>ORD001256</t>
  </si>
  <si>
    <t>CUST8097</t>
  </si>
  <si>
    <t>rekha82@email.com</t>
  </si>
  <si>
    <t>PRD1051</t>
  </si>
  <si>
    <t>ORD001257</t>
  </si>
  <si>
    <t>CUST3516</t>
  </si>
  <si>
    <t>amit259@email.com</t>
  </si>
  <si>
    <t>PRD1896</t>
  </si>
  <si>
    <t>ORD001258</t>
  </si>
  <si>
    <t>rahul69@email.com</t>
  </si>
  <si>
    <t>PRD3318</t>
  </si>
  <si>
    <t>ORD001259</t>
  </si>
  <si>
    <t>CUST6741</t>
  </si>
  <si>
    <t>pooja875@email.com</t>
  </si>
  <si>
    <t>PRD3530</t>
  </si>
  <si>
    <t>ORD001260</t>
  </si>
  <si>
    <t>CUST1934</t>
  </si>
  <si>
    <t>meena516@email.com</t>
  </si>
  <si>
    <t>PRD1277</t>
  </si>
  <si>
    <t>ORD001261</t>
  </si>
  <si>
    <t>CUST6382</t>
  </si>
  <si>
    <t>manish918@email.com</t>
  </si>
  <si>
    <t>PRD3113</t>
  </si>
  <si>
    <t>ORD001262</t>
  </si>
  <si>
    <t>CUST4559</t>
  </si>
  <si>
    <t>meena483@email.com</t>
  </si>
  <si>
    <t>ORD001263</t>
  </si>
  <si>
    <t>CUST7601</t>
  </si>
  <si>
    <t>divya398@email.com</t>
  </si>
  <si>
    <t>PRD4664</t>
  </si>
  <si>
    <t>ORD001264</t>
  </si>
  <si>
    <t>CUST2795</t>
  </si>
  <si>
    <t>amit84@email.com</t>
  </si>
  <si>
    <t>PRD1827</t>
  </si>
  <si>
    <t>ORD001265</t>
  </si>
  <si>
    <t>CUST5866</t>
  </si>
  <si>
    <t>rekha340@email.com</t>
  </si>
  <si>
    <t>PRD3489</t>
  </si>
  <si>
    <t>ORD001266</t>
  </si>
  <si>
    <t>meena796@email.com</t>
  </si>
  <si>
    <t>PRD4611</t>
  </si>
  <si>
    <t>ORD001267</t>
  </si>
  <si>
    <t>CUST8812</t>
  </si>
  <si>
    <t>divya36@email.com</t>
  </si>
  <si>
    <t>PRD3968</t>
  </si>
  <si>
    <t>ORD001268</t>
  </si>
  <si>
    <t>CUST1008</t>
  </si>
  <si>
    <t>aditya283@email.com</t>
  </si>
  <si>
    <t>PRD4075</t>
  </si>
  <si>
    <t>ORD001269</t>
  </si>
  <si>
    <t>CUST2972</t>
  </si>
  <si>
    <t>nisha168@email.com</t>
  </si>
  <si>
    <t>PRD2546</t>
  </si>
  <si>
    <t>ORD001270</t>
  </si>
  <si>
    <t>CUST8937</t>
  </si>
  <si>
    <t>rahul934@email.com</t>
  </si>
  <si>
    <t>PRD3080</t>
  </si>
  <si>
    <t>ORD001271</t>
  </si>
  <si>
    <t>CUST7229</t>
  </si>
  <si>
    <t>karan624@email.com</t>
  </si>
  <si>
    <t>ORD001272</t>
  </si>
  <si>
    <t>CUST5476</t>
  </si>
  <si>
    <t>priya620@email.com</t>
  </si>
  <si>
    <t>PRD2675</t>
  </si>
  <si>
    <t>ORD001273</t>
  </si>
  <si>
    <t>CUST6952</t>
  </si>
  <si>
    <t>suresh251@email.com</t>
  </si>
  <si>
    <t>PRD1611</t>
  </si>
  <si>
    <t>ORD001274</t>
  </si>
  <si>
    <t>CUST2049</t>
  </si>
  <si>
    <t>manish432@email.com</t>
  </si>
  <si>
    <t>PRD1878</t>
  </si>
  <si>
    <t>ORD001275</t>
  </si>
  <si>
    <t>CUST6776</t>
  </si>
  <si>
    <t>swati502@email.com</t>
  </si>
  <si>
    <t>ORD001276</t>
  </si>
  <si>
    <t>CUST1606</t>
  </si>
  <si>
    <t>aditya750@email.com</t>
  </si>
  <si>
    <t>ORD001277</t>
  </si>
  <si>
    <t>CUST9243</t>
  </si>
  <si>
    <t>vikram719@email.com</t>
  </si>
  <si>
    <t>PRD3444</t>
  </si>
  <si>
    <t>ORD001278</t>
  </si>
  <si>
    <t>CUST8058</t>
  </si>
  <si>
    <t>rohit323@email.com</t>
  </si>
  <si>
    <t>ORD001279</t>
  </si>
  <si>
    <t>CUST7973</t>
  </si>
  <si>
    <t>amit50@email.com</t>
  </si>
  <si>
    <t>PRD1280</t>
  </si>
  <si>
    <t>ORD001280</t>
  </si>
  <si>
    <t>CUST7804</t>
  </si>
  <si>
    <t>deepak359@email.com</t>
  </si>
  <si>
    <t>PRD4890</t>
  </si>
  <si>
    <t>ORD001281</t>
  </si>
  <si>
    <t>divya330@email.com</t>
  </si>
  <si>
    <t>2022-04-16</t>
  </si>
  <si>
    <t>ORD001282</t>
  </si>
  <si>
    <t>CUST6431</t>
  </si>
  <si>
    <t>rekha62@email.com</t>
  </si>
  <si>
    <t>PRD2619</t>
  </si>
  <si>
    <t>ORD001283</t>
  </si>
  <si>
    <t>CUST3003</t>
  </si>
  <si>
    <t>anita262@email.com</t>
  </si>
  <si>
    <t>2023-05-12</t>
  </si>
  <si>
    <t>PRD3884</t>
  </si>
  <si>
    <t>ORD001284</t>
  </si>
  <si>
    <t>CUST4028</t>
  </si>
  <si>
    <t>priya309@email.com</t>
  </si>
  <si>
    <t>2023-05-14</t>
  </si>
  <si>
    <t>PRD3515</t>
  </si>
  <si>
    <t>ORD001285</t>
  </si>
  <si>
    <t>CUST1574</t>
  </si>
  <si>
    <t>aditya646@email.com</t>
  </si>
  <si>
    <t>PRD3160</t>
  </si>
  <si>
    <t>ORD001286</t>
  </si>
  <si>
    <t>CUST8567</t>
  </si>
  <si>
    <t>kavya74@email.com</t>
  </si>
  <si>
    <t>PRD4485</t>
  </si>
  <si>
    <t>ORD001287</t>
  </si>
  <si>
    <t>CUST9787</t>
  </si>
  <si>
    <t>divya22@email.com</t>
  </si>
  <si>
    <t>PRD3953</t>
  </si>
  <si>
    <t>ORD001288</t>
  </si>
  <si>
    <t>CUST6008</t>
  </si>
  <si>
    <t>suresh243@email.com</t>
  </si>
  <si>
    <t>ORD001289</t>
  </si>
  <si>
    <t>CUST6224</t>
  </si>
  <si>
    <t>divya938@email.com</t>
  </si>
  <si>
    <t>PRD4693</t>
  </si>
  <si>
    <t>ORD001290</t>
  </si>
  <si>
    <t>CUST4973</t>
  </si>
  <si>
    <t>aditya842@email.com</t>
  </si>
  <si>
    <t>PRD3054</t>
  </si>
  <si>
    <t>ORD001291</t>
  </si>
  <si>
    <t>CUST1087</t>
  </si>
  <si>
    <t>manish877@email.com</t>
  </si>
  <si>
    <t>PRD4867</t>
  </si>
  <si>
    <t>ORD001292</t>
  </si>
  <si>
    <t>CUST8457</t>
  </si>
  <si>
    <t>rohit203@email.com</t>
  </si>
  <si>
    <t>PRD3614</t>
  </si>
  <si>
    <t>ORD001293</t>
  </si>
  <si>
    <t>CUST8215</t>
  </si>
  <si>
    <t>aditya780@email.com</t>
  </si>
  <si>
    <t>PRD1131</t>
  </si>
  <si>
    <t>ORD001294</t>
  </si>
  <si>
    <t>priya85@email.com</t>
  </si>
  <si>
    <t>PRD4195</t>
  </si>
  <si>
    <t>ORD001295</t>
  </si>
  <si>
    <t>CUST9813</t>
  </si>
  <si>
    <t>rekha149@email.com</t>
  </si>
  <si>
    <t>ORD001296</t>
  </si>
  <si>
    <t>CUST9283</t>
  </si>
  <si>
    <t>meena444@email.com</t>
  </si>
  <si>
    <t>ORD001297</t>
  </si>
  <si>
    <t>CUST6679</t>
  </si>
  <si>
    <t>aditya111@email.com</t>
  </si>
  <si>
    <t>PRD1032</t>
  </si>
  <si>
    <t>ORD001298</t>
  </si>
  <si>
    <t>pooja520@email.com</t>
  </si>
  <si>
    <t>PRD3153</t>
  </si>
  <si>
    <t>ORD001299</t>
  </si>
  <si>
    <t>CUST3614</t>
  </si>
  <si>
    <t>suresh857@email.com</t>
  </si>
  <si>
    <t>ORD001300</t>
  </si>
  <si>
    <t>CUST8482</t>
  </si>
  <si>
    <t>rahul464@email.com</t>
  </si>
  <si>
    <t>PRD3000</t>
  </si>
  <si>
    <t>ORD001301</t>
  </si>
  <si>
    <t>CUST7435</t>
  </si>
  <si>
    <t>aditya337@email.com</t>
  </si>
  <si>
    <t>PRD1955</t>
  </si>
  <si>
    <t>ORD001302</t>
  </si>
  <si>
    <t>CUST9100</t>
  </si>
  <si>
    <t>karan486@email.com</t>
  </si>
  <si>
    <t>PRD1178</t>
  </si>
  <si>
    <t>ORD001303</t>
  </si>
  <si>
    <t>CUST2915</t>
  </si>
  <si>
    <t>rohit709@email.com</t>
  </si>
  <si>
    <t>PRD2648</t>
  </si>
  <si>
    <t>ORD001304</t>
  </si>
  <si>
    <t>CUST7951</t>
  </si>
  <si>
    <t>nisha307@email.com</t>
  </si>
  <si>
    <t>PRD2699</t>
  </si>
  <si>
    <t>ORD001305</t>
  </si>
  <si>
    <t>CUST2360</t>
  </si>
  <si>
    <t>karan254@email.com</t>
  </si>
  <si>
    <t>PRD3152</t>
  </si>
  <si>
    <t>ORD001306</t>
  </si>
  <si>
    <t>CUST7761</t>
  </si>
  <si>
    <t>karan532@email.com</t>
  </si>
  <si>
    <t>2022-06-22</t>
  </si>
  <si>
    <t>PRD4355</t>
  </si>
  <si>
    <t>ORD001307</t>
  </si>
  <si>
    <t>CUST8129</t>
  </si>
  <si>
    <t>priya554@email.com</t>
  </si>
  <si>
    <t>PRD2948</t>
  </si>
  <si>
    <t>ORD001308</t>
  </si>
  <si>
    <t>CUST6078</t>
  </si>
  <si>
    <t>manish190@email.com</t>
  </si>
  <si>
    <t>PRD3386</t>
  </si>
  <si>
    <t>ORD001309</t>
  </si>
  <si>
    <t>CUST1698</t>
  </si>
  <si>
    <t>karan550@email.com</t>
  </si>
  <si>
    <t>PRD2559</t>
  </si>
  <si>
    <t>ORD001310</t>
  </si>
  <si>
    <t>CUST6579</t>
  </si>
  <si>
    <t>suresh622@email.com</t>
  </si>
  <si>
    <t>ORD001311</t>
  </si>
  <si>
    <t>CUST1748</t>
  </si>
  <si>
    <t>deepak720@email.com</t>
  </si>
  <si>
    <t>ORD001312</t>
  </si>
  <si>
    <t>CUST3092</t>
  </si>
  <si>
    <t>anita141@email.com</t>
  </si>
  <si>
    <t>PRD1265</t>
  </si>
  <si>
    <t>ORD001313</t>
  </si>
  <si>
    <t>CUST1128</t>
  </si>
  <si>
    <t>manish74@email.com</t>
  </si>
  <si>
    <t>PRD2499</t>
  </si>
  <si>
    <t>ORD001314</t>
  </si>
  <si>
    <t>CUST3214</t>
  </si>
  <si>
    <t>rekha678@email.com</t>
  </si>
  <si>
    <t>ORD001315</t>
  </si>
  <si>
    <t>deepak169@email.com</t>
  </si>
  <si>
    <t>PRD1868</t>
  </si>
  <si>
    <t>ORD001316</t>
  </si>
  <si>
    <t>CUST8845</t>
  </si>
  <si>
    <t>rohit153@email.com</t>
  </si>
  <si>
    <t>ORD001317</t>
  </si>
  <si>
    <t>anita699@email.com</t>
  </si>
  <si>
    <t>PRD3750</t>
  </si>
  <si>
    <t>ORD001318</t>
  </si>
  <si>
    <t>CUST4709</t>
  </si>
  <si>
    <t>rohit365@email.com</t>
  </si>
  <si>
    <t>ORD001319</t>
  </si>
  <si>
    <t>CUST2359</t>
  </si>
  <si>
    <t>meena283@email.com</t>
  </si>
  <si>
    <t>2022-02-27</t>
  </si>
  <si>
    <t>PRD2407</t>
  </si>
  <si>
    <t>ORD001320</t>
  </si>
  <si>
    <t>CUST4322</t>
  </si>
  <si>
    <t>PRD2523</t>
  </si>
  <si>
    <t>ORD001321</t>
  </si>
  <si>
    <t>deepak456@email.com</t>
  </si>
  <si>
    <t>PRD4437</t>
  </si>
  <si>
    <t>ORD001322</t>
  </si>
  <si>
    <t>CUST3005</t>
  </si>
  <si>
    <t>anita211@email.com</t>
  </si>
  <si>
    <t>ORD001323</t>
  </si>
  <si>
    <t>CUST4743</t>
  </si>
  <si>
    <t>rahul987@email.com</t>
  </si>
  <si>
    <t>PRD4481</t>
  </si>
  <si>
    <t>ORD001324</t>
  </si>
  <si>
    <t>CUST9349</t>
  </si>
  <si>
    <t>kavya876@email.com</t>
  </si>
  <si>
    <t>ORD001325</t>
  </si>
  <si>
    <t>CUST5011</t>
  </si>
  <si>
    <t>priya150@email.com</t>
  </si>
  <si>
    <t>ORD001326</t>
  </si>
  <si>
    <t>CUST4230</t>
  </si>
  <si>
    <t>sunita207@email.com</t>
  </si>
  <si>
    <t>PRD1971</t>
  </si>
  <si>
    <t>ORD001327</t>
  </si>
  <si>
    <t>CUST3412</t>
  </si>
  <si>
    <t>deepak197@email.com</t>
  </si>
  <si>
    <t>PRD4182</t>
  </si>
  <si>
    <t>ORD001328</t>
  </si>
  <si>
    <t>CUST6014</t>
  </si>
  <si>
    <t>rekha880@email.com</t>
  </si>
  <si>
    <t>PRD4738</t>
  </si>
  <si>
    <t>ORD001329</t>
  </si>
  <si>
    <t>karan319@email.com</t>
  </si>
  <si>
    <t>PRD1660</t>
  </si>
  <si>
    <t>ORD001330</t>
  </si>
  <si>
    <t>CUST6929</t>
  </si>
  <si>
    <t>suresh776@email.com</t>
  </si>
  <si>
    <t>2023-02-28</t>
  </si>
  <si>
    <t>PRD1023</t>
  </si>
  <si>
    <t>ORD001331</t>
  </si>
  <si>
    <t>CUST4949</t>
  </si>
  <si>
    <t>sunita106@email.com</t>
  </si>
  <si>
    <t>ORD001332</t>
  </si>
  <si>
    <t>CUST8894</t>
  </si>
  <si>
    <t>rohit967@email.com</t>
  </si>
  <si>
    <t>PRD4322</t>
  </si>
  <si>
    <t>ORD001333</t>
  </si>
  <si>
    <t>CUST7802</t>
  </si>
  <si>
    <t>manish10@email.com</t>
  </si>
  <si>
    <t>ORD001334</t>
  </si>
  <si>
    <t>CUST2948</t>
  </si>
  <si>
    <t>sunita455@email.com</t>
  </si>
  <si>
    <t>PRD1418</t>
  </si>
  <si>
    <t>ORD001335</t>
  </si>
  <si>
    <t>priya140@email.com</t>
  </si>
  <si>
    <t>PRD2120</t>
  </si>
  <si>
    <t>ORD001336</t>
  </si>
  <si>
    <t>CUST7900</t>
  </si>
  <si>
    <t>priya13@email.com</t>
  </si>
  <si>
    <t>PRD1442</t>
  </si>
  <si>
    <t>ORD001337</t>
  </si>
  <si>
    <t>CUST7748</t>
  </si>
  <si>
    <t>karan268@email.com</t>
  </si>
  <si>
    <t>PRD2769</t>
  </si>
  <si>
    <t>ORD001338</t>
  </si>
  <si>
    <t>CUST7154</t>
  </si>
  <si>
    <t>deepak944@email.com</t>
  </si>
  <si>
    <t>2024-05-28</t>
  </si>
  <si>
    <t>ORD001339</t>
  </si>
  <si>
    <t>CUST5550</t>
  </si>
  <si>
    <t>manish733@email.com</t>
  </si>
  <si>
    <t>ORD001340</t>
  </si>
  <si>
    <t>CUST4842</t>
  </si>
  <si>
    <t>rohit497@email.com</t>
  </si>
  <si>
    <t>PRD3766</t>
  </si>
  <si>
    <t>ORD001341</t>
  </si>
  <si>
    <t>CUST1715</t>
  </si>
  <si>
    <t>nisha827@email.com</t>
  </si>
  <si>
    <t>PRD1594</t>
  </si>
  <si>
    <t>ORD001342</t>
  </si>
  <si>
    <t>CUST9234</t>
  </si>
  <si>
    <t>rohit557@email.com</t>
  </si>
  <si>
    <t>ORD001343</t>
  </si>
  <si>
    <t>CUST7248</t>
  </si>
  <si>
    <t>kavya278@email.com</t>
  </si>
  <si>
    <t>2024-12-30</t>
  </si>
  <si>
    <t>2025-01-01</t>
  </si>
  <si>
    <t>2025-01-05</t>
  </si>
  <si>
    <t>PRD1574</t>
  </si>
  <si>
    <t>ORD001344</t>
  </si>
  <si>
    <t>vikram148@email.com</t>
  </si>
  <si>
    <t>PRD3272</t>
  </si>
  <si>
    <t>ORD001345</t>
  </si>
  <si>
    <t>aditya191@email.com</t>
  </si>
  <si>
    <t>ORD001346</t>
  </si>
  <si>
    <t>CUST9799</t>
  </si>
  <si>
    <t>karan45@email.com</t>
  </si>
  <si>
    <t>PRD1370</t>
  </si>
  <si>
    <t>ORD001347</t>
  </si>
  <si>
    <t>CUST5563</t>
  </si>
  <si>
    <t>nisha588@email.com</t>
  </si>
  <si>
    <t>PRD2121</t>
  </si>
  <si>
    <t>ORD001348</t>
  </si>
  <si>
    <t>CUST2758</t>
  </si>
  <si>
    <t>priya635@email.com</t>
  </si>
  <si>
    <t>PRD3945</t>
  </si>
  <si>
    <t>ORD001349</t>
  </si>
  <si>
    <t>CUST3020</t>
  </si>
  <si>
    <t>kavya252@email.com</t>
  </si>
  <si>
    <t>PRD2017</t>
  </si>
  <si>
    <t>ORD001350</t>
  </si>
  <si>
    <t>CUST5478</t>
  </si>
  <si>
    <t>sunita426@email.com</t>
  </si>
  <si>
    <t>PRD4238</t>
  </si>
  <si>
    <t>ORD001351</t>
  </si>
  <si>
    <t>nisha434@email.com</t>
  </si>
  <si>
    <t>ORD001352</t>
  </si>
  <si>
    <t>CUST1842</t>
  </si>
  <si>
    <t>manish420@email.com</t>
  </si>
  <si>
    <t>PRD2431</t>
  </si>
  <si>
    <t>ORD001353</t>
  </si>
  <si>
    <t>CUST1470</t>
  </si>
  <si>
    <t>manish85@email.com</t>
  </si>
  <si>
    <t>PRD2397</t>
  </si>
  <si>
    <t>ORD001354</t>
  </si>
  <si>
    <t>CUST7258</t>
  </si>
  <si>
    <t>arjun929@email.com</t>
  </si>
  <si>
    <t>ORD001355</t>
  </si>
  <si>
    <t>CUST5505</t>
  </si>
  <si>
    <t>swati273@email.com</t>
  </si>
  <si>
    <t>PRD1950</t>
  </si>
  <si>
    <t>ORD001356</t>
  </si>
  <si>
    <t>rekha299@email.com</t>
  </si>
  <si>
    <t>PRD3389</t>
  </si>
  <si>
    <t>ORD001357</t>
  </si>
  <si>
    <t>CUST4869</t>
  </si>
  <si>
    <t>amit558@email.com</t>
  </si>
  <si>
    <t>PRD1670</t>
  </si>
  <si>
    <t>ORD001358</t>
  </si>
  <si>
    <t>CUST9739</t>
  </si>
  <si>
    <t>arjun679@email.com</t>
  </si>
  <si>
    <t>PRD1320</t>
  </si>
  <si>
    <t>ORD001359</t>
  </si>
  <si>
    <t>amit549@email.com</t>
  </si>
  <si>
    <t>ORD001360</t>
  </si>
  <si>
    <t>CUST9735</t>
  </si>
  <si>
    <t>rohit575@email.com</t>
  </si>
  <si>
    <t>PRD1249</t>
  </si>
  <si>
    <t>ORD001361</t>
  </si>
  <si>
    <t>CUST9496</t>
  </si>
  <si>
    <t>meena108@email.com</t>
  </si>
  <si>
    <t>PRD4616</t>
  </si>
  <si>
    <t>ORD001362</t>
  </si>
  <si>
    <t>CUST1822</t>
  </si>
  <si>
    <t>karan818@email.com</t>
  </si>
  <si>
    <t>PRD2783</t>
  </si>
  <si>
    <t>ORD001363</t>
  </si>
  <si>
    <t>CUST9845</t>
  </si>
  <si>
    <t>kavya417@email.com</t>
  </si>
  <si>
    <t>PRD4619</t>
  </si>
  <si>
    <t>ORD001364</t>
  </si>
  <si>
    <t>CUST8670</t>
  </si>
  <si>
    <t>kavya411@email.com</t>
  </si>
  <si>
    <t>PRD2669</t>
  </si>
  <si>
    <t>ORD001365</t>
  </si>
  <si>
    <t>CUST6882</t>
  </si>
  <si>
    <t>kavya685@email.com</t>
  </si>
  <si>
    <t>ORD001366</t>
  </si>
  <si>
    <t>CUST3435</t>
  </si>
  <si>
    <t>karan817@email.com</t>
  </si>
  <si>
    <t>PRD1697</t>
  </si>
  <si>
    <t>ORD001367</t>
  </si>
  <si>
    <t>rohit187@email.com</t>
  </si>
  <si>
    <t>PRD3141</t>
  </si>
  <si>
    <t>ORD001368</t>
  </si>
  <si>
    <t>CUST4761</t>
  </si>
  <si>
    <t>deepak524@email.com</t>
  </si>
  <si>
    <t>ORD001369</t>
  </si>
  <si>
    <t>CUST4120</t>
  </si>
  <si>
    <t>rahul889@email.com</t>
  </si>
  <si>
    <t>PRD1954</t>
  </si>
  <si>
    <t>ORD001370</t>
  </si>
  <si>
    <t>CUST7992</t>
  </si>
  <si>
    <t>swati540@email.com</t>
  </si>
  <si>
    <t>PRD2681</t>
  </si>
  <si>
    <t>ORD001371</t>
  </si>
  <si>
    <t>CUST8772</t>
  </si>
  <si>
    <t>meena327@email.com</t>
  </si>
  <si>
    <t>PRD4829</t>
  </si>
  <si>
    <t>ORD001372</t>
  </si>
  <si>
    <t>CUST7764</t>
  </si>
  <si>
    <t>vikram839@email.com</t>
  </si>
  <si>
    <t>ORD001373</t>
  </si>
  <si>
    <t>CUST2196</t>
  </si>
  <si>
    <t>rahul140@email.com</t>
  </si>
  <si>
    <t>PRD4609</t>
  </si>
  <si>
    <t>ORD001374</t>
  </si>
  <si>
    <t>CUST5958</t>
  </si>
  <si>
    <t>nisha42@email.com</t>
  </si>
  <si>
    <t>PRD2809</t>
  </si>
  <si>
    <t>ORD001375</t>
  </si>
  <si>
    <t>CUST3902</t>
  </si>
  <si>
    <t>meena909@email.com</t>
  </si>
  <si>
    <t>ORD001376</t>
  </si>
  <si>
    <t>CUST8566</t>
  </si>
  <si>
    <t>aditya151@email.com</t>
  </si>
  <si>
    <t>ORD001377</t>
  </si>
  <si>
    <t>CUST9731</t>
  </si>
  <si>
    <t>sunita512@email.com</t>
  </si>
  <si>
    <t>2024-04-08</t>
  </si>
  <si>
    <t>ORD001378</t>
  </si>
  <si>
    <t>CUST4676</t>
  </si>
  <si>
    <t>kavya123@email.com</t>
  </si>
  <si>
    <t>ORD001379</t>
  </si>
  <si>
    <t>CUST5798</t>
  </si>
  <si>
    <t>kavya396@email.com</t>
  </si>
  <si>
    <t>PRD4992</t>
  </si>
  <si>
    <t>ORD001380</t>
  </si>
  <si>
    <t>CUST2332</t>
  </si>
  <si>
    <t>deepak327@email.com</t>
  </si>
  <si>
    <t>PRD3007</t>
  </si>
  <si>
    <t>ORD001381</t>
  </si>
  <si>
    <t>CUST3797</t>
  </si>
  <si>
    <t>sunita199@email.com</t>
  </si>
  <si>
    <t>PRD1704</t>
  </si>
  <si>
    <t>ORD001382</t>
  </si>
  <si>
    <t>CUST2796</t>
  </si>
  <si>
    <t>sunita593@email.com</t>
  </si>
  <si>
    <t>ORD001383</t>
  </si>
  <si>
    <t>CUST4525</t>
  </si>
  <si>
    <t>rahul955@email.com</t>
  </si>
  <si>
    <t>PRD4730</t>
  </si>
  <si>
    <t>ORD001384</t>
  </si>
  <si>
    <t>CUST3453</t>
  </si>
  <si>
    <t>pooja568@email.com</t>
  </si>
  <si>
    <t>ORD001385</t>
  </si>
  <si>
    <t>CUST5078</t>
  </si>
  <si>
    <t>sunita482@email.com</t>
  </si>
  <si>
    <t>2022-08-23</t>
  </si>
  <si>
    <t>ORD001386</t>
  </si>
  <si>
    <t>CUST2256</t>
  </si>
  <si>
    <t>karan606@email.com</t>
  </si>
  <si>
    <t>ORD001387</t>
  </si>
  <si>
    <t>CUST8851</t>
  </si>
  <si>
    <t>rekha499@email.com</t>
  </si>
  <si>
    <t>ORD001388</t>
  </si>
  <si>
    <t>CUST5294</t>
  </si>
  <si>
    <t>arjun947@email.com</t>
  </si>
  <si>
    <t>PRD4359</t>
  </si>
  <si>
    <t>ORD001389</t>
  </si>
  <si>
    <t>deepak731@email.com</t>
  </si>
  <si>
    <t>PRD3137</t>
  </si>
  <si>
    <t>ORD001390</t>
  </si>
  <si>
    <t>CUST2927</t>
  </si>
  <si>
    <t>2022-11-14</t>
  </si>
  <si>
    <t>ORD001391</t>
  </si>
  <si>
    <t>CUST4562</t>
  </si>
  <si>
    <t>aditya699@email.com</t>
  </si>
  <si>
    <t>PRD2761</t>
  </si>
  <si>
    <t>ORD001392</t>
  </si>
  <si>
    <t>CUST1911</t>
  </si>
  <si>
    <t>rohit385@email.com</t>
  </si>
  <si>
    <t>PRD4897</t>
  </si>
  <si>
    <t>ORD001393</t>
  </si>
  <si>
    <t>CUST6005</t>
  </si>
  <si>
    <t>arjun109@email.com</t>
  </si>
  <si>
    <t>ORD001394</t>
  </si>
  <si>
    <t>deepak642@email.com</t>
  </si>
  <si>
    <t>PRD4545</t>
  </si>
  <si>
    <t>ORD001395</t>
  </si>
  <si>
    <t>CUST7983</t>
  </si>
  <si>
    <t>vikram52@email.com</t>
  </si>
  <si>
    <t>PRD3623</t>
  </si>
  <si>
    <t>ORD001396</t>
  </si>
  <si>
    <t>CUST2065</t>
  </si>
  <si>
    <t>meena870@email.com</t>
  </si>
  <si>
    <t>ORD001397</t>
  </si>
  <si>
    <t>CUST8846</t>
  </si>
  <si>
    <t>meena282@email.com</t>
  </si>
  <si>
    <t>PRD1698</t>
  </si>
  <si>
    <t>ORD001398</t>
  </si>
  <si>
    <t>CUST1856</t>
  </si>
  <si>
    <t>deepak520@email.com</t>
  </si>
  <si>
    <t>ORD001399</t>
  </si>
  <si>
    <t>CUST6488</t>
  </si>
  <si>
    <t>priya235@email.com</t>
  </si>
  <si>
    <t>ORD001400</t>
  </si>
  <si>
    <t>divya528@email.com</t>
  </si>
  <si>
    <t>PRD4257</t>
  </si>
  <si>
    <t>ORD001401</t>
  </si>
  <si>
    <t>CUST2493</t>
  </si>
  <si>
    <t>meena662@email.com</t>
  </si>
  <si>
    <t>PRD1264</t>
  </si>
  <si>
    <t>ORD001402</t>
  </si>
  <si>
    <t>CUST1453</t>
  </si>
  <si>
    <t>priya344@email.com</t>
  </si>
  <si>
    <t>PRD4971</t>
  </si>
  <si>
    <t>ORD001403</t>
  </si>
  <si>
    <t>CUST7934</t>
  </si>
  <si>
    <t>sunita517@email.com</t>
  </si>
  <si>
    <t>PRD1717</t>
  </si>
  <si>
    <t>ORD001404</t>
  </si>
  <si>
    <t>CUST7725</t>
  </si>
  <si>
    <t>rahul143@email.com</t>
  </si>
  <si>
    <t>ORD001405</t>
  </si>
  <si>
    <t>CUST7260</t>
  </si>
  <si>
    <t>PRD4247</t>
  </si>
  <si>
    <t>ORD001406</t>
  </si>
  <si>
    <t>CUST6372</t>
  </si>
  <si>
    <t>pooja458@email.com</t>
  </si>
  <si>
    <t>PRD2482</t>
  </si>
  <si>
    <t>ORD001407</t>
  </si>
  <si>
    <t>CUST1112</t>
  </si>
  <si>
    <t>anita594@email.com</t>
  </si>
  <si>
    <t>2022-05-09</t>
  </si>
  <si>
    <t>PRD1491</t>
  </si>
  <si>
    <t>ORD001408</t>
  </si>
  <si>
    <t>CUST5064</t>
  </si>
  <si>
    <t>karan26@email.com</t>
  </si>
  <si>
    <t>ORD001409</t>
  </si>
  <si>
    <t>CUST2087</t>
  </si>
  <si>
    <t>rahul8@email.com</t>
  </si>
  <si>
    <t>PRD3686</t>
  </si>
  <si>
    <t>ORD001410</t>
  </si>
  <si>
    <t>CUST8193</t>
  </si>
  <si>
    <t>ORD001411</t>
  </si>
  <si>
    <t>CUST8038</t>
  </si>
  <si>
    <t>pooja214@email.com</t>
  </si>
  <si>
    <t>2023-09-23</t>
  </si>
  <si>
    <t>PRD4685</t>
  </si>
  <si>
    <t>ORD001412</t>
  </si>
  <si>
    <t>CUST7542</t>
  </si>
  <si>
    <t>deepak363@email.com</t>
  </si>
  <si>
    <t>PRD2767</t>
  </si>
  <si>
    <t>ORD001413</t>
  </si>
  <si>
    <t>CUST7658</t>
  </si>
  <si>
    <t>amit781@email.com</t>
  </si>
  <si>
    <t>ORD001414</t>
  </si>
  <si>
    <t>CUST2707</t>
  </si>
  <si>
    <t>manish351@email.com</t>
  </si>
  <si>
    <t>ORD001415</t>
  </si>
  <si>
    <t>CUST8018</t>
  </si>
  <si>
    <t>karan789@email.com</t>
  </si>
  <si>
    <t>PRD1796</t>
  </si>
  <si>
    <t>ORD001416</t>
  </si>
  <si>
    <t>CUST7776</t>
  </si>
  <si>
    <t>amit214@email.com</t>
  </si>
  <si>
    <t>ORD001417</t>
  </si>
  <si>
    <t>CUST6613</t>
  </si>
  <si>
    <t>pooja261@email.com</t>
  </si>
  <si>
    <t>PRD2028</t>
  </si>
  <si>
    <t>ORD001418</t>
  </si>
  <si>
    <t>rekha521@email.com</t>
  </si>
  <si>
    <t>PRD1537</t>
  </si>
  <si>
    <t>ORD001419</t>
  </si>
  <si>
    <t>CUST4688</t>
  </si>
  <si>
    <t>arjun753@email.com</t>
  </si>
  <si>
    <t>PRD3220</t>
  </si>
  <si>
    <t>ORD001420</t>
  </si>
  <si>
    <t>CUST2476</t>
  </si>
  <si>
    <t>deepak998@email.com</t>
  </si>
  <si>
    <t>PRD1520</t>
  </si>
  <si>
    <t>ORD001421</t>
  </si>
  <si>
    <t>CUST5587</t>
  </si>
  <si>
    <t>manish982@email.com</t>
  </si>
  <si>
    <t>PRD1750</t>
  </si>
  <si>
    <t>ORD001422</t>
  </si>
  <si>
    <t>CUST6887</t>
  </si>
  <si>
    <t>anita933@email.com</t>
  </si>
  <si>
    <t>PRD3973</t>
  </si>
  <si>
    <t>ORD001423</t>
  </si>
  <si>
    <t>CUST4600</t>
  </si>
  <si>
    <t>rekha954@email.com</t>
  </si>
  <si>
    <t>PRD2932</t>
  </si>
  <si>
    <t>ORD001424</t>
  </si>
  <si>
    <t>vikram104@email.com</t>
  </si>
  <si>
    <t>2023-04-11</t>
  </si>
  <si>
    <t>PRD2718</t>
  </si>
  <si>
    <t>ORD001425</t>
  </si>
  <si>
    <t>amit57@email.com</t>
  </si>
  <si>
    <t>2023-05-25</t>
  </si>
  <si>
    <t>PRD2160</t>
  </si>
  <si>
    <t>ORD001426</t>
  </si>
  <si>
    <t>priya323@email.com</t>
  </si>
  <si>
    <t>PRD3548</t>
  </si>
  <si>
    <t>ORD001427</t>
  </si>
  <si>
    <t>CUST5924</t>
  </si>
  <si>
    <t>amit536@email.com</t>
  </si>
  <si>
    <t>ORD001428</t>
  </si>
  <si>
    <t>CUST7632</t>
  </si>
  <si>
    <t>PRD2851</t>
  </si>
  <si>
    <t>ORD001429</t>
  </si>
  <si>
    <t>CUST6256</t>
  </si>
  <si>
    <t>amit607@email.com</t>
  </si>
  <si>
    <t>PRD4613</t>
  </si>
  <si>
    <t>ORD001430</t>
  </si>
  <si>
    <t>CUST4109</t>
  </si>
  <si>
    <t>arjun453@email.com</t>
  </si>
  <si>
    <t>PRD4838</t>
  </si>
  <si>
    <t>ORD001431</t>
  </si>
  <si>
    <t>CUST4164</t>
  </si>
  <si>
    <t>ORD001432</t>
  </si>
  <si>
    <t>CUST6061</t>
  </si>
  <si>
    <t>karan75@email.com</t>
  </si>
  <si>
    <t>PRD3206</t>
  </si>
  <si>
    <t>ORD001433</t>
  </si>
  <si>
    <t>CUST4162</t>
  </si>
  <si>
    <t>rekha171@email.com</t>
  </si>
  <si>
    <t>PRD2797</t>
  </si>
  <si>
    <t>ORD001434</t>
  </si>
  <si>
    <t>CUST6258</t>
  </si>
  <si>
    <t>anita29@email.com</t>
  </si>
  <si>
    <t>PRD4109</t>
  </si>
  <si>
    <t>ORD001435</t>
  </si>
  <si>
    <t>karan859@email.com</t>
  </si>
  <si>
    <t>ORD001436</t>
  </si>
  <si>
    <t>CUST5783</t>
  </si>
  <si>
    <t>sunita516@email.com</t>
  </si>
  <si>
    <t>PRD1988</t>
  </si>
  <si>
    <t>ORD001437</t>
  </si>
  <si>
    <t>CUST6658</t>
  </si>
  <si>
    <t>sunita74@email.com</t>
  </si>
  <si>
    <t>ORD001438</t>
  </si>
  <si>
    <t>CUST8466</t>
  </si>
  <si>
    <t>sunita562@email.com</t>
  </si>
  <si>
    <t>PRD1703</t>
  </si>
  <si>
    <t>ORD001439</t>
  </si>
  <si>
    <t>CUST1563</t>
  </si>
  <si>
    <t>amit301@email.com</t>
  </si>
  <si>
    <t>PRD2166</t>
  </si>
  <si>
    <t>ORD001440</t>
  </si>
  <si>
    <t>CUST9049</t>
  </si>
  <si>
    <t>amit889@email.com</t>
  </si>
  <si>
    <t>ORD001441</t>
  </si>
  <si>
    <t>CUST8834</t>
  </si>
  <si>
    <t>rohit663@email.com</t>
  </si>
  <si>
    <t>ORD001442</t>
  </si>
  <si>
    <t>CUST5512</t>
  </si>
  <si>
    <t>deepak799@email.com</t>
  </si>
  <si>
    <t>PRD1413</t>
  </si>
  <si>
    <t>ORD001443</t>
  </si>
  <si>
    <t>CUST1352</t>
  </si>
  <si>
    <t>vikram880@email.com</t>
  </si>
  <si>
    <t>PRD3977</t>
  </si>
  <si>
    <t>ORD001444</t>
  </si>
  <si>
    <t>CUST4591</t>
  </si>
  <si>
    <t>karan283@email.com</t>
  </si>
  <si>
    <t>PRD2050</t>
  </si>
  <si>
    <t>ORD001445</t>
  </si>
  <si>
    <t>CUST8827</t>
  </si>
  <si>
    <t>priya435@email.com</t>
  </si>
  <si>
    <t>PRD1276</t>
  </si>
  <si>
    <t>ORD001446</t>
  </si>
  <si>
    <t>CUST7385</t>
  </si>
  <si>
    <t>vikram982@email.com</t>
  </si>
  <si>
    <t>PRD2317</t>
  </si>
  <si>
    <t>ORD001447</t>
  </si>
  <si>
    <t>CUST3493</t>
  </si>
  <si>
    <t>meena224@email.com</t>
  </si>
  <si>
    <t>PRD3490</t>
  </si>
  <si>
    <t>ORD001448</t>
  </si>
  <si>
    <t>CUST2995</t>
  </si>
  <si>
    <t>vikram197@email.com</t>
  </si>
  <si>
    <t>PRD3050</t>
  </si>
  <si>
    <t>ORD001449</t>
  </si>
  <si>
    <t>CUST9565</t>
  </si>
  <si>
    <t>sunita981@email.com</t>
  </si>
  <si>
    <t>ORD001450</t>
  </si>
  <si>
    <t>CUST5382</t>
  </si>
  <si>
    <t>nisha963@email.com</t>
  </si>
  <si>
    <t>PRD4523</t>
  </si>
  <si>
    <t>ORD001451</t>
  </si>
  <si>
    <t>anita555@email.com</t>
  </si>
  <si>
    <t>ORD001452</t>
  </si>
  <si>
    <t>CUST4812</t>
  </si>
  <si>
    <t>nisha110@email.com</t>
  </si>
  <si>
    <t>PRD2332</t>
  </si>
  <si>
    <t>ORD001453</t>
  </si>
  <si>
    <t>CUST3380</t>
  </si>
  <si>
    <t>arjun72@email.com</t>
  </si>
  <si>
    <t>ORD001454</t>
  </si>
  <si>
    <t>CUST7529</t>
  </si>
  <si>
    <t>nisha786@email.com</t>
  </si>
  <si>
    <t>ORD001455</t>
  </si>
  <si>
    <t>CUST5736</t>
  </si>
  <si>
    <t>meena235@email.com</t>
  </si>
  <si>
    <t>PRD3341</t>
  </si>
  <si>
    <t>ORD001456</t>
  </si>
  <si>
    <t>CUST3182</t>
  </si>
  <si>
    <t>manish969@email.com</t>
  </si>
  <si>
    <t>ORD001457</t>
  </si>
  <si>
    <t>CUST6135</t>
  </si>
  <si>
    <t>kavya936@email.com</t>
  </si>
  <si>
    <t>PRD4448</t>
  </si>
  <si>
    <t>ORD001458</t>
  </si>
  <si>
    <t>CUST1034</t>
  </si>
  <si>
    <t>anita991@email.com</t>
  </si>
  <si>
    <t>PRD1613</t>
  </si>
  <si>
    <t>ORD001459</t>
  </si>
  <si>
    <t>CUST1192</t>
  </si>
  <si>
    <t>deepak846@email.com</t>
  </si>
  <si>
    <t>ORD001460</t>
  </si>
  <si>
    <t>CUST7680</t>
  </si>
  <si>
    <t>meena912@email.com</t>
  </si>
  <si>
    <t>2023-12-13</t>
  </si>
  <si>
    <t>PRD1454</t>
  </si>
  <si>
    <t>ORD001461</t>
  </si>
  <si>
    <t>CUST8362</t>
  </si>
  <si>
    <t>meena879@email.com</t>
  </si>
  <si>
    <t>PRD2947</t>
  </si>
  <si>
    <t>ORD001462</t>
  </si>
  <si>
    <t>CUST1601</t>
  </si>
  <si>
    <t>suresh407@email.com</t>
  </si>
  <si>
    <t>PRD2993</t>
  </si>
  <si>
    <t>ORD001463</t>
  </si>
  <si>
    <t>CUST5666</t>
  </si>
  <si>
    <t>pooja57@email.com</t>
  </si>
  <si>
    <t>PRD4104</t>
  </si>
  <si>
    <t>ORD001464</t>
  </si>
  <si>
    <t>CUST1849</t>
  </si>
  <si>
    <t>suresh631@email.com</t>
  </si>
  <si>
    <t>ORD001465</t>
  </si>
  <si>
    <t>CUST4764</t>
  </si>
  <si>
    <t>pooja335@email.com</t>
  </si>
  <si>
    <t>PRD2336</t>
  </si>
  <si>
    <t>ORD001466</t>
  </si>
  <si>
    <t>CUST1857</t>
  </si>
  <si>
    <t>rohit39@email.com</t>
  </si>
  <si>
    <t>PRD1981</t>
  </si>
  <si>
    <t>ORD001467</t>
  </si>
  <si>
    <t>CUST5776</t>
  </si>
  <si>
    <t>divya926@email.com</t>
  </si>
  <si>
    <t>PRD2814</t>
  </si>
  <si>
    <t>ORD001468</t>
  </si>
  <si>
    <t>CUST2777</t>
  </si>
  <si>
    <t>kavya601@email.com</t>
  </si>
  <si>
    <t>PRD4020</t>
  </si>
  <si>
    <t>ORD001469</t>
  </si>
  <si>
    <t>CUST9525</t>
  </si>
  <si>
    <t>priya290@email.com</t>
  </si>
  <si>
    <t>PRD3309</t>
  </si>
  <si>
    <t>ORD001470</t>
  </si>
  <si>
    <t>CUST6054</t>
  </si>
  <si>
    <t>pooja82@email.com</t>
  </si>
  <si>
    <t>PRD3031</t>
  </si>
  <si>
    <t>ORD001471</t>
  </si>
  <si>
    <t>CUST6064</t>
  </si>
  <si>
    <t>anita10@email.com</t>
  </si>
  <si>
    <t>ORD001472</t>
  </si>
  <si>
    <t>CUST3760</t>
  </si>
  <si>
    <t>PRD4400</t>
  </si>
  <si>
    <t>ORD001473</t>
  </si>
  <si>
    <t>CUST3278</t>
  </si>
  <si>
    <t>PRD2973</t>
  </si>
  <si>
    <t>ORD001474</t>
  </si>
  <si>
    <t>CUST3512</t>
  </si>
  <si>
    <t>suresh306@email.com</t>
  </si>
  <si>
    <t>PRD1050</t>
  </si>
  <si>
    <t>ORD001475</t>
  </si>
  <si>
    <t>CUST1378</t>
  </si>
  <si>
    <t>deepak62@email.com</t>
  </si>
  <si>
    <t>PRD2874</t>
  </si>
  <si>
    <t>ORD001476</t>
  </si>
  <si>
    <t>CUST1158</t>
  </si>
  <si>
    <t>sunita184@email.com</t>
  </si>
  <si>
    <t>2024-08-12</t>
  </si>
  <si>
    <t>PRD1104</t>
  </si>
  <si>
    <t>ORD001477</t>
  </si>
  <si>
    <t>CUST1795</t>
  </si>
  <si>
    <t>manish78@email.com</t>
  </si>
  <si>
    <t>PRD2652</t>
  </si>
  <si>
    <t>ORD001478</t>
  </si>
  <si>
    <t>rohit284@email.com</t>
  </si>
  <si>
    <t>2024-06-27</t>
  </si>
  <si>
    <t>PRD2255</t>
  </si>
  <si>
    <t>ORD001479</t>
  </si>
  <si>
    <t>CUST3228</t>
  </si>
  <si>
    <t>pooja14@email.com</t>
  </si>
  <si>
    <t>PRD2872</t>
  </si>
  <si>
    <t>ORD001480</t>
  </si>
  <si>
    <t>rahul357@email.com</t>
  </si>
  <si>
    <t>PRD2849</t>
  </si>
  <si>
    <t>ORD001481</t>
  </si>
  <si>
    <t>CUST1425</t>
  </si>
  <si>
    <t>suresh20@email.com</t>
  </si>
  <si>
    <t>PRD3319</t>
  </si>
  <si>
    <t>ORD001482</t>
  </si>
  <si>
    <t>CUST3663</t>
  </si>
  <si>
    <t>arjun70@email.com</t>
  </si>
  <si>
    <t>ORD001483</t>
  </si>
  <si>
    <t>CUST5995</t>
  </si>
  <si>
    <t>karan226@email.com</t>
  </si>
  <si>
    <t>PRD1687</t>
  </si>
  <si>
    <t>ORD001484</t>
  </si>
  <si>
    <t>CUST3801</t>
  </si>
  <si>
    <t>pooja809@email.com</t>
  </si>
  <si>
    <t>ORD001485</t>
  </si>
  <si>
    <t>CUST5069</t>
  </si>
  <si>
    <t>pooja131@email.com</t>
  </si>
  <si>
    <t>ORD001486</t>
  </si>
  <si>
    <t>CUST1969</t>
  </si>
  <si>
    <t>2022-10-10</t>
  </si>
  <si>
    <t>ORD001487</t>
  </si>
  <si>
    <t>CUST8569</t>
  </si>
  <si>
    <t>pooja346@email.com</t>
  </si>
  <si>
    <t>PRD4660</t>
  </si>
  <si>
    <t>ORD001488</t>
  </si>
  <si>
    <t>CUST3773</t>
  </si>
  <si>
    <t>pooja528@email.com</t>
  </si>
  <si>
    <t>PRD4331</t>
  </si>
  <si>
    <t>ORD001489</t>
  </si>
  <si>
    <t>CUST1877</t>
  </si>
  <si>
    <t>PRD4724</t>
  </si>
  <si>
    <t>ORD001490</t>
  </si>
  <si>
    <t>PRD1281</t>
  </si>
  <si>
    <t>ORD001491</t>
  </si>
  <si>
    <t>CUST2235</t>
  </si>
  <si>
    <t>kavya434@email.com</t>
  </si>
  <si>
    <t>PRD1604</t>
  </si>
  <si>
    <t>ORD001492</t>
  </si>
  <si>
    <t>CUST9143</t>
  </si>
  <si>
    <t>karan100@email.com</t>
  </si>
  <si>
    <t>2024-09-22</t>
  </si>
  <si>
    <t>PRD4342</t>
  </si>
  <si>
    <t>ORD001493</t>
  </si>
  <si>
    <t>CUST1821</t>
  </si>
  <si>
    <t>meena720@email.com</t>
  </si>
  <si>
    <t>PRD1682</t>
  </si>
  <si>
    <t>ORD001494</t>
  </si>
  <si>
    <t>CUST5322</t>
  </si>
  <si>
    <t>anita965@email.com</t>
  </si>
  <si>
    <t>ORD001495</t>
  </si>
  <si>
    <t>manish7@email.com</t>
  </si>
  <si>
    <t>PRD1456</t>
  </si>
  <si>
    <t>ORD001496</t>
  </si>
  <si>
    <t>CUST4189</t>
  </si>
  <si>
    <t>swati318@email.com</t>
  </si>
  <si>
    <t>PRD3853</t>
  </si>
  <si>
    <t>ORD001497</t>
  </si>
  <si>
    <t>CUST5804</t>
  </si>
  <si>
    <t>vikram809@email.com</t>
  </si>
  <si>
    <t>PRD1188</t>
  </si>
  <si>
    <t>ORD001498</t>
  </si>
  <si>
    <t>CUST7228</t>
  </si>
  <si>
    <t>meena765@email.com</t>
  </si>
  <si>
    <t>ORD001499</t>
  </si>
  <si>
    <t>CUST6711</t>
  </si>
  <si>
    <t>deepak937@email.com</t>
  </si>
  <si>
    <t>PRD2621</t>
  </si>
  <si>
    <t>ORD001500</t>
  </si>
  <si>
    <t>CUST9993</t>
  </si>
  <si>
    <t>PRD2775</t>
  </si>
  <si>
    <t>ORD001501</t>
  </si>
  <si>
    <t>ORD001502</t>
  </si>
  <si>
    <t>CUST6231</t>
  </si>
  <si>
    <t>kavya180@email.com</t>
  </si>
  <si>
    <t>PRD2862</t>
  </si>
  <si>
    <t>ORD001503</t>
  </si>
  <si>
    <t>CUST6840</t>
  </si>
  <si>
    <t>suresh869@email.com</t>
  </si>
  <si>
    <t>PRD1373</t>
  </si>
  <si>
    <t>ORD001504</t>
  </si>
  <si>
    <t>CUST4343</t>
  </si>
  <si>
    <t>aditya126@email.com</t>
  </si>
  <si>
    <t>PRD4297</t>
  </si>
  <si>
    <t>ORD001505</t>
  </si>
  <si>
    <t>CUST8878</t>
  </si>
  <si>
    <t>manish810@email.com</t>
  </si>
  <si>
    <t>PRD2965</t>
  </si>
  <si>
    <t>ORD001506</t>
  </si>
  <si>
    <t>CUST1922</t>
  </si>
  <si>
    <t>sunita11@email.com</t>
  </si>
  <si>
    <t>ORD001507</t>
  </si>
  <si>
    <t>CUST1878</t>
  </si>
  <si>
    <t>arjun106@email.com</t>
  </si>
  <si>
    <t>ORD001508</t>
  </si>
  <si>
    <t>CUST6108</t>
  </si>
  <si>
    <t>amit831@email.com</t>
  </si>
  <si>
    <t>PRD4317</t>
  </si>
  <si>
    <t>ORD001509</t>
  </si>
  <si>
    <t>CUST9664</t>
  </si>
  <si>
    <t>swati621@email.com</t>
  </si>
  <si>
    <t>PRD1776</t>
  </si>
  <si>
    <t>ORD001510</t>
  </si>
  <si>
    <t>CUST6995</t>
  </si>
  <si>
    <t>rekha423@email.com</t>
  </si>
  <si>
    <t>PRD3959</t>
  </si>
  <si>
    <t>ORD001511</t>
  </si>
  <si>
    <t>CUST3343</t>
  </si>
  <si>
    <t>kavya122@email.com</t>
  </si>
  <si>
    <t>PRD4498</t>
  </si>
  <si>
    <t>ORD001512</t>
  </si>
  <si>
    <t>CUST3026</t>
  </si>
  <si>
    <t>sunita759@email.com</t>
  </si>
  <si>
    <t>PRD1642</t>
  </si>
  <si>
    <t>ORD001513</t>
  </si>
  <si>
    <t>meena185@email.com</t>
  </si>
  <si>
    <t>ORD001514</t>
  </si>
  <si>
    <t>CUST6339</t>
  </si>
  <si>
    <t>ORD001515</t>
  </si>
  <si>
    <t>CUST8808</t>
  </si>
  <si>
    <t>vikram220@email.com</t>
  </si>
  <si>
    <t>PRD1285</t>
  </si>
  <si>
    <t>ORD001516</t>
  </si>
  <si>
    <t>CUST8376</t>
  </si>
  <si>
    <t>nisha249@email.com</t>
  </si>
  <si>
    <t>PRD2143</t>
  </si>
  <si>
    <t>ORD001517</t>
  </si>
  <si>
    <t>CUST4653</t>
  </si>
  <si>
    <t>nisha606@email.com</t>
  </si>
  <si>
    <t>PRD4557</t>
  </si>
  <si>
    <t>ORD001518</t>
  </si>
  <si>
    <t>CUST7718</t>
  </si>
  <si>
    <t>pooja22@email.com</t>
  </si>
  <si>
    <t>PRD1292</t>
  </si>
  <si>
    <t>ORD001519</t>
  </si>
  <si>
    <t>CUST2330</t>
  </si>
  <si>
    <t>nisha705@email.com</t>
  </si>
  <si>
    <t>PRD1646</t>
  </si>
  <si>
    <t>ORD001520</t>
  </si>
  <si>
    <t>arjun906@email.com</t>
  </si>
  <si>
    <t>PRD1428</t>
  </si>
  <si>
    <t>ORD001521</t>
  </si>
  <si>
    <t>CUST6911</t>
  </si>
  <si>
    <t>amit41@email.com</t>
  </si>
  <si>
    <t>PRD1483</t>
  </si>
  <si>
    <t>ORD001522</t>
  </si>
  <si>
    <t>CUST4324</t>
  </si>
  <si>
    <t>nisha291@email.com</t>
  </si>
  <si>
    <t>PRD3289</t>
  </si>
  <si>
    <t>ORD001523</t>
  </si>
  <si>
    <t>CUST9953</t>
  </si>
  <si>
    <t>rahul941@email.com</t>
  </si>
  <si>
    <t>PRD3032</t>
  </si>
  <si>
    <t>ORD001524</t>
  </si>
  <si>
    <t>CUST9362</t>
  </si>
  <si>
    <t>swati629@email.com</t>
  </si>
  <si>
    <t>ORD001525</t>
  </si>
  <si>
    <t>CUST3815</t>
  </si>
  <si>
    <t>meena406@email.com</t>
  </si>
  <si>
    <t>ORD001526</t>
  </si>
  <si>
    <t>CUST2592</t>
  </si>
  <si>
    <t>arjun921@email.com</t>
  </si>
  <si>
    <t>PRD1013</t>
  </si>
  <si>
    <t>ORD001527</t>
  </si>
  <si>
    <t>CUST7049</t>
  </si>
  <si>
    <t>priya863@email.com</t>
  </si>
  <si>
    <t>PRD3994</t>
  </si>
  <si>
    <t>ORD001528</t>
  </si>
  <si>
    <t>CUST6341</t>
  </si>
  <si>
    <t>pooja92@email.com</t>
  </si>
  <si>
    <t>ORD001529</t>
  </si>
  <si>
    <t>CUST5963</t>
  </si>
  <si>
    <t>pooja108@email.com</t>
  </si>
  <si>
    <t>PRD1517</t>
  </si>
  <si>
    <t>ORD001530</t>
  </si>
  <si>
    <t>CUST9465</t>
  </si>
  <si>
    <t>amit639@email.com</t>
  </si>
  <si>
    <t>PRD2187</t>
  </si>
  <si>
    <t>ORD001531</t>
  </si>
  <si>
    <t>CUST7277</t>
  </si>
  <si>
    <t>kavya69@email.com</t>
  </si>
  <si>
    <t>PRD1482</t>
  </si>
  <si>
    <t>ORD001532</t>
  </si>
  <si>
    <t>CUST5707</t>
  </si>
  <si>
    <t>karan312@email.com</t>
  </si>
  <si>
    <t>PRD2637</t>
  </si>
  <si>
    <t>ORD001533</t>
  </si>
  <si>
    <t>CUST4152</t>
  </si>
  <si>
    <t>manish396@email.com</t>
  </si>
  <si>
    <t>PRD2055</t>
  </si>
  <si>
    <t>ORD001534</t>
  </si>
  <si>
    <t>CUST1956</t>
  </si>
  <si>
    <t>suresh947@email.com</t>
  </si>
  <si>
    <t>PRD1523</t>
  </si>
  <si>
    <t>ORD001535</t>
  </si>
  <si>
    <t>CUST2688</t>
  </si>
  <si>
    <t>manish741@email.com</t>
  </si>
  <si>
    <t>ORD001536</t>
  </si>
  <si>
    <t>karan508@email.com</t>
  </si>
  <si>
    <t>PRD3863</t>
  </si>
  <si>
    <t>ORD001537</t>
  </si>
  <si>
    <t>CUST5141</t>
  </si>
  <si>
    <t>suresh393@email.com</t>
  </si>
  <si>
    <t>ORD001538</t>
  </si>
  <si>
    <t>CUST6304</t>
  </si>
  <si>
    <t>vikram764@email.com</t>
  </si>
  <si>
    <t>ORD001539</t>
  </si>
  <si>
    <t>CUST6809</t>
  </si>
  <si>
    <t>pooja331@email.com</t>
  </si>
  <si>
    <t>PRD2596</t>
  </si>
  <si>
    <t>ORD001540</t>
  </si>
  <si>
    <t>CUST5451</t>
  </si>
  <si>
    <t>arjun505@email.com</t>
  </si>
  <si>
    <t>PRD2492</t>
  </si>
  <si>
    <t>ORD001541</t>
  </si>
  <si>
    <t>CUST9327</t>
  </si>
  <si>
    <t>PRD4397</t>
  </si>
  <si>
    <t>ORD001542</t>
  </si>
  <si>
    <t>CUST3958</t>
  </si>
  <si>
    <t>rahul123@email.com</t>
  </si>
  <si>
    <t>PRD2142</t>
  </si>
  <si>
    <t>ORD001543</t>
  </si>
  <si>
    <t>CUST2639</t>
  </si>
  <si>
    <t>rohit530@email.com</t>
  </si>
  <si>
    <t>PRD2451</t>
  </si>
  <si>
    <t>ORD001544</t>
  </si>
  <si>
    <t>CUST5035</t>
  </si>
  <si>
    <t>anita239@email.com</t>
  </si>
  <si>
    <t>PRD4510</t>
  </si>
  <si>
    <t>ORD001545</t>
  </si>
  <si>
    <t>CUST3824</t>
  </si>
  <si>
    <t>PRD1190</t>
  </si>
  <si>
    <t>ORD001546</t>
  </si>
  <si>
    <t>CUST3757</t>
  </si>
  <si>
    <t>meena695@email.com</t>
  </si>
  <si>
    <t>PRD3195</t>
  </si>
  <si>
    <t>ORD001547</t>
  </si>
  <si>
    <t>priya220@email.com</t>
  </si>
  <si>
    <t>PRD2751</t>
  </si>
  <si>
    <t>ORD001548</t>
  </si>
  <si>
    <t>CUST5853</t>
  </si>
  <si>
    <t>aditya354@email.com</t>
  </si>
  <si>
    <t>PRD4376</t>
  </si>
  <si>
    <t>ORD001549</t>
  </si>
  <si>
    <t>nisha654@email.com</t>
  </si>
  <si>
    <t>PRD1864</t>
  </si>
  <si>
    <t>ORD001550</t>
  </si>
  <si>
    <t>rekha707@email.com</t>
  </si>
  <si>
    <t>PRD4552</t>
  </si>
  <si>
    <t>ORD001551</t>
  </si>
  <si>
    <t>CUST3964</t>
  </si>
  <si>
    <t>rohit458@email.com</t>
  </si>
  <si>
    <t>2023-05-21</t>
  </si>
  <si>
    <t>PRD2634</t>
  </si>
  <si>
    <t>ORD001552</t>
  </si>
  <si>
    <t>aditya689@email.com</t>
  </si>
  <si>
    <t>PRD3949</t>
  </si>
  <si>
    <t>ORD001553</t>
  </si>
  <si>
    <t>CUST3980</t>
  </si>
  <si>
    <t>PRD3772</t>
  </si>
  <si>
    <t>ORD001554</t>
  </si>
  <si>
    <t>CUST9256</t>
  </si>
  <si>
    <t>swati57@email.com</t>
  </si>
  <si>
    <t>PRD1025</t>
  </si>
  <si>
    <t>ORD001555</t>
  </si>
  <si>
    <t>CUST8775</t>
  </si>
  <si>
    <t>manish803@email.com</t>
  </si>
  <si>
    <t>PRD1049</t>
  </si>
  <si>
    <t>ORD001556</t>
  </si>
  <si>
    <t>CUST1113</t>
  </si>
  <si>
    <t>anita756@email.com</t>
  </si>
  <si>
    <t>ORD001557</t>
  </si>
  <si>
    <t>CUST3131</t>
  </si>
  <si>
    <t>rohit951@email.com</t>
  </si>
  <si>
    <t>PRD3368</t>
  </si>
  <si>
    <t>ORD001558</t>
  </si>
  <si>
    <t>sunita646@email.com</t>
  </si>
  <si>
    <t>PRD4851</t>
  </si>
  <si>
    <t>ORD001559</t>
  </si>
  <si>
    <t>CUST5117</t>
  </si>
  <si>
    <t>PRD2567</t>
  </si>
  <si>
    <t>ORD001560</t>
  </si>
  <si>
    <t>CUST2691</t>
  </si>
  <si>
    <t>manish62@email.com</t>
  </si>
  <si>
    <t>PRD3936</t>
  </si>
  <si>
    <t>ORD001561</t>
  </si>
  <si>
    <t>vikram10@email.com</t>
  </si>
  <si>
    <t>PRD2677</t>
  </si>
  <si>
    <t>ORD001562</t>
  </si>
  <si>
    <t>CUST8160</t>
  </si>
  <si>
    <t>karan84@email.com</t>
  </si>
  <si>
    <t>ORD001563</t>
  </si>
  <si>
    <t>CUST4886</t>
  </si>
  <si>
    <t>meena522@email.com</t>
  </si>
  <si>
    <t>ORD001564</t>
  </si>
  <si>
    <t>kavya155@email.com</t>
  </si>
  <si>
    <t>PRD2758</t>
  </si>
  <si>
    <t>ORD001565</t>
  </si>
  <si>
    <t>CUST5005</t>
  </si>
  <si>
    <t>nisha552@email.com</t>
  </si>
  <si>
    <t>ORD001566</t>
  </si>
  <si>
    <t>CUST4880</t>
  </si>
  <si>
    <t>manish632@email.com</t>
  </si>
  <si>
    <t>ORD001567</t>
  </si>
  <si>
    <t>CUST2357</t>
  </si>
  <si>
    <t>anita981@email.com</t>
  </si>
  <si>
    <t>PRD4593</t>
  </si>
  <si>
    <t>ORD001568</t>
  </si>
  <si>
    <t>CUST5969</t>
  </si>
  <si>
    <t>kavya19@email.com</t>
  </si>
  <si>
    <t>PRD3338</t>
  </si>
  <si>
    <t>ORD001569</t>
  </si>
  <si>
    <t>CUST5176</t>
  </si>
  <si>
    <t>ORD001570</t>
  </si>
  <si>
    <t>CUST2799</t>
  </si>
  <si>
    <t>rahul479@email.com</t>
  </si>
  <si>
    <t>PRD1834</t>
  </si>
  <si>
    <t>ORD001571</t>
  </si>
  <si>
    <t>CUST5873</t>
  </si>
  <si>
    <t>priya167@email.com</t>
  </si>
  <si>
    <t>2023-11-15</t>
  </si>
  <si>
    <t>ORD001572</t>
  </si>
  <si>
    <t>CUST4258</t>
  </si>
  <si>
    <t>divya989@email.com</t>
  </si>
  <si>
    <t>PRD3500</t>
  </si>
  <si>
    <t>ORD001573</t>
  </si>
  <si>
    <t>CUST6673</t>
  </si>
  <si>
    <t>anita999@email.com</t>
  </si>
  <si>
    <t>PRD1974</t>
  </si>
  <si>
    <t>ORD001574</t>
  </si>
  <si>
    <t>CUST1290</t>
  </si>
  <si>
    <t>aditya42@email.com</t>
  </si>
  <si>
    <t>PRD4003</t>
  </si>
  <si>
    <t>ORD001575</t>
  </si>
  <si>
    <t>CUST9183</t>
  </si>
  <si>
    <t>divya679@email.com</t>
  </si>
  <si>
    <t>PRD1691</t>
  </si>
  <si>
    <t>ORD001576</t>
  </si>
  <si>
    <t>priya484@email.com</t>
  </si>
  <si>
    <t>PRD1083</t>
  </si>
  <si>
    <t>ORD001577</t>
  </si>
  <si>
    <t>CUST9667</t>
  </si>
  <si>
    <t>suresh593@email.com</t>
  </si>
  <si>
    <t>PRD4717</t>
  </si>
  <si>
    <t>ORD001578</t>
  </si>
  <si>
    <t>CUST5953</t>
  </si>
  <si>
    <t>vikram204@email.com</t>
  </si>
  <si>
    <t>PRD1577</t>
  </si>
  <si>
    <t>ORD001579</t>
  </si>
  <si>
    <t>PRD1495</t>
  </si>
  <si>
    <t>ORD001580</t>
  </si>
  <si>
    <t>CUST4589</t>
  </si>
  <si>
    <t>meena467@email.com</t>
  </si>
  <si>
    <t>PRD4199</t>
  </si>
  <si>
    <t>ORD001581</t>
  </si>
  <si>
    <t>CUST2845</t>
  </si>
  <si>
    <t>karan405@email.com</t>
  </si>
  <si>
    <t>PRD4275</t>
  </si>
  <si>
    <t>ORD001582</t>
  </si>
  <si>
    <t>CUST8217</t>
  </si>
  <si>
    <t>kavya856@email.com</t>
  </si>
  <si>
    <t>2022-01-27</t>
  </si>
  <si>
    <t>PRD1764</t>
  </si>
  <si>
    <t>ORD001583</t>
  </si>
  <si>
    <t>CUST4884</t>
  </si>
  <si>
    <t>vikram620@email.com</t>
  </si>
  <si>
    <t>PRD1046</t>
  </si>
  <si>
    <t>ORD001584</t>
  </si>
  <si>
    <t>CUST4640</t>
  </si>
  <si>
    <t>aditya165@email.com</t>
  </si>
  <si>
    <t>PRD4214</t>
  </si>
  <si>
    <t>ORD001585</t>
  </si>
  <si>
    <t>rohit2@email.com</t>
  </si>
  <si>
    <t>PRD1118</t>
  </si>
  <si>
    <t>ORD001586</t>
  </si>
  <si>
    <t>CUST7436</t>
  </si>
  <si>
    <t>rohit609@email.com</t>
  </si>
  <si>
    <t>ORD001587</t>
  </si>
  <si>
    <t>CUST7777</t>
  </si>
  <si>
    <t>kavya242@email.com</t>
  </si>
  <si>
    <t>ORD001588</t>
  </si>
  <si>
    <t>CUST6938</t>
  </si>
  <si>
    <t>PRD3522</t>
  </si>
  <si>
    <t>ORD001589</t>
  </si>
  <si>
    <t>CUST9428</t>
  </si>
  <si>
    <t>aditya950@email.com</t>
  </si>
  <si>
    <t>PRD4636</t>
  </si>
  <si>
    <t>ORD001590</t>
  </si>
  <si>
    <t>CUST1800</t>
  </si>
  <si>
    <t>amit845@email.com</t>
  </si>
  <si>
    <t>ORD001591</t>
  </si>
  <si>
    <t>anita801@email.com</t>
  </si>
  <si>
    <t>ORD001592</t>
  </si>
  <si>
    <t>sunita702@email.com</t>
  </si>
  <si>
    <t>PRD2772</t>
  </si>
  <si>
    <t>ORD001593</t>
  </si>
  <si>
    <t>CUST5596</t>
  </si>
  <si>
    <t>amit974@email.com</t>
  </si>
  <si>
    <t>PRD2865</t>
  </si>
  <si>
    <t>ORD001594</t>
  </si>
  <si>
    <t>CUST1044</t>
  </si>
  <si>
    <t>manish433@email.com</t>
  </si>
  <si>
    <t>PRD2258</t>
  </si>
  <si>
    <t>ORD001595</t>
  </si>
  <si>
    <t>CUST6847</t>
  </si>
  <si>
    <t>amit690@email.com</t>
  </si>
  <si>
    <t>ORD001596</t>
  </si>
  <si>
    <t>rohit977@email.com</t>
  </si>
  <si>
    <t>PRD2738</t>
  </si>
  <si>
    <t>ORD001597</t>
  </si>
  <si>
    <t>CUST7661</t>
  </si>
  <si>
    <t>amit495@email.com</t>
  </si>
  <si>
    <t>2022-06-11</t>
  </si>
  <si>
    <t>ORD001598</t>
  </si>
  <si>
    <t>CUST8887</t>
  </si>
  <si>
    <t>PRD2156</t>
  </si>
  <si>
    <t>ORD001599</t>
  </si>
  <si>
    <t>CUST9501</t>
  </si>
  <si>
    <t>aditya113@email.com</t>
  </si>
  <si>
    <t>2024-07-07</t>
  </si>
  <si>
    <t>PRD2707</t>
  </si>
  <si>
    <t>ORD001600</t>
  </si>
  <si>
    <t>CUST7695</t>
  </si>
  <si>
    <t>nisha186@email.com</t>
  </si>
  <si>
    <t>ORD001601</t>
  </si>
  <si>
    <t>CUST6600</t>
  </si>
  <si>
    <t>amit754@email.com</t>
  </si>
  <si>
    <t>ORD001602</t>
  </si>
  <si>
    <t>vikram770@email.com</t>
  </si>
  <si>
    <t>PRD3941</t>
  </si>
  <si>
    <t>ORD001603</t>
  </si>
  <si>
    <t>CUST7489</t>
  </si>
  <si>
    <t>deepak299@email.com</t>
  </si>
  <si>
    <t>ORD001604</t>
  </si>
  <si>
    <t>CUST2724</t>
  </si>
  <si>
    <t>amit469@email.com</t>
  </si>
  <si>
    <t>2024-08-04</t>
  </si>
  <si>
    <t>PRD1147</t>
  </si>
  <si>
    <t>ORD001605</t>
  </si>
  <si>
    <t>CUST8287</t>
  </si>
  <si>
    <t>PRD3633</t>
  </si>
  <si>
    <t>ORD001606</t>
  </si>
  <si>
    <t>CUST7677</t>
  </si>
  <si>
    <t>sunita247@email.com</t>
  </si>
  <si>
    <t>ORD001607</t>
  </si>
  <si>
    <t>CUST3788</t>
  </si>
  <si>
    <t>pooja573@email.com</t>
  </si>
  <si>
    <t>PRD3165</t>
  </si>
  <si>
    <t>ORD001608</t>
  </si>
  <si>
    <t>CUST5684</t>
  </si>
  <si>
    <t>pooja328@email.com</t>
  </si>
  <si>
    <t>PRD2966</t>
  </si>
  <si>
    <t>ORD001609</t>
  </si>
  <si>
    <t>CUST1024</t>
  </si>
  <si>
    <t>rekha165@email.com</t>
  </si>
  <si>
    <t>PRD2633</t>
  </si>
  <si>
    <t>ORD001610</t>
  </si>
  <si>
    <t>CUST6639</t>
  </si>
  <si>
    <t>sunita292@email.com</t>
  </si>
  <si>
    <t>PRD3285</t>
  </si>
  <si>
    <t>ORD001611</t>
  </si>
  <si>
    <t>CUST3965</t>
  </si>
  <si>
    <t>amit737@email.com</t>
  </si>
  <si>
    <t>ORD001612</t>
  </si>
  <si>
    <t>rahul711@email.com</t>
  </si>
  <si>
    <t>PRD4741</t>
  </si>
  <si>
    <t>ORD001613</t>
  </si>
  <si>
    <t>CUST1972</t>
  </si>
  <si>
    <t>suresh493@email.com</t>
  </si>
  <si>
    <t>ORD001614</t>
  </si>
  <si>
    <t>CUST5578</t>
  </si>
  <si>
    <t>arjun474@email.com</t>
  </si>
  <si>
    <t>PRD3514</t>
  </si>
  <si>
    <t>ORD001615</t>
  </si>
  <si>
    <t>CUST3716</t>
  </si>
  <si>
    <t>amit188@email.com</t>
  </si>
  <si>
    <t>PRD2531</t>
  </si>
  <si>
    <t>ORD001616</t>
  </si>
  <si>
    <t>CUST3484</t>
  </si>
  <si>
    <t>swati48@email.com</t>
  </si>
  <si>
    <t>ORD001617</t>
  </si>
  <si>
    <t>CUST7965</t>
  </si>
  <si>
    <t>rahul218@email.com</t>
  </si>
  <si>
    <t>PRD3528</t>
  </si>
  <si>
    <t>ORD001618</t>
  </si>
  <si>
    <t>CUST1039</t>
  </si>
  <si>
    <t>pooja223@email.com</t>
  </si>
  <si>
    <t>PRD4325</t>
  </si>
  <si>
    <t>ORD001619</t>
  </si>
  <si>
    <t>CUST9877</t>
  </si>
  <si>
    <t>aditya329@email.com</t>
  </si>
  <si>
    <t>PRD4219</t>
  </si>
  <si>
    <t>ORD001620</t>
  </si>
  <si>
    <t>CUST6881</t>
  </si>
  <si>
    <t>aditya490@email.com</t>
  </si>
  <si>
    <t>PRD4954</t>
  </si>
  <si>
    <t>ORD001621</t>
  </si>
  <si>
    <t>CUST1349</t>
  </si>
  <si>
    <t>rohit265@email.com</t>
  </si>
  <si>
    <t>PRD1282</t>
  </si>
  <si>
    <t>ORD001622</t>
  </si>
  <si>
    <t>CUST6814</t>
  </si>
  <si>
    <t>rohit646@email.com</t>
  </si>
  <si>
    <t>PRD1645</t>
  </si>
  <si>
    <t>ORD001623</t>
  </si>
  <si>
    <t>CUST8489</t>
  </si>
  <si>
    <t>rahul230@email.com</t>
  </si>
  <si>
    <t>PRD3443</t>
  </si>
  <si>
    <t>ORD001624</t>
  </si>
  <si>
    <t>CUST6312</t>
  </si>
  <si>
    <t>arjun517@email.com</t>
  </si>
  <si>
    <t>PRD4604</t>
  </si>
  <si>
    <t>ORD001625</t>
  </si>
  <si>
    <t>CUST7139</t>
  </si>
  <si>
    <t>sunita812@email.com</t>
  </si>
  <si>
    <t>PRD2088</t>
  </si>
  <si>
    <t>ORD001626</t>
  </si>
  <si>
    <t>CUST4333</t>
  </si>
  <si>
    <t>divya486@email.com</t>
  </si>
  <si>
    <t>ORD001627</t>
  </si>
  <si>
    <t>CUST3459</t>
  </si>
  <si>
    <t>nisha589@email.com</t>
  </si>
  <si>
    <t>ORD001628</t>
  </si>
  <si>
    <t>CUST1364</t>
  </si>
  <si>
    <t>suresh184@email.com</t>
  </si>
  <si>
    <t>PRD4543</t>
  </si>
  <si>
    <t>ORD001629</t>
  </si>
  <si>
    <t>kavya557@email.com</t>
  </si>
  <si>
    <t>PRD3721</t>
  </si>
  <si>
    <t>ORD001630</t>
  </si>
  <si>
    <t>CUST7565</t>
  </si>
  <si>
    <t>vikram331@email.com</t>
  </si>
  <si>
    <t>PRD3202</t>
  </si>
  <si>
    <t>ORD001631</t>
  </si>
  <si>
    <t>CUST1342</t>
  </si>
  <si>
    <t>meena868@email.com</t>
  </si>
  <si>
    <t>PRD2909</t>
  </si>
  <si>
    <t>ORD001632</t>
  </si>
  <si>
    <t>nisha204@email.com</t>
  </si>
  <si>
    <t>PRD2674</t>
  </si>
  <si>
    <t>ORD001633</t>
  </si>
  <si>
    <t>CUST2564</t>
  </si>
  <si>
    <t>swati164@email.com</t>
  </si>
  <si>
    <t>ORD001634</t>
  </si>
  <si>
    <t>CUST1237</t>
  </si>
  <si>
    <t>vikram250@email.com</t>
  </si>
  <si>
    <t>ORD001635</t>
  </si>
  <si>
    <t>CUST2658</t>
  </si>
  <si>
    <t>divya701@email.com</t>
  </si>
  <si>
    <t>ORD001636</t>
  </si>
  <si>
    <t>CUST3572</t>
  </si>
  <si>
    <t>sunita363@email.com</t>
  </si>
  <si>
    <t>ORD001637</t>
  </si>
  <si>
    <t>CUST2826</t>
  </si>
  <si>
    <t>priya212@email.com</t>
  </si>
  <si>
    <t>PRD3346</t>
  </si>
  <si>
    <t>ORD001638</t>
  </si>
  <si>
    <t>CUST3100</t>
  </si>
  <si>
    <t>priya381@email.com</t>
  </si>
  <si>
    <t>ORD001639</t>
  </si>
  <si>
    <t>CUST5777</t>
  </si>
  <si>
    <t>PRD1714</t>
  </si>
  <si>
    <t>ORD001640</t>
  </si>
  <si>
    <t>suresh257@email.com</t>
  </si>
  <si>
    <t>PRD2082</t>
  </si>
  <si>
    <t>ORD001641</t>
  </si>
  <si>
    <t>CUST8275</t>
  </si>
  <si>
    <t>suresh894@email.com</t>
  </si>
  <si>
    <t>PRD4459</t>
  </si>
  <si>
    <t>ORD001642</t>
  </si>
  <si>
    <t>CUST2887</t>
  </si>
  <si>
    <t>PRD1800</t>
  </si>
  <si>
    <t>ORD001643</t>
  </si>
  <si>
    <t>CUST9771</t>
  </si>
  <si>
    <t>divya599@email.com</t>
  </si>
  <si>
    <t>ORD001644</t>
  </si>
  <si>
    <t>CUST2739</t>
  </si>
  <si>
    <t>kavya310@email.com</t>
  </si>
  <si>
    <t>ORD001645</t>
  </si>
  <si>
    <t>CUST9365</t>
  </si>
  <si>
    <t>pooja312@email.com</t>
  </si>
  <si>
    <t>ORD001646</t>
  </si>
  <si>
    <t>CUST3429</t>
  </si>
  <si>
    <t>anita749@email.com</t>
  </si>
  <si>
    <t>PRD3783</t>
  </si>
  <si>
    <t>ORD001647</t>
  </si>
  <si>
    <t>CUST9255</t>
  </si>
  <si>
    <t>suresh58@email.com</t>
  </si>
  <si>
    <t>PRD1140</t>
  </si>
  <si>
    <t>ORD001648</t>
  </si>
  <si>
    <t>CUST4685</t>
  </si>
  <si>
    <t>sunita960@email.com</t>
  </si>
  <si>
    <t>PRD1767</t>
  </si>
  <si>
    <t>ORD001649</t>
  </si>
  <si>
    <t>CUST8586</t>
  </si>
  <si>
    <t>rekha662@email.com</t>
  </si>
  <si>
    <t>PRD2870</t>
  </si>
  <si>
    <t>ORD001650</t>
  </si>
  <si>
    <t>CUST2775</t>
  </si>
  <si>
    <t>ORD001651</t>
  </si>
  <si>
    <t>CUST6763</t>
  </si>
  <si>
    <t>divya515@email.com</t>
  </si>
  <si>
    <t>ORD001652</t>
  </si>
  <si>
    <t>CUST6096</t>
  </si>
  <si>
    <t>anita57@email.com</t>
  </si>
  <si>
    <t>PRD2457</t>
  </si>
  <si>
    <t>ORD001653</t>
  </si>
  <si>
    <t>CUST7641</t>
  </si>
  <si>
    <t>nisha790@email.com</t>
  </si>
  <si>
    <t>PRD1799</t>
  </si>
  <si>
    <t>ORD001654</t>
  </si>
  <si>
    <t>CUST5169</t>
  </si>
  <si>
    <t>suresh798@email.com</t>
  </si>
  <si>
    <t>PRD2421</t>
  </si>
  <si>
    <t>ORD001655</t>
  </si>
  <si>
    <t>pooja27@email.com</t>
  </si>
  <si>
    <t>ORD001656</t>
  </si>
  <si>
    <t>CUST4105</t>
  </si>
  <si>
    <t>suresh119@email.com</t>
  </si>
  <si>
    <t>ORD001657</t>
  </si>
  <si>
    <t>anita462@email.com</t>
  </si>
  <si>
    <t>PRD1658</t>
  </si>
  <si>
    <t>ORD001658</t>
  </si>
  <si>
    <t>CUST8691</t>
  </si>
  <si>
    <t>pooja236@email.com</t>
  </si>
  <si>
    <t>ORD001659</t>
  </si>
  <si>
    <t>CUST6169</t>
  </si>
  <si>
    <t>suresh527@email.com</t>
  </si>
  <si>
    <t>PRD4763</t>
  </si>
  <si>
    <t>ORD001660</t>
  </si>
  <si>
    <t>swati806@email.com</t>
  </si>
  <si>
    <t>ORD001661</t>
  </si>
  <si>
    <t>CUST2745</t>
  </si>
  <si>
    <t>manish177@email.com</t>
  </si>
  <si>
    <t>PRD2351</t>
  </si>
  <si>
    <t>ORD001662</t>
  </si>
  <si>
    <t>CUST9828</t>
  </si>
  <si>
    <t>ORD001663</t>
  </si>
  <si>
    <t>CUST8115</t>
  </si>
  <si>
    <t>rekha940@email.com</t>
  </si>
  <si>
    <t>2022-05-11</t>
  </si>
  <si>
    <t>PRD2239</t>
  </si>
  <si>
    <t>ORD001664</t>
  </si>
  <si>
    <t>CUST6365</t>
  </si>
  <si>
    <t>pooja547@email.com</t>
  </si>
  <si>
    <t>ORD001665</t>
  </si>
  <si>
    <t>CUST8736</t>
  </si>
  <si>
    <t>sunita384@email.com</t>
  </si>
  <si>
    <t>PRD3583</t>
  </si>
  <si>
    <t>ORD001666</t>
  </si>
  <si>
    <t>manish886@email.com</t>
  </si>
  <si>
    <t>ORD001667</t>
  </si>
  <si>
    <t>CUST9556</t>
  </si>
  <si>
    <t>vikram871@email.com</t>
  </si>
  <si>
    <t>PRD2297</t>
  </si>
  <si>
    <t>ORD001668</t>
  </si>
  <si>
    <t>CUST5256</t>
  </si>
  <si>
    <t>ORD001669</t>
  </si>
  <si>
    <t>CUST8612</t>
  </si>
  <si>
    <t>deepak996@email.com</t>
  </si>
  <si>
    <t>ORD001670</t>
  </si>
  <si>
    <t>swati443@email.com</t>
  </si>
  <si>
    <t>ORD001671</t>
  </si>
  <si>
    <t>CUST6220</t>
  </si>
  <si>
    <t>divya137@email.com</t>
  </si>
  <si>
    <t>PRD3997</t>
  </si>
  <si>
    <t>ORD001672</t>
  </si>
  <si>
    <t>CUST2659</t>
  </si>
  <si>
    <t>kavya479@email.com</t>
  </si>
  <si>
    <t>ORD001673</t>
  </si>
  <si>
    <t>CUST7684</t>
  </si>
  <si>
    <t>deepak257@email.com</t>
  </si>
  <si>
    <t>ORD001674</t>
  </si>
  <si>
    <t>CUST1184</t>
  </si>
  <si>
    <t>swati303@email.com</t>
  </si>
  <si>
    <t>PRD2698</t>
  </si>
  <si>
    <t>ORD001675</t>
  </si>
  <si>
    <t>CUST9455</t>
  </si>
  <si>
    <t>pooja359@email.com</t>
  </si>
  <si>
    <t>ORD001676</t>
  </si>
  <si>
    <t>CUST7912</t>
  </si>
  <si>
    <t>arjun282@email.com</t>
  </si>
  <si>
    <t>PRD2487</t>
  </si>
  <si>
    <t>ORD001677</t>
  </si>
  <si>
    <t>CUST4941</t>
  </si>
  <si>
    <t>amit295@email.com</t>
  </si>
  <si>
    <t>ORD001678</t>
  </si>
  <si>
    <t>CUST7222</t>
  </si>
  <si>
    <t>aditya565@email.com</t>
  </si>
  <si>
    <t>PRD1963</t>
  </si>
  <si>
    <t>ORD001679</t>
  </si>
  <si>
    <t>CUST2937</t>
  </si>
  <si>
    <t>pooja882@email.com</t>
  </si>
  <si>
    <t>ORD001680</t>
  </si>
  <si>
    <t>CUST5093</t>
  </si>
  <si>
    <t>sunita625@email.com</t>
  </si>
  <si>
    <t>PRD1217</t>
  </si>
  <si>
    <t>ORD001681</t>
  </si>
  <si>
    <t>CUST8052</t>
  </si>
  <si>
    <t>PRD3421</t>
  </si>
  <si>
    <t>ORD001682</t>
  </si>
  <si>
    <t>CUST2056</t>
  </si>
  <si>
    <t>PRD3597</t>
  </si>
  <si>
    <t>ORD001683</t>
  </si>
  <si>
    <t>CUST7753</t>
  </si>
  <si>
    <t>karan715@email.com</t>
  </si>
  <si>
    <t>ORD001684</t>
  </si>
  <si>
    <t>CUST7858</t>
  </si>
  <si>
    <t>kavya141@email.com</t>
  </si>
  <si>
    <t>PRD4996</t>
  </si>
  <si>
    <t>ORD001685</t>
  </si>
  <si>
    <t>CUST3752</t>
  </si>
  <si>
    <t>amit309@email.com</t>
  </si>
  <si>
    <t>ORD001686</t>
  </si>
  <si>
    <t>CUST9882</t>
  </si>
  <si>
    <t>divya751@email.com</t>
  </si>
  <si>
    <t>PRD3288</t>
  </si>
  <si>
    <t>ORD001687</t>
  </si>
  <si>
    <t>CUST4033</t>
  </si>
  <si>
    <t>priya31@email.com</t>
  </si>
  <si>
    <t>ORD001688</t>
  </si>
  <si>
    <t>CUST2202</t>
  </si>
  <si>
    <t>nisha217@email.com</t>
  </si>
  <si>
    <t>PRD1814</t>
  </si>
  <si>
    <t>ORD001689</t>
  </si>
  <si>
    <t>CUST2723</t>
  </si>
  <si>
    <t>swati896@email.com</t>
  </si>
  <si>
    <t>PRD2023</t>
  </si>
  <si>
    <t>ORD001690</t>
  </si>
  <si>
    <t>arjun284@email.com</t>
  </si>
  <si>
    <t>PRD4451</t>
  </si>
  <si>
    <t>ORD001691</t>
  </si>
  <si>
    <t>CUST5778</t>
  </si>
  <si>
    <t>vikram686@email.com</t>
  </si>
  <si>
    <t>PRD2392</t>
  </si>
  <si>
    <t>ORD001692</t>
  </si>
  <si>
    <t>CUST4806</t>
  </si>
  <si>
    <t>karan620@email.com</t>
  </si>
  <si>
    <t>ORD001693</t>
  </si>
  <si>
    <t>CUST2548</t>
  </si>
  <si>
    <t>divya431@email.com</t>
  </si>
  <si>
    <t>PRD4653</t>
  </si>
  <si>
    <t>ORD001694</t>
  </si>
  <si>
    <t>CUST1150</t>
  </si>
  <si>
    <t>anita442@email.com</t>
  </si>
  <si>
    <t>2024-12-11</t>
  </si>
  <si>
    <t>PRD4694</t>
  </si>
  <si>
    <t>ORD001695</t>
  </si>
  <si>
    <t>CUST6316</t>
  </si>
  <si>
    <t>aditya754@email.com</t>
  </si>
  <si>
    <t>ORD001696</t>
  </si>
  <si>
    <t>CUST6068</t>
  </si>
  <si>
    <t>amit207@email.com</t>
  </si>
  <si>
    <t>2023-01-11</t>
  </si>
  <si>
    <t>PRD2113</t>
  </si>
  <si>
    <t>ORD001697</t>
  </si>
  <si>
    <t>CUST7685</t>
  </si>
  <si>
    <t>kavya872@email.com</t>
  </si>
  <si>
    <t>PRD1272</t>
  </si>
  <si>
    <t>ORD001698</t>
  </si>
  <si>
    <t>CUST6080</t>
  </si>
  <si>
    <t>rahul862@email.com</t>
  </si>
  <si>
    <t>PRD4349</t>
  </si>
  <si>
    <t>ORD001699</t>
  </si>
  <si>
    <t>CUST8767</t>
  </si>
  <si>
    <t>nisha612@email.com</t>
  </si>
  <si>
    <t>PRD1918</t>
  </si>
  <si>
    <t>ORD001700</t>
  </si>
  <si>
    <t>CUST8973</t>
  </si>
  <si>
    <t>rekha598@email.com</t>
  </si>
  <si>
    <t>PRD4932</t>
  </si>
  <si>
    <t>ORD001701</t>
  </si>
  <si>
    <t>CUST8498</t>
  </si>
  <si>
    <t>sunita608@email.com</t>
  </si>
  <si>
    <t>PRD3240</t>
  </si>
  <si>
    <t>ORD001702</t>
  </si>
  <si>
    <t>CUST8811</t>
  </si>
  <si>
    <t>pooja695@email.com</t>
  </si>
  <si>
    <t>PRD3093</t>
  </si>
  <si>
    <t>ORD001703</t>
  </si>
  <si>
    <t>rekha383@email.com</t>
  </si>
  <si>
    <t>PRD3450</t>
  </si>
  <si>
    <t>ORD001704</t>
  </si>
  <si>
    <t>CUST3737</t>
  </si>
  <si>
    <t>PRD1557</t>
  </si>
  <si>
    <t>ORD001705</t>
  </si>
  <si>
    <t>CUST8857</t>
  </si>
  <si>
    <t>rekha202@email.com</t>
  </si>
  <si>
    <t>PRD1548</t>
  </si>
  <si>
    <t>ORD001706</t>
  </si>
  <si>
    <t>CUST4479</t>
  </si>
  <si>
    <t>rahul847@email.com</t>
  </si>
  <si>
    <t>PRD2989</t>
  </si>
  <si>
    <t>ORD001707</t>
  </si>
  <si>
    <t>CUST7081</t>
  </si>
  <si>
    <t>meena999@email.com</t>
  </si>
  <si>
    <t>ORD001708</t>
  </si>
  <si>
    <t>CUST1444</t>
  </si>
  <si>
    <t>kavya562@email.com</t>
  </si>
  <si>
    <t>ORD001709</t>
  </si>
  <si>
    <t>CUST1259</t>
  </si>
  <si>
    <t>priya4@email.com</t>
  </si>
  <si>
    <t>PRD3902</t>
  </si>
  <si>
    <t>ORD001710</t>
  </si>
  <si>
    <t>CUST7375</t>
  </si>
  <si>
    <t>vikram724@email.com</t>
  </si>
  <si>
    <t>PRD4836</t>
  </si>
  <si>
    <t>ORD001711</t>
  </si>
  <si>
    <t>CUST8040</t>
  </si>
  <si>
    <t>deepak719@email.com</t>
  </si>
  <si>
    <t>ORD001712</t>
  </si>
  <si>
    <t>karan147@email.com</t>
  </si>
  <si>
    <t>PRD3826</t>
  </si>
  <si>
    <t>ORD001713</t>
  </si>
  <si>
    <t>CUST1979</t>
  </si>
  <si>
    <t>meena960@email.com</t>
  </si>
  <si>
    <t>PRD2688</t>
  </si>
  <si>
    <t>ORD001714</t>
  </si>
  <si>
    <t>CUST3470</t>
  </si>
  <si>
    <t>PRD3619</t>
  </si>
  <si>
    <t>ORD001715</t>
  </si>
  <si>
    <t>CUST4468</t>
  </si>
  <si>
    <t>meena927@email.com</t>
  </si>
  <si>
    <t>ORD001716</t>
  </si>
  <si>
    <t>CUST1887</t>
  </si>
  <si>
    <t>divya35@email.com</t>
  </si>
  <si>
    <t>ORD001717</t>
  </si>
  <si>
    <t>CUST2074</t>
  </si>
  <si>
    <t>rohit496@email.com</t>
  </si>
  <si>
    <t>ORD001718</t>
  </si>
  <si>
    <t>anita282@email.com</t>
  </si>
  <si>
    <t>PRD2211</t>
  </si>
  <si>
    <t>ORD001719</t>
  </si>
  <si>
    <t>deepak844@email.com</t>
  </si>
  <si>
    <t>PRD1177</t>
  </si>
  <si>
    <t>ORD001720</t>
  </si>
  <si>
    <t>CUST2931</t>
  </si>
  <si>
    <t>sunita333@email.com</t>
  </si>
  <si>
    <t>PRD3695</t>
  </si>
  <si>
    <t>ORD001721</t>
  </si>
  <si>
    <t>CUST3843</t>
  </si>
  <si>
    <t>anita884@email.com</t>
  </si>
  <si>
    <t>PRD2125</t>
  </si>
  <si>
    <t>ORD001722</t>
  </si>
  <si>
    <t>deepak144@email.com</t>
  </si>
  <si>
    <t>ORD001723</t>
  </si>
  <si>
    <t>CUST9387</t>
  </si>
  <si>
    <t>sunita381@email.com</t>
  </si>
  <si>
    <t>PRD4032</t>
  </si>
  <si>
    <t>ORD001724</t>
  </si>
  <si>
    <t>CUST6177</t>
  </si>
  <si>
    <t>manish24@email.com</t>
  </si>
  <si>
    <t>ORD001725</t>
  </si>
  <si>
    <t>CUST3778</t>
  </si>
  <si>
    <t>priya661@email.com</t>
  </si>
  <si>
    <t>PRD3782</t>
  </si>
  <si>
    <t>ORD001726</t>
  </si>
  <si>
    <t>CUST3884</t>
  </si>
  <si>
    <t>pooja485@email.com</t>
  </si>
  <si>
    <t>PRD4389</t>
  </si>
  <si>
    <t>ORD001727</t>
  </si>
  <si>
    <t>CUST3415</t>
  </si>
  <si>
    <t>anita492@email.com</t>
  </si>
  <si>
    <t>PRD4030</t>
  </si>
  <si>
    <t>ORD001728</t>
  </si>
  <si>
    <t>CUST7709</t>
  </si>
  <si>
    <t>manish728@email.com</t>
  </si>
  <si>
    <t>ORD001729</t>
  </si>
  <si>
    <t>CUST5378</t>
  </si>
  <si>
    <t>anita729@email.com</t>
  </si>
  <si>
    <t>PRD1347</t>
  </si>
  <si>
    <t>ORD001730</t>
  </si>
  <si>
    <t>CUST9647</t>
  </si>
  <si>
    <t>ORD001731</t>
  </si>
  <si>
    <t>CUST3229</t>
  </si>
  <si>
    <t>pooja707@email.com</t>
  </si>
  <si>
    <t>ORD001732</t>
  </si>
  <si>
    <t>CUST8094</t>
  </si>
  <si>
    <t>pooja759@email.com</t>
  </si>
  <si>
    <t>ORD001733</t>
  </si>
  <si>
    <t>CUST8284</t>
  </si>
  <si>
    <t>aditya901@email.com</t>
  </si>
  <si>
    <t>ORD001734</t>
  </si>
  <si>
    <t>CUST5091</t>
  </si>
  <si>
    <t>ORD001735</t>
  </si>
  <si>
    <t>swati455@email.com</t>
  </si>
  <si>
    <t>PRD4722</t>
  </si>
  <si>
    <t>ORD001736</t>
  </si>
  <si>
    <t>nisha738@email.com</t>
  </si>
  <si>
    <t>PRD2627</t>
  </si>
  <si>
    <t>ORD001737</t>
  </si>
  <si>
    <t>CUST8304</t>
  </si>
  <si>
    <t>deepak685@email.com</t>
  </si>
  <si>
    <t>PRD4748</t>
  </si>
  <si>
    <t>ORD001738</t>
  </si>
  <si>
    <t>aditya635@email.com</t>
  </si>
  <si>
    <t>ORD001739</t>
  </si>
  <si>
    <t>CUST1232</t>
  </si>
  <si>
    <t>suresh18@email.com</t>
  </si>
  <si>
    <t>PRD2043</t>
  </si>
  <si>
    <t>ORD001740</t>
  </si>
  <si>
    <t>deepak33@email.com</t>
  </si>
  <si>
    <t>PRD3607</t>
  </si>
  <si>
    <t>ORD001741</t>
  </si>
  <si>
    <t>CUST1897</t>
  </si>
  <si>
    <t>karan123@email.com</t>
  </si>
  <si>
    <t>PRD3212</t>
  </si>
  <si>
    <t>ORD001742</t>
  </si>
  <si>
    <t>CUST5220</t>
  </si>
  <si>
    <t>vikram134@email.com</t>
  </si>
  <si>
    <t>PRD2568</t>
  </si>
  <si>
    <t>ORD001743</t>
  </si>
  <si>
    <t>CUST5703</t>
  </si>
  <si>
    <t>priya867@email.com</t>
  </si>
  <si>
    <t>PRD1956</t>
  </si>
  <si>
    <t>ORD001744</t>
  </si>
  <si>
    <t>manish376@email.com</t>
  </si>
  <si>
    <t>PRD2819</t>
  </si>
  <si>
    <t>ORD001745</t>
  </si>
  <si>
    <t>CUST8505</t>
  </si>
  <si>
    <t>swati419@email.com</t>
  </si>
  <si>
    <t>ORD001746</t>
  </si>
  <si>
    <t>aditya738@email.com</t>
  </si>
  <si>
    <t>PRD2968</t>
  </si>
  <si>
    <t>ORD001747</t>
  </si>
  <si>
    <t>CUST1646</t>
  </si>
  <si>
    <t>rohit14@email.com</t>
  </si>
  <si>
    <t>PRD3465</t>
  </si>
  <si>
    <t>ORD001748</t>
  </si>
  <si>
    <t>CUST3883</t>
  </si>
  <si>
    <t>vikram831@email.com</t>
  </si>
  <si>
    <t>ORD001749</t>
  </si>
  <si>
    <t>pooja153@email.com</t>
  </si>
  <si>
    <t>PRD3008</t>
  </si>
  <si>
    <t>ORD001750</t>
  </si>
  <si>
    <t>CUST9996</t>
  </si>
  <si>
    <t>nisha794@email.com</t>
  </si>
  <si>
    <t>ORD001751</t>
  </si>
  <si>
    <t>CUST9898</t>
  </si>
  <si>
    <t>amit154@email.com</t>
  </si>
  <si>
    <t>PRD2463</t>
  </si>
  <si>
    <t>ORD001752</t>
  </si>
  <si>
    <t>kavya60@email.com</t>
  </si>
  <si>
    <t>ORD001753</t>
  </si>
  <si>
    <t>CUST8723</t>
  </si>
  <si>
    <t>vikram465@email.com</t>
  </si>
  <si>
    <t>PRD4441</t>
  </si>
  <si>
    <t>ORD001754</t>
  </si>
  <si>
    <t>CUST3446</t>
  </si>
  <si>
    <t>nisha807@email.com</t>
  </si>
  <si>
    <t>PRD3503</t>
  </si>
  <si>
    <t>ORD001755</t>
  </si>
  <si>
    <t>CUST8104</t>
  </si>
  <si>
    <t>amit856@email.com</t>
  </si>
  <si>
    <t>PRD4268</t>
  </si>
  <si>
    <t>ORD001756</t>
  </si>
  <si>
    <t>CUST6529</t>
  </si>
  <si>
    <t>swati14@email.com</t>
  </si>
  <si>
    <t>PRD2339</t>
  </si>
  <si>
    <t>ORD001757</t>
  </si>
  <si>
    <t>CUST7715</t>
  </si>
  <si>
    <t>aditya810@email.com</t>
  </si>
  <si>
    <t>PRD2536</t>
  </si>
  <si>
    <t>ORD001758</t>
  </si>
  <si>
    <t>CUST4760</t>
  </si>
  <si>
    <t>priya14@email.com</t>
  </si>
  <si>
    <t>PRD2608</t>
  </si>
  <si>
    <t>ORD001759</t>
  </si>
  <si>
    <t>CUST9792</t>
  </si>
  <si>
    <t>aditya834@email.com</t>
  </si>
  <si>
    <t>PRD2307</t>
  </si>
  <si>
    <t>ORD001760</t>
  </si>
  <si>
    <t>vikram970@email.com</t>
  </si>
  <si>
    <t>PRD2641</t>
  </si>
  <si>
    <t>ORD001761</t>
  </si>
  <si>
    <t>CUST3125</t>
  </si>
  <si>
    <t>pooja148@email.com</t>
  </si>
  <si>
    <t>ORD001762</t>
  </si>
  <si>
    <t>amit400@email.com</t>
  </si>
  <si>
    <t>PRD3531</t>
  </si>
  <si>
    <t>ORD001763</t>
  </si>
  <si>
    <t>aditya96@email.com</t>
  </si>
  <si>
    <t>PRD4984</t>
  </si>
  <si>
    <t>ORD001764</t>
  </si>
  <si>
    <t>CUST2529</t>
  </si>
  <si>
    <t>karan158@email.com</t>
  </si>
  <si>
    <t>PRD3413</t>
  </si>
  <si>
    <t>ORD001765</t>
  </si>
  <si>
    <t>CUST5422</t>
  </si>
  <si>
    <t>arjun749@email.com</t>
  </si>
  <si>
    <t>PRD4048</t>
  </si>
  <si>
    <t>ORD001766</t>
  </si>
  <si>
    <t>aditya371@email.com</t>
  </si>
  <si>
    <t>PRD2955</t>
  </si>
  <si>
    <t>ORD001767</t>
  </si>
  <si>
    <t>CUST9524</t>
  </si>
  <si>
    <t>rahul497@email.com</t>
  </si>
  <si>
    <t>PRD3942</t>
  </si>
  <si>
    <t>ORD001768</t>
  </si>
  <si>
    <t>karan787@email.com</t>
  </si>
  <si>
    <t>PRD2498</t>
  </si>
  <si>
    <t>ORD001769</t>
  </si>
  <si>
    <t>anita775@email.com</t>
  </si>
  <si>
    <t>PRD4198</t>
  </si>
  <si>
    <t>ORD001770</t>
  </si>
  <si>
    <t>CUST6810</t>
  </si>
  <si>
    <t>deepak703@email.com</t>
  </si>
  <si>
    <t>PRD1569</t>
  </si>
  <si>
    <t>ORD001771</t>
  </si>
  <si>
    <t>CUST2538</t>
  </si>
  <si>
    <t>ORD001772</t>
  </si>
  <si>
    <t>CUST6441</t>
  </si>
  <si>
    <t>PRD2215</t>
  </si>
  <si>
    <t>ORD001773</t>
  </si>
  <si>
    <t>CUST3064</t>
  </si>
  <si>
    <t>arjun949@email.com</t>
  </si>
  <si>
    <t>ORD001774</t>
  </si>
  <si>
    <t>CUST2035</t>
  </si>
  <si>
    <t>anita569@email.com</t>
  </si>
  <si>
    <t>PRD1998</t>
  </si>
  <si>
    <t>ORD001775</t>
  </si>
  <si>
    <t>CUST3336</t>
  </si>
  <si>
    <t>suresh431@email.com</t>
  </si>
  <si>
    <t>ORD001776</t>
  </si>
  <si>
    <t>CUST9697</t>
  </si>
  <si>
    <t>sunita152@email.com</t>
  </si>
  <si>
    <t>ORD001777</t>
  </si>
  <si>
    <t>CUST1645</t>
  </si>
  <si>
    <t>suresh558@email.com</t>
  </si>
  <si>
    <t>ORD001778</t>
  </si>
  <si>
    <t>CUST9581</t>
  </si>
  <si>
    <t>swati278@email.com</t>
  </si>
  <si>
    <t>PRD1754</t>
  </si>
  <si>
    <t>ORD001779</t>
  </si>
  <si>
    <t>CUST8173</t>
  </si>
  <si>
    <t>sunita153@email.com</t>
  </si>
  <si>
    <t>PRD1995</t>
  </si>
  <si>
    <t>ORD001780</t>
  </si>
  <si>
    <t>CUST9649</t>
  </si>
  <si>
    <t>vikram129@email.com</t>
  </si>
  <si>
    <t>PRD1603</t>
  </si>
  <si>
    <t>ORD001781</t>
  </si>
  <si>
    <t>CUST9214</t>
  </si>
  <si>
    <t>divya747@email.com</t>
  </si>
  <si>
    <t>PRD3074</t>
  </si>
  <si>
    <t>ORD001782</t>
  </si>
  <si>
    <t>CUST8784</t>
  </si>
  <si>
    <t>anita447@email.com</t>
  </si>
  <si>
    <t>PRD2655</t>
  </si>
  <si>
    <t>ORD001783</t>
  </si>
  <si>
    <t>CUST2067</t>
  </si>
  <si>
    <t>rekha276@email.com</t>
  </si>
  <si>
    <t>PRD1232</t>
  </si>
  <si>
    <t>ORD001784</t>
  </si>
  <si>
    <t>CUST9911</t>
  </si>
  <si>
    <t>sunita214@email.com</t>
  </si>
  <si>
    <t>PRD3738</t>
  </si>
  <si>
    <t>ORD001785</t>
  </si>
  <si>
    <t>sunita853@email.com</t>
  </si>
  <si>
    <t>ORD001786</t>
  </si>
  <si>
    <t>CUST5867</t>
  </si>
  <si>
    <t>anita314@email.com</t>
  </si>
  <si>
    <t>PRD3209</t>
  </si>
  <si>
    <t>ORD001787</t>
  </si>
  <si>
    <t>CUST6282</t>
  </si>
  <si>
    <t>PRD2310</t>
  </si>
  <si>
    <t>ORD001788</t>
  </si>
  <si>
    <t>CUST8249</t>
  </si>
  <si>
    <t>2023-06-30</t>
  </si>
  <si>
    <t>PRD1117</t>
  </si>
  <si>
    <t>ORD001789</t>
  </si>
  <si>
    <t>CUST8226</t>
  </si>
  <si>
    <t>vikram920@email.com</t>
  </si>
  <si>
    <t>ORD001790</t>
  </si>
  <si>
    <t>CUST7543</t>
  </si>
  <si>
    <t>kavya190@email.com</t>
  </si>
  <si>
    <t>PRD4906</t>
  </si>
  <si>
    <t>ORD001791</t>
  </si>
  <si>
    <t>CUST5598</t>
  </si>
  <si>
    <t>kavya358@email.com</t>
  </si>
  <si>
    <t>ORD001792</t>
  </si>
  <si>
    <t>CUST3133</t>
  </si>
  <si>
    <t>divya27@email.com</t>
  </si>
  <si>
    <t>PRD4361</t>
  </si>
  <si>
    <t>ORD001793</t>
  </si>
  <si>
    <t>pooja88@email.com</t>
  </si>
  <si>
    <t>ORD001794</t>
  </si>
  <si>
    <t>CUST2603</t>
  </si>
  <si>
    <t>PRD2538</t>
  </si>
  <si>
    <t>ORD001795</t>
  </si>
  <si>
    <t>CUST4723</t>
  </si>
  <si>
    <t>suresh469@email.com</t>
  </si>
  <si>
    <t>ORD001796</t>
  </si>
  <si>
    <t>CUST7063</t>
  </si>
  <si>
    <t>suresh843@email.com</t>
  </si>
  <si>
    <t>PRD4874</t>
  </si>
  <si>
    <t>ORD001797</t>
  </si>
  <si>
    <t>CUST5502</t>
  </si>
  <si>
    <t>ORD001798</t>
  </si>
  <si>
    <t>CUST6552</t>
  </si>
  <si>
    <t>PRD1792</t>
  </si>
  <si>
    <t>ORD001799</t>
  </si>
  <si>
    <t>CUST6556</t>
  </si>
  <si>
    <t>pooja885@email.com</t>
  </si>
  <si>
    <t>ORD001800</t>
  </si>
  <si>
    <t>CUST9144</t>
  </si>
  <si>
    <t>rekha542@email.com</t>
  </si>
  <si>
    <t>PRD3291</t>
  </si>
  <si>
    <t>ORD001801</t>
  </si>
  <si>
    <t>CUST4588</t>
  </si>
  <si>
    <t>rohit209@email.com</t>
  </si>
  <si>
    <t>PRD4041</t>
  </si>
  <si>
    <t>ORD001802</t>
  </si>
  <si>
    <t>CUST2732</t>
  </si>
  <si>
    <t>nisha841@email.com</t>
  </si>
  <si>
    <t>PRD4454</t>
  </si>
  <si>
    <t>ORD001803</t>
  </si>
  <si>
    <t>vikram766@email.com</t>
  </si>
  <si>
    <t>PRD4316</t>
  </si>
  <si>
    <t>ORD001804</t>
  </si>
  <si>
    <t>CUST9066</t>
  </si>
  <si>
    <t>deepak900@email.com</t>
  </si>
  <si>
    <t>PRD2737</t>
  </si>
  <si>
    <t>ORD001805</t>
  </si>
  <si>
    <t>PRD1858</t>
  </si>
  <si>
    <t>ORD001806</t>
  </si>
  <si>
    <t>CUST9076</t>
  </si>
  <si>
    <t>PRD3497</t>
  </si>
  <si>
    <t>ORD001807</t>
  </si>
  <si>
    <t>CUST6953</t>
  </si>
  <si>
    <t>priya394@email.com</t>
  </si>
  <si>
    <t>PRD4507</t>
  </si>
  <si>
    <t>ORD001808</t>
  </si>
  <si>
    <t>CUST4453</t>
  </si>
  <si>
    <t>arjun728@email.com</t>
  </si>
  <si>
    <t>PRD2424</t>
  </si>
  <si>
    <t>ORD001809</t>
  </si>
  <si>
    <t>CUST9914</t>
  </si>
  <si>
    <t>deepak667@email.com</t>
  </si>
  <si>
    <t>ORD001810</t>
  </si>
  <si>
    <t>rekha994@email.com</t>
  </si>
  <si>
    <t>PRD2344</t>
  </si>
  <si>
    <t>ORD001811</t>
  </si>
  <si>
    <t>CUST9089</t>
  </si>
  <si>
    <t>arjun501@email.com</t>
  </si>
  <si>
    <t>PRD1947</t>
  </si>
  <si>
    <t>ORD001812</t>
  </si>
  <si>
    <t>CUST5405</t>
  </si>
  <si>
    <t>arjun131@email.com</t>
  </si>
  <si>
    <t>PRD1308</t>
  </si>
  <si>
    <t>ORD001813</t>
  </si>
  <si>
    <t>CUST6133</t>
  </si>
  <si>
    <t>anita673@email.com</t>
  </si>
  <si>
    <t>ORD001814</t>
  </si>
  <si>
    <t>CUST1138</t>
  </si>
  <si>
    <t>meena704@email.com</t>
  </si>
  <si>
    <t>PRD2732</t>
  </si>
  <si>
    <t>ORD001815</t>
  </si>
  <si>
    <t>CUST1398</t>
  </si>
  <si>
    <t>pooja834@email.com</t>
  </si>
  <si>
    <t>ORD001816</t>
  </si>
  <si>
    <t>CUST3679</t>
  </si>
  <si>
    <t>kavya844@email.com</t>
  </si>
  <si>
    <t>PRD2739</t>
  </si>
  <si>
    <t>ORD001817</t>
  </si>
  <si>
    <t>CUST3696</t>
  </si>
  <si>
    <t>sunita652@email.com</t>
  </si>
  <si>
    <t>ORD001818</t>
  </si>
  <si>
    <t>CUST1064</t>
  </si>
  <si>
    <t>deepak542@email.com</t>
  </si>
  <si>
    <t>PRD1706</t>
  </si>
  <si>
    <t>ORD001819</t>
  </si>
  <si>
    <t>CUST9350</t>
  </si>
  <si>
    <t>vikram274@email.com</t>
  </si>
  <si>
    <t>ORD001820</t>
  </si>
  <si>
    <t>priya117@email.com</t>
  </si>
  <si>
    <t>ORD001821</t>
  </si>
  <si>
    <t>CUST1045</t>
  </si>
  <si>
    <t>nisha752@email.com</t>
  </si>
  <si>
    <t>PRD3926</t>
  </si>
  <si>
    <t>ORD001822</t>
  </si>
  <si>
    <t>CUST7370</t>
  </si>
  <si>
    <t>rahul996@email.com</t>
  </si>
  <si>
    <t>ORD001823</t>
  </si>
  <si>
    <t>CUST9765</t>
  </si>
  <si>
    <t>kavya613@email.com</t>
  </si>
  <si>
    <t>PRD4484</t>
  </si>
  <si>
    <t>ORD001824</t>
  </si>
  <si>
    <t>CUST1707</t>
  </si>
  <si>
    <t>pooja369@email.com</t>
  </si>
  <si>
    <t>PRD4334</t>
  </si>
  <si>
    <t>ORD001825</t>
  </si>
  <si>
    <t>arjun395@email.com</t>
  </si>
  <si>
    <t>PRD2379</t>
  </si>
  <si>
    <t>ORD001826</t>
  </si>
  <si>
    <t>CUST3929</t>
  </si>
  <si>
    <t>anita728@email.com</t>
  </si>
  <si>
    <t>PRD1505</t>
  </si>
  <si>
    <t>ORD001827</t>
  </si>
  <si>
    <t>CUST4555</t>
  </si>
  <si>
    <t>swati470@email.com</t>
  </si>
  <si>
    <t>ORD001828</t>
  </si>
  <si>
    <t>CUST9608</t>
  </si>
  <si>
    <t>sunita725@email.com</t>
  </si>
  <si>
    <t>ORD001829</t>
  </si>
  <si>
    <t>CUST6192</t>
  </si>
  <si>
    <t>swati506@email.com</t>
  </si>
  <si>
    <t>PRD4382</t>
  </si>
  <si>
    <t>ORD001830</t>
  </si>
  <si>
    <t>karan552@email.com</t>
  </si>
  <si>
    <t>PRD3684</t>
  </si>
  <si>
    <t>ORD001831</t>
  </si>
  <si>
    <t>CUST2210</t>
  </si>
  <si>
    <t>PRD2807</t>
  </si>
  <si>
    <t>ORD001832</t>
  </si>
  <si>
    <t>CUST3436</t>
  </si>
  <si>
    <t>manish673@email.com</t>
  </si>
  <si>
    <t>ORD001833</t>
  </si>
  <si>
    <t>CUST2634</t>
  </si>
  <si>
    <t>aditya875@email.com</t>
  </si>
  <si>
    <t>PRD3878</t>
  </si>
  <si>
    <t>ORD001834</t>
  </si>
  <si>
    <t>CUST4097</t>
  </si>
  <si>
    <t>kavya256@email.com</t>
  </si>
  <si>
    <t>ORD001835</t>
  </si>
  <si>
    <t>arjun922@email.com</t>
  </si>
  <si>
    <t>PRD3516</t>
  </si>
  <si>
    <t>ORD001836</t>
  </si>
  <si>
    <t>vikram738@email.com</t>
  </si>
  <si>
    <t>ORD001837</t>
  </si>
  <si>
    <t>CUST3139</t>
  </si>
  <si>
    <t>PRD4474</t>
  </si>
  <si>
    <t>ORD001838</t>
  </si>
  <si>
    <t>CUST5533</t>
  </si>
  <si>
    <t>pooja760@email.com</t>
  </si>
  <si>
    <t>PRD2915</t>
  </si>
  <si>
    <t>ORD001839</t>
  </si>
  <si>
    <t>CUST3084</t>
  </si>
  <si>
    <t>rekha20@email.com</t>
  </si>
  <si>
    <t>PRD3197</t>
  </si>
  <si>
    <t>ORD001840</t>
  </si>
  <si>
    <t>CUST1685</t>
  </si>
  <si>
    <t>rahul72@email.com</t>
  </si>
  <si>
    <t>PRD3930</t>
  </si>
  <si>
    <t>ORD001841</t>
  </si>
  <si>
    <t>CUST9613</t>
  </si>
  <si>
    <t>ORD001842</t>
  </si>
  <si>
    <t>CUST7438</t>
  </si>
  <si>
    <t>anita35@email.com</t>
  </si>
  <si>
    <t>PRD1151</t>
  </si>
  <si>
    <t>ORD001843</t>
  </si>
  <si>
    <t>CUST6510</t>
  </si>
  <si>
    <t>divya709@email.com</t>
  </si>
  <si>
    <t>PRD4688</t>
  </si>
  <si>
    <t>ORD001844</t>
  </si>
  <si>
    <t>CUST2954</t>
  </si>
  <si>
    <t>meena629@email.com</t>
  </si>
  <si>
    <t>ORD001845</t>
  </si>
  <si>
    <t>pooja132@email.com</t>
  </si>
  <si>
    <t>PRD4320</t>
  </si>
  <si>
    <t>ORD001846</t>
  </si>
  <si>
    <t>CUST8230</t>
  </si>
  <si>
    <t>manish765@email.com</t>
  </si>
  <si>
    <t>PRD2079</t>
  </si>
  <si>
    <t>ORD001847</t>
  </si>
  <si>
    <t>CUST2765</t>
  </si>
  <si>
    <t>rahul948@email.com</t>
  </si>
  <si>
    <t>ORD001848</t>
  </si>
  <si>
    <t>CUST1407</t>
  </si>
  <si>
    <t>amit648@email.com</t>
  </si>
  <si>
    <t>ORD001849</t>
  </si>
  <si>
    <t>CUST2964</t>
  </si>
  <si>
    <t>priya145@email.com</t>
  </si>
  <si>
    <t>PRD1034</t>
  </si>
  <si>
    <t>ORD001850</t>
  </si>
  <si>
    <t>PRD4540</t>
  </si>
  <si>
    <t>ORD001851</t>
  </si>
  <si>
    <t>CUST3705</t>
  </si>
  <si>
    <t>meena840@email.com</t>
  </si>
  <si>
    <t>ORD001852</t>
  </si>
  <si>
    <t>CUST7822</t>
  </si>
  <si>
    <t>swati300@email.com</t>
  </si>
  <si>
    <t>PRD1584</t>
  </si>
  <si>
    <t>ORD001853</t>
  </si>
  <si>
    <t>CUST4897</t>
  </si>
  <si>
    <t>manish270@email.com</t>
  </si>
  <si>
    <t>PRD2116</t>
  </si>
  <si>
    <t>ORD001854</t>
  </si>
  <si>
    <t>CUST5901</t>
  </si>
  <si>
    <t>aditya342@email.com</t>
  </si>
  <si>
    <t>ORD001855</t>
  </si>
  <si>
    <t>CUST9982</t>
  </si>
  <si>
    <t>suresh789@email.com</t>
  </si>
  <si>
    <t>PRD3873</t>
  </si>
  <si>
    <t>ORD001856</t>
  </si>
  <si>
    <t>CUST6894</t>
  </si>
  <si>
    <t>kavya106@email.com</t>
  </si>
  <si>
    <t>PRD2954</t>
  </si>
  <si>
    <t>ORD001857</t>
  </si>
  <si>
    <t>PRD3290</t>
  </si>
  <si>
    <t>ORD001858</t>
  </si>
  <si>
    <t>CUST3630</t>
  </si>
  <si>
    <t>suresh436@email.com</t>
  </si>
  <si>
    <t>PRD2169</t>
  </si>
  <si>
    <t>ORD001859</t>
  </si>
  <si>
    <t>CUST9995</t>
  </si>
  <si>
    <t>rohit678@email.com</t>
  </si>
  <si>
    <t>ORD001860</t>
  </si>
  <si>
    <t>CUST8951</t>
  </si>
  <si>
    <t>rahul186@email.com</t>
  </si>
  <si>
    <t>ORD001861</t>
  </si>
  <si>
    <t>CUST1736</t>
  </si>
  <si>
    <t>kavya261@email.com</t>
  </si>
  <si>
    <t>ORD001862</t>
  </si>
  <si>
    <t>CUST5101</t>
  </si>
  <si>
    <t>swati977@email.com</t>
  </si>
  <si>
    <t>PRD3806</t>
  </si>
  <si>
    <t>ORD001863</t>
  </si>
  <si>
    <t>CUST8913</t>
  </si>
  <si>
    <t>pooja397@email.com</t>
  </si>
  <si>
    <t>PRD3655</t>
  </si>
  <si>
    <t>ORD001864</t>
  </si>
  <si>
    <t>CUST4262</t>
  </si>
  <si>
    <t>nisha720@email.com</t>
  </si>
  <si>
    <t>PRD3313</t>
  </si>
  <si>
    <t>ORD001865</t>
  </si>
  <si>
    <t>CUST7907</t>
  </si>
  <si>
    <t>PRD3286</t>
  </si>
  <si>
    <t>ORD001866</t>
  </si>
  <si>
    <t>CUST4244</t>
  </si>
  <si>
    <t>ORD001867</t>
  </si>
  <si>
    <t>CUST6490</t>
  </si>
  <si>
    <t>ORD001868</t>
  </si>
  <si>
    <t>CUST7727</t>
  </si>
  <si>
    <t>divya132@email.com</t>
  </si>
  <si>
    <t>ORD001869</t>
  </si>
  <si>
    <t>CUST2684</t>
  </si>
  <si>
    <t>deepak124@email.com</t>
  </si>
  <si>
    <t>PRD1002</t>
  </si>
  <si>
    <t>ORD001870</t>
  </si>
  <si>
    <t>CUST9690</t>
  </si>
  <si>
    <t>priya370@email.com</t>
  </si>
  <si>
    <t>ORD001871</t>
  </si>
  <si>
    <t>CUST8562</t>
  </si>
  <si>
    <t>rahul108@email.com</t>
  </si>
  <si>
    <t>PRD4084</t>
  </si>
  <si>
    <t>ORD001872</t>
  </si>
  <si>
    <t>CUST2068</t>
  </si>
  <si>
    <t>pooja780@email.com</t>
  </si>
  <si>
    <t>ORD001873</t>
  </si>
  <si>
    <t>arjun345@email.com</t>
  </si>
  <si>
    <t>PRD4649</t>
  </si>
  <si>
    <t>ORD001874</t>
  </si>
  <si>
    <t>rahul321@email.com</t>
  </si>
  <si>
    <t>PRD4542</t>
  </si>
  <si>
    <t>ORD001875</t>
  </si>
  <si>
    <t>CUST2094</t>
  </si>
  <si>
    <t>PRD2565</t>
  </si>
  <si>
    <t>ORD001876</t>
  </si>
  <si>
    <t>CUST3235</t>
  </si>
  <si>
    <t>suresh361@email.com</t>
  </si>
  <si>
    <t>PRD3868</t>
  </si>
  <si>
    <t>ORD001877</t>
  </si>
  <si>
    <t>CUST3328</t>
  </si>
  <si>
    <t>aditya327@email.com</t>
  </si>
  <si>
    <t>PRD3006</t>
  </si>
  <si>
    <t>ORD001878</t>
  </si>
  <si>
    <t>karan656@email.com</t>
  </si>
  <si>
    <t>ORD001879</t>
  </si>
  <si>
    <t>CUST8880</t>
  </si>
  <si>
    <t>rahul328@email.com</t>
  </si>
  <si>
    <t>PRD2700</t>
  </si>
  <si>
    <t>ORD001880</t>
  </si>
  <si>
    <t>CUST1187</t>
  </si>
  <si>
    <t>rohit356@email.com</t>
  </si>
  <si>
    <t>PRD4013</t>
  </si>
  <si>
    <t>ORD001881</t>
  </si>
  <si>
    <t>CUST7468</t>
  </si>
  <si>
    <t>kavya846@email.com</t>
  </si>
  <si>
    <t>PRD4655</t>
  </si>
  <si>
    <t>ORD001882</t>
  </si>
  <si>
    <t>CUST5617</t>
  </si>
  <si>
    <t>divya676@email.com</t>
  </si>
  <si>
    <t>ORD001883</t>
  </si>
  <si>
    <t>CUST2219</t>
  </si>
  <si>
    <t>sunita149@email.com</t>
  </si>
  <si>
    <t>PRD3099</t>
  </si>
  <si>
    <t>ORD001884</t>
  </si>
  <si>
    <t>CUST3840</t>
  </si>
  <si>
    <t>amit919@email.com</t>
  </si>
  <si>
    <t>PRD4357</t>
  </si>
  <si>
    <t>ORD001885</t>
  </si>
  <si>
    <t>CUST8165</t>
  </si>
  <si>
    <t>arjun820@email.com</t>
  </si>
  <si>
    <t>ORD001886</t>
  </si>
  <si>
    <t>arjun805@email.com</t>
  </si>
  <si>
    <t>PRD3390</t>
  </si>
  <si>
    <t>ORD001887</t>
  </si>
  <si>
    <t>CUST6957</t>
  </si>
  <si>
    <t>nisha640@email.com</t>
  </si>
  <si>
    <t>PRD2440</t>
  </si>
  <si>
    <t>ORD001888</t>
  </si>
  <si>
    <t>rahul64@email.com</t>
  </si>
  <si>
    <t>PRD4602</t>
  </si>
  <si>
    <t>ORD001889</t>
  </si>
  <si>
    <t>CUST9413</t>
  </si>
  <si>
    <t>rekha863@email.com</t>
  </si>
  <si>
    <t>ORD001890</t>
  </si>
  <si>
    <t>CUST2926</t>
  </si>
  <si>
    <t>rahul513@email.com</t>
  </si>
  <si>
    <t>PRD4638</t>
  </si>
  <si>
    <t>ORD001891</t>
  </si>
  <si>
    <t>CUST6996</t>
  </si>
  <si>
    <t>pooja793@email.com</t>
  </si>
  <si>
    <t>ORD001892</t>
  </si>
  <si>
    <t>aditya372@email.com</t>
  </si>
  <si>
    <t>ORD001893</t>
  </si>
  <si>
    <t>deepak686@email.com</t>
  </si>
  <si>
    <t>ORD001894</t>
  </si>
  <si>
    <t>CUST1454</t>
  </si>
  <si>
    <t>manish317@email.com</t>
  </si>
  <si>
    <t>PRD4614</t>
  </si>
  <si>
    <t>ORD001895</t>
  </si>
  <si>
    <t>CUST9863</t>
  </si>
  <si>
    <t>deepak848@email.com</t>
  </si>
  <si>
    <t>ORD001896</t>
  </si>
  <si>
    <t>CUST2647</t>
  </si>
  <si>
    <t>suresh329@email.com</t>
  </si>
  <si>
    <t>PRD1430</t>
  </si>
  <si>
    <t>ORD001897</t>
  </si>
  <si>
    <t>CUST2244</t>
  </si>
  <si>
    <t>rahul341@email.com</t>
  </si>
  <si>
    <t>PRD3221</t>
  </si>
  <si>
    <t>ORD001898</t>
  </si>
  <si>
    <t>CUST9542</t>
  </si>
  <si>
    <t>rekha592@email.com</t>
  </si>
  <si>
    <t>PRD2577</t>
  </si>
  <si>
    <t>ORD001899</t>
  </si>
  <si>
    <t>CUST9040</t>
  </si>
  <si>
    <t>nisha26@email.com</t>
  </si>
  <si>
    <t>ORD001900</t>
  </si>
  <si>
    <t>kavya949@email.com</t>
  </si>
  <si>
    <t>PRD1766</t>
  </si>
  <si>
    <t>ORD001901</t>
  </si>
  <si>
    <t>CUST2439</t>
  </si>
  <si>
    <t>suresh182@email.com</t>
  </si>
  <si>
    <t>ORD001902</t>
  </si>
  <si>
    <t>CUST3800</t>
  </si>
  <si>
    <t>sunita467@email.com</t>
  </si>
  <si>
    <t>PRD3476</t>
  </si>
  <si>
    <t>ORD001903</t>
  </si>
  <si>
    <t>CUST8532</t>
  </si>
  <si>
    <t>rekha951@email.com</t>
  </si>
  <si>
    <t>ORD001904</t>
  </si>
  <si>
    <t>CUST9814</t>
  </si>
  <si>
    <t>rohit109@email.com</t>
  </si>
  <si>
    <t>ORD001905</t>
  </si>
  <si>
    <t>CUST7078</t>
  </si>
  <si>
    <t>aditya65@email.com</t>
  </si>
  <si>
    <t>PRD1843</t>
  </si>
  <si>
    <t>ORD001906</t>
  </si>
  <si>
    <t>swati447@email.com</t>
  </si>
  <si>
    <t>PRD3965</t>
  </si>
  <si>
    <t>ORD001907</t>
  </si>
  <si>
    <t>CUST6573</t>
  </si>
  <si>
    <t>aditya628@email.com</t>
  </si>
  <si>
    <t>ORD001908</t>
  </si>
  <si>
    <t>CUST8282</t>
  </si>
  <si>
    <t>aditya507@email.com</t>
  </si>
  <si>
    <t>PRD1723</t>
  </si>
  <si>
    <t>ORD001909</t>
  </si>
  <si>
    <t>CUST1955</t>
  </si>
  <si>
    <t>rohit726@email.com</t>
  </si>
  <si>
    <t>PRD3473</t>
  </si>
  <si>
    <t>ORD001910</t>
  </si>
  <si>
    <t>CUST7445</t>
  </si>
  <si>
    <t>meena41@email.com</t>
  </si>
  <si>
    <t>PRD1736</t>
  </si>
  <si>
    <t>ORD001911</t>
  </si>
  <si>
    <t>CUST8669</t>
  </si>
  <si>
    <t>aditya254@email.com</t>
  </si>
  <si>
    <t>PRD2834</t>
  </si>
  <si>
    <t>ORD001912</t>
  </si>
  <si>
    <t>CUST4663</t>
  </si>
  <si>
    <t>rohit24@email.com</t>
  </si>
  <si>
    <t>ORD001913</t>
  </si>
  <si>
    <t>divya799@email.com</t>
  </si>
  <si>
    <t>ORD001914</t>
  </si>
  <si>
    <t>CUST8338</t>
  </si>
  <si>
    <t>rekha390@email.com</t>
  </si>
  <si>
    <t>ORD001915</t>
  </si>
  <si>
    <t>CUST3894</t>
  </si>
  <si>
    <t>priya345@email.com</t>
  </si>
  <si>
    <t>ORD001916</t>
  </si>
  <si>
    <t>CUST3915</t>
  </si>
  <si>
    <t>meena630@email.com</t>
  </si>
  <si>
    <t>ORD001917</t>
  </si>
  <si>
    <t>vikram645@email.com</t>
  </si>
  <si>
    <t>ORD001918</t>
  </si>
  <si>
    <t>manish781@email.com</t>
  </si>
  <si>
    <t>ORD001919</t>
  </si>
  <si>
    <t>CUST6189</t>
  </si>
  <si>
    <t>suresh769@email.com</t>
  </si>
  <si>
    <t>PRD1093</t>
  </si>
  <si>
    <t>ORD001920</t>
  </si>
  <si>
    <t>CUST7758</t>
  </si>
  <si>
    <t>manish686@email.com</t>
  </si>
  <si>
    <t>ORD001921</t>
  </si>
  <si>
    <t>CUST5216</t>
  </si>
  <si>
    <t>anita720@email.com</t>
  </si>
  <si>
    <t>PRD1688</t>
  </si>
  <si>
    <t>ORD001922</t>
  </si>
  <si>
    <t>CUST1170</t>
  </si>
  <si>
    <t>vikram807@email.com</t>
  </si>
  <si>
    <t>ORD001923</t>
  </si>
  <si>
    <t>CUST5927</t>
  </si>
  <si>
    <t>rohit532@email.com</t>
  </si>
  <si>
    <t>PRD4326</t>
  </si>
  <si>
    <t>ORD001924</t>
  </si>
  <si>
    <t>CUST9388</t>
  </si>
  <si>
    <t>nisha336@email.com</t>
  </si>
  <si>
    <t>PRD2101</t>
  </si>
  <si>
    <t>ORD001925</t>
  </si>
  <si>
    <t>CUST3272</t>
  </si>
  <si>
    <t>PRD2011</t>
  </si>
  <si>
    <t>ORD001926</t>
  </si>
  <si>
    <t>nisha918@email.com</t>
  </si>
  <si>
    <t>PRD3456</t>
  </si>
  <si>
    <t>ORD001927</t>
  </si>
  <si>
    <t>CUST5955</t>
  </si>
  <si>
    <t>sunita141@email.com</t>
  </si>
  <si>
    <t>ORD001928</t>
  </si>
  <si>
    <t>vikram648@email.com</t>
  </si>
  <si>
    <t>ORD001929</t>
  </si>
  <si>
    <t>CUST8950</t>
  </si>
  <si>
    <t>manish586@email.com</t>
  </si>
  <si>
    <t>PRD3852</t>
  </si>
  <si>
    <t>ORD001930</t>
  </si>
  <si>
    <t>CUST6486</t>
  </si>
  <si>
    <t>nisha195@email.com</t>
  </si>
  <si>
    <t>PRD3795</t>
  </si>
  <si>
    <t>ORD001931</t>
  </si>
  <si>
    <t>PRD4601</t>
  </si>
  <si>
    <t>ORD001932</t>
  </si>
  <si>
    <t>PRD1846</t>
  </si>
  <si>
    <t>ORD001933</t>
  </si>
  <si>
    <t>CUST7187</t>
  </si>
  <si>
    <t>meena493@email.com</t>
  </si>
  <si>
    <t>PRD1758</t>
  </si>
  <si>
    <t>ORD001934</t>
  </si>
  <si>
    <t>CUST9233</t>
  </si>
  <si>
    <t>anita608@email.com</t>
  </si>
  <si>
    <t>PRD1256</t>
  </si>
  <si>
    <t>ORD001935</t>
  </si>
  <si>
    <t>CUST2327</t>
  </si>
  <si>
    <t>manish434@email.com</t>
  </si>
  <si>
    <t>PRD3441</t>
  </si>
  <si>
    <t>ORD001936</t>
  </si>
  <si>
    <t>meena438@email.com</t>
  </si>
  <si>
    <t>PRD1208</t>
  </si>
  <si>
    <t>ORD001937</t>
  </si>
  <si>
    <t>CUST4849</t>
  </si>
  <si>
    <t>pooja313@email.com</t>
  </si>
  <si>
    <t>ORD001938</t>
  </si>
  <si>
    <t>CUST7177</t>
  </si>
  <si>
    <t>rohit15@email.com</t>
  </si>
  <si>
    <t>PRD4769</t>
  </si>
  <si>
    <t>ORD001939</t>
  </si>
  <si>
    <t>karan988@email.com</t>
  </si>
  <si>
    <t>PRD2991</t>
  </si>
  <si>
    <t>ORD001940</t>
  </si>
  <si>
    <t>CUST7314</t>
  </si>
  <si>
    <t>nisha444@email.com</t>
  </si>
  <si>
    <t>PRD2833</t>
  </si>
  <si>
    <t>ORD001941</t>
  </si>
  <si>
    <t>priya857@email.com</t>
  </si>
  <si>
    <t>ORD001942</t>
  </si>
  <si>
    <t>CUST3537</t>
  </si>
  <si>
    <t>PRD4068</t>
  </si>
  <si>
    <t>ORD001943</t>
  </si>
  <si>
    <t>CUST2264</t>
  </si>
  <si>
    <t>vikram713@email.com</t>
  </si>
  <si>
    <t>PRD4380</t>
  </si>
  <si>
    <t>ORD001944</t>
  </si>
  <si>
    <t>CUST1777</t>
  </si>
  <si>
    <t>divya340@email.com</t>
  </si>
  <si>
    <t>PRD1136</t>
  </si>
  <si>
    <t>ORD001945</t>
  </si>
  <si>
    <t>CUST5892</t>
  </si>
  <si>
    <t>manish854@email.com</t>
  </si>
  <si>
    <t>PRD4620</t>
  </si>
  <si>
    <t>ORD001946</t>
  </si>
  <si>
    <t>CUST8227</t>
  </si>
  <si>
    <t>kavya54@email.com</t>
  </si>
  <si>
    <t>ORD001947</t>
  </si>
  <si>
    <t>CUST6834</t>
  </si>
  <si>
    <t>priya392@email.com</t>
  </si>
  <si>
    <t>ORD001948</t>
  </si>
  <si>
    <t>CUST8556</t>
  </si>
  <si>
    <t>rohit936@email.com</t>
  </si>
  <si>
    <t>PRD2636</t>
  </si>
  <si>
    <t>ORD001949</t>
  </si>
  <si>
    <t>CUST5832</t>
  </si>
  <si>
    <t>priya460@email.com</t>
  </si>
  <si>
    <t>PRD2203</t>
  </si>
  <si>
    <t>ORD001950</t>
  </si>
  <si>
    <t>CUST3357</t>
  </si>
  <si>
    <t>manish463@email.com</t>
  </si>
  <si>
    <t>ORD001951</t>
  </si>
  <si>
    <t>CUST2137</t>
  </si>
  <si>
    <t>divya248@email.com</t>
  </si>
  <si>
    <t>ORD001952</t>
  </si>
  <si>
    <t>CUST6608</t>
  </si>
  <si>
    <t>swati708@email.com</t>
  </si>
  <si>
    <t>ORD001953</t>
  </si>
  <si>
    <t>CUST7329</t>
  </si>
  <si>
    <t>sunita25@email.com</t>
  </si>
  <si>
    <t>ORD001954</t>
  </si>
  <si>
    <t>CUST5054</t>
  </si>
  <si>
    <t>ORD001955</t>
  </si>
  <si>
    <t>CUST2528</t>
  </si>
  <si>
    <t>rahul537@email.com</t>
  </si>
  <si>
    <t>PRD2210</t>
  </si>
  <si>
    <t>ORD001956</t>
  </si>
  <si>
    <t>CUST2441</t>
  </si>
  <si>
    <t>divya111@email.com</t>
  </si>
  <si>
    <t>PRD3088</t>
  </si>
  <si>
    <t>ORD001957</t>
  </si>
  <si>
    <t>CUST3004</t>
  </si>
  <si>
    <t>PRD4605</t>
  </si>
  <si>
    <t>ORD001958</t>
  </si>
  <si>
    <t>CUST3486</t>
  </si>
  <si>
    <t>divya298@email.com</t>
  </si>
  <si>
    <t>ORD001959</t>
  </si>
  <si>
    <t>CUST8512</t>
  </si>
  <si>
    <t>rohit789@email.com</t>
  </si>
  <si>
    <t>PRD3612</t>
  </si>
  <si>
    <t>ORD001960</t>
  </si>
  <si>
    <t>CUST8297</t>
  </si>
  <si>
    <t>rohit853@email.com</t>
  </si>
  <si>
    <t>ORD001961</t>
  </si>
  <si>
    <t>CUST3772</t>
  </si>
  <si>
    <t>deepak512@email.com</t>
  </si>
  <si>
    <t>PRD3049</t>
  </si>
  <si>
    <t>ORD001962</t>
  </si>
  <si>
    <t>CUST3464</t>
  </si>
  <si>
    <t>pooja345@email.com</t>
  </si>
  <si>
    <t>PRD3339</t>
  </si>
  <si>
    <t>ORD001963</t>
  </si>
  <si>
    <t>PRD4834</t>
  </si>
  <si>
    <t>ORD001964</t>
  </si>
  <si>
    <t>deepak690@email.com</t>
  </si>
  <si>
    <t>ORD001965</t>
  </si>
  <si>
    <t>CUST2832</t>
  </si>
  <si>
    <t>PRD2885</t>
  </si>
  <si>
    <t>ORD001966</t>
  </si>
  <si>
    <t>CUST6237</t>
  </si>
  <si>
    <t>priya229@email.com</t>
  </si>
  <si>
    <t>ORD001967</t>
  </si>
  <si>
    <t>CUST9923</t>
  </si>
  <si>
    <t>divya757@email.com</t>
  </si>
  <si>
    <t>PRD3712</t>
  </si>
  <si>
    <t>ORD001968</t>
  </si>
  <si>
    <t>CUST2924</t>
  </si>
  <si>
    <t>divya831@email.com</t>
  </si>
  <si>
    <t>ORD001969</t>
  </si>
  <si>
    <t>CUST6082</t>
  </si>
  <si>
    <t>arjun135@email.com</t>
  </si>
  <si>
    <t>ORD001970</t>
  </si>
  <si>
    <t>CUST6171</t>
  </si>
  <si>
    <t>karan823@email.com</t>
  </si>
  <si>
    <t>PRD1141</t>
  </si>
  <si>
    <t>ORD001971</t>
  </si>
  <si>
    <t>CUST9508</t>
  </si>
  <si>
    <t>ORD001972</t>
  </si>
  <si>
    <t>rohit546@email.com</t>
  </si>
  <si>
    <t>PRD3546</t>
  </si>
  <si>
    <t>ORD001973</t>
  </si>
  <si>
    <t>CUST8272</t>
  </si>
  <si>
    <t>swati395@email.com</t>
  </si>
  <si>
    <t>ORD001974</t>
  </si>
  <si>
    <t>meena574@email.com</t>
  </si>
  <si>
    <t>PRD3218</t>
  </si>
  <si>
    <t>ORD001975</t>
  </si>
  <si>
    <t>CUST8069</t>
  </si>
  <si>
    <t>suresh133@email.com</t>
  </si>
  <si>
    <t>PRD3087</t>
  </si>
  <si>
    <t>ORD001976</t>
  </si>
  <si>
    <t>CUST3646</t>
  </si>
  <si>
    <t>sunita321@email.com</t>
  </si>
  <si>
    <t>ORD001977</t>
  </si>
  <si>
    <t>CUST3082</t>
  </si>
  <si>
    <t>PRD3377</t>
  </si>
  <si>
    <t>ORD001978</t>
  </si>
  <si>
    <t>nisha943@email.com</t>
  </si>
  <si>
    <t>PRD1159</t>
  </si>
  <si>
    <t>ORD001979</t>
  </si>
  <si>
    <t>CUST7332</t>
  </si>
  <si>
    <t>meena717@email.com</t>
  </si>
  <si>
    <t>ORD001980</t>
  </si>
  <si>
    <t>CUST9897</t>
  </si>
  <si>
    <t>rekha715@email.com</t>
  </si>
  <si>
    <t>ORD001981</t>
  </si>
  <si>
    <t>CUST6670</t>
  </si>
  <si>
    <t>rohit273@email.com</t>
  </si>
  <si>
    <t>PRD2691</t>
  </si>
  <si>
    <t>ORD001982</t>
  </si>
  <si>
    <t>CUST1139</t>
  </si>
  <si>
    <t>priya174@email.com</t>
  </si>
  <si>
    <t>ORD001983</t>
  </si>
  <si>
    <t>CUST8147</t>
  </si>
  <si>
    <t>amit99@email.com</t>
  </si>
  <si>
    <t>PRD2553</t>
  </si>
  <si>
    <t>ORD001984</t>
  </si>
  <si>
    <t>CUST4719</t>
  </si>
  <si>
    <t>amit760@email.com</t>
  </si>
  <si>
    <t>PRD4040</t>
  </si>
  <si>
    <t>ORD001985</t>
  </si>
  <si>
    <t>CUST1348</t>
  </si>
  <si>
    <t>priya824@email.com</t>
  </si>
  <si>
    <t>ORD001986</t>
  </si>
  <si>
    <t>suresh471@email.com</t>
  </si>
  <si>
    <t>PRD2436</t>
  </si>
  <si>
    <t>ORD001987</t>
  </si>
  <si>
    <t>CUST7127</t>
  </si>
  <si>
    <t>divya918@email.com</t>
  </si>
  <si>
    <t>PRD4208</t>
  </si>
  <si>
    <t>ORD001988</t>
  </si>
  <si>
    <t>CUST2867</t>
  </si>
  <si>
    <t>PRD3652</t>
  </si>
  <si>
    <t>ORD001989</t>
  </si>
  <si>
    <t>CUST4649</t>
  </si>
  <si>
    <t>kavya114@email.com</t>
  </si>
  <si>
    <t>ORD001990</t>
  </si>
  <si>
    <t>swati487@email.com</t>
  </si>
  <si>
    <t>PRD4621</t>
  </si>
  <si>
    <t>ORD001991</t>
  </si>
  <si>
    <t>CUST9061</t>
  </si>
  <si>
    <t>meena744@email.com</t>
  </si>
  <si>
    <t>PRD3211</t>
  </si>
  <si>
    <t>ORD001992</t>
  </si>
  <si>
    <t>kavya327@email.com</t>
  </si>
  <si>
    <t>ORD001993</t>
  </si>
  <si>
    <t>ORD001994</t>
  </si>
  <si>
    <t>CUST9470</t>
  </si>
  <si>
    <t>rekha615@email.com</t>
  </si>
  <si>
    <t>PRD1198</t>
  </si>
  <si>
    <t>ORD001995</t>
  </si>
  <si>
    <t>CUST7585</t>
  </si>
  <si>
    <t>sunita596@email.com</t>
  </si>
  <si>
    <t>PRD2845</t>
  </si>
  <si>
    <t>ORD001996</t>
  </si>
  <si>
    <t>CUST5433</t>
  </si>
  <si>
    <t>nisha275@email.com</t>
  </si>
  <si>
    <t>PRD1008</t>
  </si>
  <si>
    <t>ORD001997</t>
  </si>
  <si>
    <t>CUST9028</t>
  </si>
  <si>
    <t>rahul543@email.com</t>
  </si>
  <si>
    <t>ORD001998</t>
  </si>
  <si>
    <t>CUST6268</t>
  </si>
  <si>
    <t>pooja203@email.com</t>
  </si>
  <si>
    <t>PRD4115</t>
  </si>
  <si>
    <t>ORD001999</t>
  </si>
  <si>
    <t>manish276@email.com</t>
  </si>
  <si>
    <t>PRD4506</t>
  </si>
  <si>
    <t>ORD002000</t>
  </si>
  <si>
    <t>rohit306@email.com</t>
  </si>
  <si>
    <t>MRP_INR</t>
  </si>
  <si>
    <t>Cost_Price_INR</t>
  </si>
  <si>
    <t>Stock_Units</t>
  </si>
  <si>
    <t>Avg_Rating</t>
  </si>
  <si>
    <t>Total_Reviews</t>
  </si>
  <si>
    <t>Launch_Date</t>
  </si>
  <si>
    <t>Bestseller</t>
  </si>
  <si>
    <t>PRD1001</t>
  </si>
  <si>
    <t>2020-07-08</t>
  </si>
  <si>
    <t>PRD1003</t>
  </si>
  <si>
    <t>PRD1004</t>
  </si>
  <si>
    <t>PRD1006</t>
  </si>
  <si>
    <t>2018-09-13</t>
  </si>
  <si>
    <t>2022-01-15</t>
  </si>
  <si>
    <t>2018-06-17</t>
  </si>
  <si>
    <t>2020-08-16</t>
  </si>
  <si>
    <t>PRD1010</t>
  </si>
  <si>
    <t>2021-07-18</t>
  </si>
  <si>
    <t>PRD1012</t>
  </si>
  <si>
    <t>2020-01-26</t>
  </si>
  <si>
    <t>PRD1014</t>
  </si>
  <si>
    <t>2021-04-19</t>
  </si>
  <si>
    <t>PRD1015</t>
  </si>
  <si>
    <t>2020-03-21</t>
  </si>
  <si>
    <t>PRD1017</t>
  </si>
  <si>
    <t>2019-06-29</t>
  </si>
  <si>
    <t>PRD1018</t>
  </si>
  <si>
    <t>2018-06-14</t>
  </si>
  <si>
    <t>PRD1019</t>
  </si>
  <si>
    <t>2020-09-24</t>
  </si>
  <si>
    <t>2019-04-08</t>
  </si>
  <si>
    <t>PRD1021</t>
  </si>
  <si>
    <t>2018-11-08</t>
  </si>
  <si>
    <t>PRD1022</t>
  </si>
  <si>
    <t>2019-10-12</t>
  </si>
  <si>
    <t>PRD1024</t>
  </si>
  <si>
    <t>2018-02-17</t>
  </si>
  <si>
    <t>2020-07-19</t>
  </si>
  <si>
    <t>PRD1026</t>
  </si>
  <si>
    <t>2019-07-18</t>
  </si>
  <si>
    <t>2018-09-14</t>
  </si>
  <si>
    <t>2018-11-03</t>
  </si>
  <si>
    <t>PRD1029</t>
  </si>
  <si>
    <t>2020-10-07</t>
  </si>
  <si>
    <t>PRD1030</t>
  </si>
  <si>
    <t>2018-04-16</t>
  </si>
  <si>
    <t>2021-05-05</t>
  </si>
  <si>
    <t>PRD1033</t>
  </si>
  <si>
    <t>2021-03-05</t>
  </si>
  <si>
    <t>PRD1035</t>
  </si>
  <si>
    <t>2020-06-02</t>
  </si>
  <si>
    <t>PRD1036</t>
  </si>
  <si>
    <t>2019-08-04</t>
  </si>
  <si>
    <t>PRD1037</t>
  </si>
  <si>
    <t>2020-04-27</t>
  </si>
  <si>
    <t>PRD1038</t>
  </si>
  <si>
    <t>2019-08-14</t>
  </si>
  <si>
    <t>PRD1040</t>
  </si>
  <si>
    <t>2019-07-30</t>
  </si>
  <si>
    <t>PRD1041</t>
  </si>
  <si>
    <t>2021-10-27</t>
  </si>
  <si>
    <t>PRD1042</t>
  </si>
  <si>
    <t>PRD1043</t>
  </si>
  <si>
    <t>2020-03-19</t>
  </si>
  <si>
    <t>PRD1044</t>
  </si>
  <si>
    <t>2019-08-31</t>
  </si>
  <si>
    <t>2019-06-28</t>
  </si>
  <si>
    <t>PRD1047</t>
  </si>
  <si>
    <t>2020-09-29</t>
  </si>
  <si>
    <t>2019-01-13</t>
  </si>
  <si>
    <t>2021-10-23</t>
  </si>
  <si>
    <t>PRD1053</t>
  </si>
  <si>
    <t>2019-11-20</t>
  </si>
  <si>
    <t>2020-04-30</t>
  </si>
  <si>
    <t>PRD1055</t>
  </si>
  <si>
    <t>2021-02-26</t>
  </si>
  <si>
    <t>PRD1058</t>
  </si>
  <si>
    <t>2018-08-19</t>
  </si>
  <si>
    <t>PRD1059</t>
  </si>
  <si>
    <t>2020-02-09</t>
  </si>
  <si>
    <t>2019-01-30</t>
  </si>
  <si>
    <t>PRD1061</t>
  </si>
  <si>
    <t>2019-07-03</t>
  </si>
  <si>
    <t>PRD1063</t>
  </si>
  <si>
    <t>PRD1064</t>
  </si>
  <si>
    <t>2021-07-09</t>
  </si>
  <si>
    <t>PRD1065</t>
  </si>
  <si>
    <t>2020-09-21</t>
  </si>
  <si>
    <t>PRD1066</t>
  </si>
  <si>
    <t>2021-04-10</t>
  </si>
  <si>
    <t>PRD1068</t>
  </si>
  <si>
    <t>PRD1069</t>
  </si>
  <si>
    <t>2020-06-23</t>
  </si>
  <si>
    <t>PRD1070</t>
  </si>
  <si>
    <t>2020-12-26</t>
  </si>
  <si>
    <t>Total_Orders</t>
  </si>
  <si>
    <t>Total_Spend_INR</t>
  </si>
  <si>
    <t>Avg_Order_Value</t>
  </si>
  <si>
    <t>Last_Order_Date</t>
  </si>
  <si>
    <t>Days_Since_Last_Order</t>
  </si>
  <si>
    <t>Preferred_Category</t>
  </si>
  <si>
    <t>Preferred_Payment</t>
  </si>
  <si>
    <t>Customer_Tier</t>
  </si>
  <si>
    <t>Churn_Risk</t>
  </si>
  <si>
    <t>CUST1000</t>
  </si>
  <si>
    <t>CUST1002</t>
  </si>
  <si>
    <t>CUST1003</t>
  </si>
  <si>
    <t>CUST1005</t>
  </si>
  <si>
    <t>CUST1006</t>
  </si>
  <si>
    <t>CUST1007</t>
  </si>
  <si>
    <t>CUST1009</t>
  </si>
  <si>
    <t>CUST1011</t>
  </si>
  <si>
    <t>CUST1012</t>
  </si>
  <si>
    <t>CUST1013</t>
  </si>
  <si>
    <t>CUST1015</t>
  </si>
  <si>
    <t>CUST1016</t>
  </si>
  <si>
    <t>CUST1017</t>
  </si>
  <si>
    <t>CUST1019</t>
  </si>
  <si>
    <t>CUST1020</t>
  </si>
  <si>
    <t>CUST1021</t>
  </si>
  <si>
    <t>CUST1022</t>
  </si>
  <si>
    <t>CUST1023</t>
  </si>
  <si>
    <t>CUST1025</t>
  </si>
  <si>
    <t>CUST1028</t>
  </si>
  <si>
    <t>CUST1029</t>
  </si>
  <si>
    <t>CUST1031</t>
  </si>
  <si>
    <t>CUST1032</t>
  </si>
  <si>
    <t>CUST1033</t>
  </si>
  <si>
    <t>CUST1035</t>
  </si>
  <si>
    <t>CUST1036</t>
  </si>
  <si>
    <t>CUST1038</t>
  </si>
  <si>
    <t>CUST1040</t>
  </si>
  <si>
    <t>2024-10-26</t>
  </si>
  <si>
    <t>CUST1041</t>
  </si>
  <si>
    <t>CUST1043</t>
  </si>
  <si>
    <t>CUST1046</t>
  </si>
  <si>
    <t>CUST1048</t>
  </si>
  <si>
    <t>CUST1049</t>
  </si>
  <si>
    <t>CUST1050</t>
  </si>
  <si>
    <t>CUST1051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</si>
  <si>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</si>
  <si>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</si>
  <si>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</si>
  <si>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</si>
  <si>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</si>
  <si>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</si>
  <si>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</si>
  <si>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</si>
  <si>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</si>
  <si>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</si>
  <si>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</si>
  <si>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CUST1065</t>
  </si>
  <si>
    <t>CUST1066</t>
  </si>
  <si>
    <t>CUST1067</t>
  </si>
  <si>
    <t>CUST1068</t>
  </si>
  <si>
    <t>CUST1070</t>
  </si>
  <si>
    <t>CUST1072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</si>
  <si>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</si>
  <si>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</si>
  <si>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</si>
  <si>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</si>
  <si>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</si>
  <si>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</si>
  <si>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</si>
  <si>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</si>
  <si>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</si>
  <si>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CUST1085</t>
  </si>
  <si>
    <t>CUST1086</t>
  </si>
  <si>
    <t>CUST1088</t>
  </si>
  <si>
    <t>CUST1089</t>
  </si>
  <si>
    <t>CUST1090</t>
  </si>
  <si>
    <t>CUST1091</t>
  </si>
  <si>
    <t>CUST1092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</si>
  <si>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</si>
  <si>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</si>
  <si>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</si>
  <si>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</si>
  <si>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</si>
  <si>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</si>
  <si>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</si>
  <si>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</si>
  <si>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</si>
  <si>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</si>
  <si>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</si>
  <si>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</si>
  <si>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</si>
  <si>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</si>
  <si>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</si>
  <si>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</si>
  <si>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</si>
  <si>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</si>
  <si>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</si>
  <si>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</si>
  <si>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</si>
  <si>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</si>
  <si>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</si>
  <si>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</si>
  <si>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</si>
  <si>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</si>
  <si>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</si>
  <si>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CUST1125</t>
  </si>
  <si>
    <t>CUST1126</t>
  </si>
  <si>
    <t>CUST1127</t>
  </si>
  <si>
    <t>CUST1129</t>
  </si>
  <si>
    <t>CUST1131</t>
  </si>
  <si>
    <t>CUST1132</t>
  </si>
  <si>
    <t>CUST1134</t>
  </si>
  <si>
    <t>CUST1135</t>
  </si>
  <si>
    <t>CUST1136</t>
  </si>
  <si>
    <t>CUST1137</t>
  </si>
  <si>
    <t>CUST1140</t>
  </si>
  <si>
    <t>CUST1141</t>
  </si>
  <si>
    <t>CUST1143</t>
  </si>
  <si>
    <t>CUST1144</t>
  </si>
  <si>
    <t>CUST1145</t>
  </si>
  <si>
    <t>CUST1146</t>
  </si>
  <si>
    <t>CUST1147</t>
  </si>
  <si>
    <t>CUST1148</t>
  </si>
  <si>
    <t>CUST1149</t>
  </si>
  <si>
    <t>CUST1151</t>
  </si>
  <si>
    <t>CUST1152</t>
  </si>
  <si>
    <t>CUST1153</t>
  </si>
  <si>
    <t>CUST1154</t>
  </si>
  <si>
    <t>CUST1155</t>
  </si>
  <si>
    <t>CUST1156</t>
  </si>
  <si>
    <t>CUST1157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</si>
  <si>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</si>
  <si>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</si>
  <si>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</si>
  <si>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</si>
  <si>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</si>
  <si>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</si>
  <si>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</si>
  <si>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</si>
  <si>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</si>
  <si>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</si>
  <si>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</si>
  <si>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CUST1173</t>
  </si>
  <si>
    <t>CUST1174</t>
  </si>
  <si>
    <t>CUST1175</t>
  </si>
  <si>
    <t>2024-05-07</t>
  </si>
  <si>
    <t>CUST1176</t>
  </si>
  <si>
    <t>CUST1177</t>
  </si>
  <si>
    <t>CUST1178</t>
  </si>
  <si>
    <t>CUST1180</t>
  </si>
  <si>
    <t>CUST1181</t>
  </si>
  <si>
    <t>CUST1182</t>
  </si>
  <si>
    <t>CUST1183</t>
  </si>
  <si>
    <t>CUST1185</t>
  </si>
  <si>
    <t>CUST1189</t>
  </si>
  <si>
    <t>CUST1190</t>
  </si>
  <si>
    <t>CUST1191</t>
  </si>
  <si>
    <t>CUST1193</t>
  </si>
  <si>
    <t>CUST1194</t>
  </si>
  <si>
    <t>CUST1196</t>
  </si>
  <si>
    <t>CUST1197</t>
  </si>
  <si>
    <t>CUST1198</t>
  </si>
  <si>
    <t>CUST1199</t>
  </si>
  <si>
    <t>CUST1200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</si>
  <si>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</si>
  <si>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</si>
  <si>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</si>
  <si>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</si>
  <si>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</si>
  <si>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</si>
  <si>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</si>
  <si>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</si>
  <si>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</si>
  <si>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</si>
  <si>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</si>
  <si>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</si>
  <si>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</si>
  <si>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</si>
  <si>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</si>
  <si>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</si>
  <si>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</si>
  <si>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</si>
  <si>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</si>
  <si>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</si>
  <si>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</si>
  <si>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</si>
  <si>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</si>
  <si>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</si>
  <si>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</si>
  <si>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</si>
  <si>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</si>
  <si>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</si>
  <si>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</si>
  <si>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CUST1233</t>
  </si>
  <si>
    <t>CUST1234</t>
  </si>
  <si>
    <t>CUST1235</t>
  </si>
  <si>
    <t>CUST1236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</si>
  <si>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</si>
  <si>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</si>
  <si>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</si>
  <si>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</si>
  <si>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</si>
  <si>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</si>
  <si>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</si>
  <si>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</si>
  <si>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CUST1247</t>
  </si>
  <si>
    <t>CUST1248</t>
  </si>
  <si>
    <t>CUST1249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</si>
  <si>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</si>
  <si>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</si>
  <si>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</si>
  <si>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</si>
  <si>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</si>
  <si>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</si>
  <si>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</si>
  <si>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</si>
  <si>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CUST1261</t>
  </si>
  <si>
    <t>CUST1262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</si>
  <si>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</si>
  <si>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</si>
  <si>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</si>
  <si>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</si>
  <si>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</si>
  <si>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</si>
  <si>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</si>
  <si>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</si>
  <si>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</si>
  <si>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</si>
  <si>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</si>
  <si>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</si>
  <si>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</si>
  <si>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</si>
  <si>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</si>
  <si>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</si>
  <si>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</si>
  <si>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</si>
  <si>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</si>
  <si>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</si>
  <si>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</si>
  <si>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</si>
  <si>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</si>
  <si>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</si>
  <si>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CUST1293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</si>
  <si>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</si>
  <si>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</si>
  <si>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</si>
  <si>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</si>
  <si>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</si>
  <si>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</si>
  <si>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</si>
  <si>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</si>
  <si>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</si>
  <si>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</si>
  <si>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</si>
  <si>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</si>
  <si>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</si>
  <si>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</si>
  <si>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</si>
  <si>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CUST1311</t>
  </si>
  <si>
    <t>CUST1312</t>
  </si>
  <si>
    <t>CUST1313</t>
  </si>
  <si>
    <t>CUST1314</t>
  </si>
  <si>
    <t>CUST1315</t>
  </si>
  <si>
    <t>CUST1316</t>
  </si>
  <si>
    <t>CUST1317</t>
  </si>
  <si>
    <t>CUST1319</t>
  </si>
  <si>
    <t>CUST1320</t>
  </si>
  <si>
    <t>CUST1322</t>
  </si>
  <si>
    <t>CUST1323</t>
  </si>
  <si>
    <t>CUST1324</t>
  </si>
  <si>
    <t>CUST1325</t>
  </si>
  <si>
    <t>CUST1326</t>
  </si>
  <si>
    <t>CUST1328</t>
  </si>
  <si>
    <t>CUST1330</t>
  </si>
  <si>
    <t>CUST1331</t>
  </si>
  <si>
    <t>CUST1332</t>
  </si>
  <si>
    <t>CUST1333</t>
  </si>
  <si>
    <t>CUST1334</t>
  </si>
  <si>
    <t>CUST1335</t>
  </si>
  <si>
    <t>CUST1336</t>
  </si>
  <si>
    <t>CUST1338</t>
  </si>
  <si>
    <t>CUST1339</t>
  </si>
  <si>
    <t>CUST1340</t>
  </si>
  <si>
    <t>CUST1341</t>
  </si>
  <si>
    <t>CUST1343</t>
  </si>
  <si>
    <t>CUST1344</t>
  </si>
  <si>
    <t>CUST1345</t>
  </si>
  <si>
    <t>CUST1346</t>
  </si>
  <si>
    <t>CUST1347</t>
  </si>
  <si>
    <t>CUST1351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</si>
  <si>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</si>
  <si>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</si>
  <si>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</si>
  <si>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</si>
  <si>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</si>
  <si>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</si>
  <si>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</si>
  <si>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</si>
  <si>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CUST1362</t>
  </si>
  <si>
    <t>CUST1363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</si>
  <si>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</si>
  <si>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</si>
  <si>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</si>
  <si>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</si>
  <si>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</si>
  <si>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</si>
  <si>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</si>
  <si>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</si>
  <si>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</si>
  <si>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CUST1375</t>
  </si>
  <si>
    <t>CUST1376</t>
  </si>
  <si>
    <t>CUST1377</t>
  </si>
  <si>
    <t>CUST1379</t>
  </si>
  <si>
    <t>CUST1380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</si>
  <si>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</si>
  <si>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</si>
  <si>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</si>
  <si>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</si>
  <si>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</si>
  <si>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</si>
  <si>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</si>
  <si>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</si>
  <si>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</si>
  <si>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</si>
  <si>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</si>
  <si>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</si>
  <si>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</si>
  <si>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</si>
  <si>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CUST1397</t>
  </si>
  <si>
    <t>CUST1399</t>
  </si>
  <si>
    <t>CUST1400</t>
  </si>
  <si>
    <t>CUST1402</t>
  </si>
  <si>
    <t>CUST1403</t>
  </si>
  <si>
    <t>CUST1404</t>
  </si>
  <si>
    <t>CUST1405</t>
  </si>
  <si>
    <t>CUST1406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</si>
  <si>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</si>
  <si>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</si>
  <si>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</si>
  <si>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</si>
  <si>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</si>
  <si>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</si>
  <si>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</si>
  <si>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</si>
  <si>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</si>
  <si>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CUST1418</t>
  </si>
  <si>
    <t>CUST1419</t>
  </si>
  <si>
    <t>CUST1420</t>
  </si>
  <si>
    <t>CUST1422</t>
  </si>
  <si>
    <t>CUST1423</t>
  </si>
  <si>
    <t>CUST1424</t>
  </si>
  <si>
    <t>CUST1426</t>
  </si>
  <si>
    <t>CUST1427</t>
  </si>
  <si>
    <t>CUST1428</t>
  </si>
  <si>
    <t>CUST1429</t>
  </si>
  <si>
    <t>CUST1431</t>
  </si>
  <si>
    <t>CUST1432</t>
  </si>
  <si>
    <t>CUST1433</t>
  </si>
  <si>
    <t>CUST1434</t>
  </si>
  <si>
    <t>CUST1436</t>
  </si>
  <si>
    <t>CUST1437</t>
  </si>
  <si>
    <t>CUST1438</t>
  </si>
  <si>
    <t>CUST1439</t>
  </si>
  <si>
    <t>CUST1440</t>
  </si>
  <si>
    <t>CUST1441</t>
  </si>
  <si>
    <t>CUST1442</t>
  </si>
  <si>
    <t>CUST1445</t>
  </si>
  <si>
    <t>CUST1447</t>
  </si>
  <si>
    <t>CUST1448</t>
  </si>
  <si>
    <t>CUST1449</t>
  </si>
  <si>
    <t>CUST1450</t>
  </si>
  <si>
    <t>CUST1451</t>
  </si>
  <si>
    <t>CUST1452</t>
  </si>
  <si>
    <t>CUST1455</t>
  </si>
  <si>
    <t>CUST1456</t>
  </si>
  <si>
    <t>CUST1457</t>
  </si>
  <si>
    <t>CUST1458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</si>
  <si>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</si>
  <si>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</si>
  <si>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</si>
  <si>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</si>
  <si>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</si>
  <si>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</si>
  <si>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</si>
  <si>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</si>
  <si>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</si>
  <si>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</si>
  <si>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CUST1471</t>
  </si>
  <si>
    <t>CUST1472</t>
  </si>
  <si>
    <t>CUST1473</t>
  </si>
  <si>
    <t>CUST1474</t>
  </si>
  <si>
    <t>CUST1475</t>
  </si>
  <si>
    <t>CUST1476</t>
  </si>
  <si>
    <t>CUST1480</t>
  </si>
  <si>
    <t>CUST1481</t>
  </si>
  <si>
    <t>CUST1482</t>
  </si>
  <si>
    <t>CUST1484</t>
  </si>
  <si>
    <t>CUST1485</t>
  </si>
  <si>
    <t>CUST1486</t>
  </si>
  <si>
    <t>CUST1487</t>
  </si>
  <si>
    <t>CUST1488</t>
  </si>
  <si>
    <t>CUST1491</t>
  </si>
  <si>
    <t>CUST1493</t>
  </si>
  <si>
    <t>CUST1494</t>
  </si>
  <si>
    <t>CUST1495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</si>
  <si>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</si>
  <si>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</si>
  <si>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</si>
  <si>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</si>
  <si>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</si>
  <si>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</si>
  <si>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</si>
  <si>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</si>
  <si>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</si>
  <si>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</si>
  <si>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</si>
  <si>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</si>
  <si>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</si>
  <si>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</si>
  <si>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</si>
  <si>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</si>
  <si>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</si>
  <si>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</si>
  <si>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</si>
  <si>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</si>
  <si>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</si>
  <si>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</si>
  <si>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</si>
  <si>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</si>
  <si>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</si>
  <si>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</si>
  <si>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</si>
  <si>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</si>
  <si>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</si>
  <si>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</si>
  <si>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</si>
  <si>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</si>
  <si>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</si>
  <si>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</si>
  <si>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</si>
  <si>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</si>
  <si>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</si>
  <si>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</si>
  <si>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</si>
  <si>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</si>
  <si>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CUST1539</t>
  </si>
  <si>
    <t>CUST1540</t>
  </si>
  <si>
    <t>CUST1541</t>
  </si>
  <si>
    <t>CUST1542</t>
  </si>
  <si>
    <t>CUST1543</t>
  </si>
  <si>
    <t>CUST1544</t>
  </si>
  <si>
    <t>CUST1545</t>
  </si>
  <si>
    <t>CUST1547</t>
  </si>
  <si>
    <t>CUST1551</t>
  </si>
  <si>
    <t>CUST1552</t>
  </si>
  <si>
    <t>CUST1553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</si>
  <si>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</si>
  <si>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</si>
  <si>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</si>
  <si>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</si>
  <si>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</si>
  <si>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</si>
  <si>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</si>
  <si>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</si>
  <si>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CUST1564</t>
  </si>
  <si>
    <t>CUST1565</t>
  </si>
  <si>
    <t>CUST1567</t>
  </si>
  <si>
    <t>CUST1568</t>
  </si>
  <si>
    <t>CUST1569</t>
  </si>
  <si>
    <t>CUST1570</t>
  </si>
  <si>
    <t>CUST1571</t>
  </si>
  <si>
    <t>CUST1573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</si>
  <si>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</si>
  <si>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</si>
  <si>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</si>
  <si>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</si>
  <si>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</si>
  <si>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</si>
  <si>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</si>
  <si>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</si>
  <si>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</si>
  <si>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</si>
  <si>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</si>
  <si>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CUST1587</t>
  </si>
  <si>
    <t>CUST1588</t>
  </si>
  <si>
    <t>CUST1589</t>
  </si>
  <si>
    <t>CUST1591</t>
  </si>
  <si>
    <t>CUST1592</t>
  </si>
  <si>
    <t>CUST1593</t>
  </si>
  <si>
    <t>CUST1594</t>
  </si>
  <si>
    <t>CUST1595</t>
  </si>
  <si>
    <t>CUST1596</t>
  </si>
  <si>
    <t>CUST1597</t>
  </si>
  <si>
    <t>CUST1599</t>
  </si>
  <si>
    <t>CUST1600</t>
  </si>
  <si>
    <t>CUST1602</t>
  </si>
  <si>
    <t>CUST1603</t>
  </si>
  <si>
    <t>CUST1604</t>
  </si>
  <si>
    <t>CUST1605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</si>
  <si>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</si>
  <si>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</si>
  <si>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</si>
  <si>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</si>
  <si>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</si>
  <si>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</si>
  <si>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</si>
  <si>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</si>
  <si>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</si>
  <si>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</si>
  <si>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</si>
  <si>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</si>
  <si>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</si>
  <si>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</si>
  <si>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</si>
  <si>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</si>
  <si>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</si>
  <si>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</si>
  <si>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CUST1629</t>
  </si>
  <si>
    <t>CUST1630</t>
  </si>
  <si>
    <t>CUST1631</t>
  </si>
  <si>
    <t>CUST1633</t>
  </si>
  <si>
    <t>CUST1634</t>
  </si>
  <si>
    <t>CUST1635</t>
  </si>
  <si>
    <t>CUST1636</t>
  </si>
  <si>
    <t>CUST1639</t>
  </si>
  <si>
    <t>CUST1640</t>
  </si>
  <si>
    <t>CUST1641</t>
  </si>
  <si>
    <t>CUST1642</t>
  </si>
  <si>
    <t>CUST1644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</si>
  <si>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</si>
  <si>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</si>
  <si>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</si>
  <si>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</si>
  <si>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</si>
  <si>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</si>
  <si>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</si>
  <si>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</si>
  <si>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</si>
  <si>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</si>
  <si>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</si>
  <si>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</si>
  <si>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</si>
  <si>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</si>
  <si>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</si>
  <si>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</si>
  <si>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CUST1664</t>
  </si>
  <si>
    <t>CUST1665</t>
  </si>
  <si>
    <t>CUST1666</t>
  </si>
  <si>
    <t>CUST1667</t>
  </si>
  <si>
    <t>CUST1669</t>
  </si>
  <si>
    <t>CUST1671</t>
  </si>
  <si>
    <t>CUST1672</t>
  </si>
  <si>
    <t>CUST1673</t>
  </si>
  <si>
    <t>CUST1674</t>
  </si>
  <si>
    <t>CUST1677</t>
  </si>
  <si>
    <t>CUST1678</t>
  </si>
  <si>
    <t>CUST1679</t>
  </si>
  <si>
    <t>CUST1680</t>
  </si>
  <si>
    <t>CUST1682</t>
  </si>
  <si>
    <t>CUST1683</t>
  </si>
  <si>
    <t>CUST1684</t>
  </si>
  <si>
    <t>CUST1686</t>
  </si>
  <si>
    <t>CUST1687</t>
  </si>
  <si>
    <t>CUST1688</t>
  </si>
  <si>
    <t>CUST1689</t>
  </si>
  <si>
    <t>CUST1691</t>
  </si>
  <si>
    <t>CUST1692</t>
  </si>
  <si>
    <t>CUST1693</t>
  </si>
  <si>
    <t>CUST1694</t>
  </si>
  <si>
    <t>CUST1695</t>
  </si>
  <si>
    <t>CUST1696</t>
  </si>
  <si>
    <t>CUST1697</t>
  </si>
  <si>
    <t>CUST1699</t>
  </si>
  <si>
    <t>CUST1700</t>
  </si>
  <si>
    <t>CUST1701</t>
  </si>
  <si>
    <t>CUST1702</t>
  </si>
  <si>
    <t>CUST1703</t>
  </si>
  <si>
    <t>CUST1706</t>
  </si>
  <si>
    <t>CUST1708</t>
  </si>
  <si>
    <t>CUST1709</t>
  </si>
  <si>
    <t>CUST1710</t>
  </si>
  <si>
    <t>CUST1711</t>
  </si>
  <si>
    <t>CUST1712</t>
  </si>
  <si>
    <t>CUST1713</t>
  </si>
  <si>
    <t>CUST1714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</si>
  <si>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</si>
  <si>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</si>
  <si>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</si>
  <si>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</si>
  <si>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</si>
  <si>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</si>
  <si>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</si>
  <si>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</si>
  <si>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</si>
  <si>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CUST1726</t>
  </si>
  <si>
    <t>CUST1727</t>
  </si>
  <si>
    <t>CUST1728</t>
  </si>
  <si>
    <t>CUST1730</t>
  </si>
  <si>
    <t>CUST1731</t>
  </si>
  <si>
    <t>CUST1732</t>
  </si>
  <si>
    <t>CUST1733</t>
  </si>
  <si>
    <t>CUST1734</t>
  </si>
  <si>
    <t>CUST1735</t>
  </si>
  <si>
    <t>CUST1737</t>
  </si>
  <si>
    <t>CUST1738</t>
  </si>
  <si>
    <t>CUST1739</t>
  </si>
  <si>
    <t>CUST1740</t>
  </si>
  <si>
    <t>CUST1742</t>
  </si>
  <si>
    <t>CUST1743</t>
  </si>
  <si>
    <t>CUST1744</t>
  </si>
  <si>
    <t>CUST1745</t>
  </si>
  <si>
    <t>CUST1746</t>
  </si>
  <si>
    <t>CUST1747</t>
  </si>
  <si>
    <t>CUST1749</t>
  </si>
  <si>
    <t>CUST1750</t>
  </si>
  <si>
    <t>CUST1751</t>
  </si>
  <si>
    <t>CUST1752</t>
  </si>
  <si>
    <t>CUST1755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</si>
  <si>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</si>
  <si>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</si>
  <si>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</si>
  <si>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</si>
  <si>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</si>
  <si>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</si>
  <si>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</si>
  <si>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</si>
  <si>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</si>
  <si>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</si>
  <si>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</si>
  <si>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</si>
  <si>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</si>
  <si>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CUST1771</t>
  </si>
  <si>
    <t>CUST1772</t>
  </si>
  <si>
    <t>CUST1773</t>
  </si>
  <si>
    <t>CUST1774</t>
  </si>
  <si>
    <t>CUST1775</t>
  </si>
  <si>
    <t>CUST1776</t>
  </si>
  <si>
    <t>CUST1778</t>
  </si>
  <si>
    <t>CUST1779</t>
  </si>
  <si>
    <t>CUST1781</t>
  </si>
  <si>
    <t>CUST1782</t>
  </si>
  <si>
    <t>CUST1783</t>
  </si>
  <si>
    <t>CUST1784</t>
  </si>
  <si>
    <t>CUST1785</t>
  </si>
  <si>
    <t>CUST1786</t>
  </si>
  <si>
    <t>CUST1788</t>
  </si>
  <si>
    <t>CUST1789</t>
  </si>
  <si>
    <t>CUST1790</t>
  </si>
  <si>
    <t>CUST1791</t>
  </si>
  <si>
    <t>CUST1792</t>
  </si>
  <si>
    <t>CUST1793</t>
  </si>
  <si>
    <t>CUST1794</t>
  </si>
  <si>
    <t>CUST1797</t>
  </si>
  <si>
    <t>CUST1798</t>
  </si>
  <si>
    <t>CUST1799</t>
  </si>
  <si>
    <t>CUST1801</t>
  </si>
  <si>
    <t>CUST1802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</si>
  <si>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</si>
  <si>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</si>
  <si>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</si>
  <si>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</si>
  <si>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</si>
  <si>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</si>
  <si>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</si>
  <si>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</si>
  <si>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</si>
  <si>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</si>
  <si>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</si>
  <si>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</si>
  <si>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</si>
  <si>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</si>
  <si>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</si>
  <si>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</si>
  <si>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</si>
  <si>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CUST1823</t>
  </si>
  <si>
    <t>CUST1824</t>
  </si>
  <si>
    <t>CUST1825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</si>
  <si>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</si>
  <si>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</si>
  <si>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</si>
  <si>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</si>
  <si>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</si>
  <si>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</si>
  <si>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</si>
  <si>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</si>
  <si>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</si>
  <si>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</si>
  <si>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</si>
  <si>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</si>
  <si>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</si>
  <si>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CUST1843</t>
  </si>
  <si>
    <t>CUST1844</t>
  </si>
  <si>
    <t>CUST1845</t>
  </si>
  <si>
    <t>CUST1846</t>
  </si>
  <si>
    <t>CUST1847</t>
  </si>
  <si>
    <t>CUST1850</t>
  </si>
  <si>
    <t>CUST1851</t>
  </si>
  <si>
    <t>CUST1852</t>
  </si>
  <si>
    <t>CUST1853</t>
  </si>
  <si>
    <t>CUST1854</t>
  </si>
  <si>
    <t>CUST1855</t>
  </si>
  <si>
    <t>CUST1858</t>
  </si>
  <si>
    <t>CUST1859</t>
  </si>
  <si>
    <t>CUST1860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</si>
  <si>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</si>
  <si>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</si>
  <si>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</si>
  <si>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</si>
  <si>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</si>
  <si>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</si>
  <si>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</si>
  <si>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</si>
  <si>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</si>
  <si>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</si>
  <si>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</si>
  <si>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</si>
  <si>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</si>
  <si>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</si>
  <si>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</si>
  <si>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</si>
  <si>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</si>
  <si>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</si>
  <si>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</si>
  <si>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</si>
  <si>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</si>
  <si>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</si>
  <si>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CUST1889</t>
  </si>
  <si>
    <t>CUST1891</t>
  </si>
  <si>
    <t>CUST1892</t>
  </si>
  <si>
    <t>CUST1894</t>
  </si>
  <si>
    <t>CUST1895</t>
  </si>
  <si>
    <t>CUST1896</t>
  </si>
  <si>
    <t>CUST1899</t>
  </si>
  <si>
    <t>CUST1901</t>
  </si>
  <si>
    <t>CUST1903</t>
  </si>
  <si>
    <t>CUST1906</t>
  </si>
  <si>
    <t>CUST1907</t>
  </si>
  <si>
    <t>CUST1908</t>
  </si>
  <si>
    <t>CUST1910</t>
  </si>
  <si>
    <t>CUST1912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</si>
  <si>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</si>
  <si>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</si>
  <si>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</si>
  <si>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</si>
  <si>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</si>
  <si>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</si>
  <si>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</si>
  <si>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</si>
  <si>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</si>
  <si>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</si>
  <si>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</si>
  <si>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</si>
  <si>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</si>
  <si>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</si>
  <si>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</si>
  <si>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</si>
  <si>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</si>
  <si>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</si>
  <si>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</si>
  <si>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</si>
  <si>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</si>
  <si>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</si>
  <si>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</si>
  <si>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</si>
  <si>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</si>
  <si>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</si>
  <si>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</si>
  <si>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</si>
  <si>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</si>
  <si>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</si>
  <si>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</si>
  <si>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</si>
  <si>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</si>
  <si>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</si>
  <si>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</si>
  <si>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</si>
  <si>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</si>
  <si>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</si>
  <si>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</si>
  <si>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</si>
  <si>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</si>
  <si>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</si>
  <si>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</si>
  <si>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</si>
  <si>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</si>
  <si>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</si>
  <si>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CUST1966</t>
  </si>
  <si>
    <t>CUST1967</t>
  </si>
  <si>
    <t>CUST1968</t>
  </si>
  <si>
    <t>CUST1970</t>
  </si>
  <si>
    <t>CUST1971</t>
  </si>
  <si>
    <t>CUST1973</t>
  </si>
  <si>
    <t>CUST1975</t>
  </si>
  <si>
    <t>CUST1976</t>
  </si>
  <si>
    <t>CUST1977</t>
  </si>
  <si>
    <t>CUST1978</t>
  </si>
  <si>
    <t>CUST1980</t>
  </si>
  <si>
    <t>CUST1981</t>
  </si>
  <si>
    <t>CUST1982</t>
  </si>
  <si>
    <t>CUST1983</t>
  </si>
  <si>
    <t>CUST1984</t>
  </si>
  <si>
    <t>CUST1986</t>
  </si>
  <si>
    <t>CUST1987</t>
  </si>
  <si>
    <t>CUST1988</t>
  </si>
  <si>
    <t>CUST1989</t>
  </si>
  <si>
    <t>CUST1990</t>
  </si>
  <si>
    <t>CUST1991</t>
  </si>
  <si>
    <t>CUST1992</t>
  </si>
  <si>
    <t>CUST1994</t>
  </si>
  <si>
    <t>CUST1996</t>
  </si>
  <si>
    <t>CUST1997</t>
  </si>
  <si>
    <t>CUST1998</t>
  </si>
  <si>
    <t>CUST1999</t>
  </si>
  <si>
    <t>CUST2000</t>
  </si>
  <si>
    <t>Month</t>
  </si>
  <si>
    <t>Revenue_INR</t>
  </si>
  <si>
    <t>Returns</t>
  </si>
  <si>
    <t>Return_Rate_Pct</t>
  </si>
  <si>
    <t>New_Customers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</si>
  <si>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</si>
  <si>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</si>
  <si>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</si>
  <si>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</si>
  <si>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</si>
  <si>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</si>
  <si>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</si>
  <si>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</si>
  <si>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</si>
  <si>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</si>
  <si>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</si>
  <si>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</si>
  <si>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</si>
  <si>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</si>
  <si>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</si>
  <si>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</si>
  <si>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</si>
  <si>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</si>
  <si>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</si>
  <si>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</si>
  <si>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</si>
  <si>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</si>
  <si>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</si>
  <si>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</si>
  <si>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</si>
  <si>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</si>
  <si>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</si>
  <si>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</si>
  <si>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</si>
  <si>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</si>
  <si>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</si>
  <si>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</si>
  <si>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</si>
  <si>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</si>
  <si>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</si>
  <si>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</si>
  <si>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🔍  DATA QUALITY REPORT — E-Commerce Sales (All 4 Tables)</t>
  </si>
  <si>
    <t>Orders  (2000 rows × 29 cols)</t>
  </si>
  <si>
    <t>Product_Master  (70 rows × 12 cols)</t>
  </si>
  <si>
    <t>Customer_Segments  (1001 rows × 14 cols)</t>
  </si>
  <si>
    <t>Monthly_KPIs  (720 rows × 13 cols)</t>
  </si>
  <si>
    <t>Column</t>
  </si>
  <si>
    <t>Non-Null</t>
  </si>
  <si>
    <t>Missing</t>
  </si>
  <si>
    <t>Miss %</t>
  </si>
  <si>
    <t>Data Type</t>
  </si>
  <si>
    <t>str</t>
  </si>
  <si>
    <t>int64</t>
  </si>
  <si>
    <t>float64</t>
  </si>
  <si>
    <t>📊  PIVOT ANALYSIS — Orders | Product_Master | Customer_Segments | Monthly_KPIs</t>
  </si>
  <si>
    <t>▌ FROM: Orders</t>
  </si>
  <si>
    <t>Revenue &amp; Profit by Category</t>
  </si>
  <si>
    <t>Revenue &amp; Profit by Region</t>
  </si>
  <si>
    <t>TOTAL</t>
  </si>
  <si>
    <t>Orders by Customer Segment</t>
  </si>
  <si>
    <t>Revenue by Payment Method</t>
  </si>
  <si>
    <t>Order Status Breakdown</t>
  </si>
  <si>
    <t>Returns Analysis by Category</t>
  </si>
  <si>
    <t>▌ FROM: Product_Master</t>
  </si>
  <si>
    <t>Stock &amp; Avg Rating by Category</t>
  </si>
  <si>
    <t>MRP vs Cost Price by Category</t>
  </si>
  <si>
    <t>▌ FROM: Customer_Segments</t>
  </si>
  <si>
    <t>Total Spend &amp; Orders by Segment</t>
  </si>
  <si>
    <t>Churn Risk Distribution by Tier</t>
  </si>
  <si>
    <t>Customers by Churn Risk</t>
  </si>
  <si>
    <t>▌ FROM: Monthly_KPIs</t>
  </si>
  <si>
    <t>Annual Revenue &amp; Profit by Year</t>
  </si>
  <si>
    <t>Revenue &amp; Returns by Category</t>
  </si>
  <si>
    <t>Performance by Region (Monthly KPIs)</t>
  </si>
  <si>
    <t>📈  KPI CALCULATIONS — Formulas Referencing All 4 Raw Data Sheets</t>
  </si>
  <si>
    <t>KPI Name</t>
  </si>
  <si>
    <t>Excel Formula</t>
  </si>
  <si>
    <t>Calculated Value</t>
  </si>
  <si>
    <t>Source Sheet</t>
  </si>
  <si>
    <t>ORDERS KPIs  —  Source: Orders sheet</t>
  </si>
  <si>
    <t>Total Orders</t>
  </si>
  <si>
    <t>Orders</t>
  </si>
  <si>
    <t>Total Revenue (INR)</t>
  </si>
  <si>
    <t>Total Gross Profit (INR)</t>
  </si>
  <si>
    <t>Avg Order Value (INR)</t>
  </si>
  <si>
    <t>Avg Profit Margin %</t>
  </si>
  <si>
    <t>Avg Delivery Days</t>
  </si>
  <si>
    <t>Total Shipping Cost (INR)</t>
  </si>
  <si>
    <t>Return Count</t>
  </si>
  <si>
    <t>Return Rate %</t>
  </si>
  <si>
    <t>Avg Customer Rating</t>
  </si>
  <si>
    <t>PRODUCT KPIs  —  Source: Product_Master sheet</t>
  </si>
  <si>
    <t>Total Products in Catalogue</t>
  </si>
  <si>
    <t>Total Stock Units</t>
  </si>
  <si>
    <t>Avg Product Rating</t>
  </si>
  <si>
    <t>Avg MRP (INR)</t>
  </si>
  <si>
    <t>Avg Cost Price (INR)</t>
  </si>
  <si>
    <t>Bestseller Count</t>
  </si>
  <si>
    <t>CUSTOMER KPIs  —  Source: Customer_Segments sheet</t>
  </si>
  <si>
    <t>Total Unique Customers</t>
  </si>
  <si>
    <t>Total Customer Spend (INR)</t>
  </si>
  <si>
    <t>Avg Customer Order Value (INR)</t>
  </si>
  <si>
    <t>Platinum Tier Customers</t>
  </si>
  <si>
    <t>High Churn Risk Customers</t>
  </si>
  <si>
    <t>MONTHLY TREND KPIs  —  Source: Monthly_KPIs sheet</t>
  </si>
  <si>
    <t>Total Revenue (Monthly KPIs)</t>
  </si>
  <si>
    <t>Total Gross Profit (Monthly KPIs)</t>
  </si>
  <si>
    <t>Total New Customers (All Months)</t>
  </si>
  <si>
    <t>Total Returns (All Months)</t>
  </si>
  <si>
    <t>Avg Monthly Return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</si>
</sst>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2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</font>
    <font>
      <i/>
      <sz val="10"/>
      <color rgb="FFBBDEFB"/>
      <name val="Calibri"/>
      <family val="2"/>
    </font>
    <font>
      <b/>
      <sz val="8"/>
      <color rgb="FFFFFFFF"/>
      <name val="Calibri"/>
      <family val="2"/>
    </font>
    <font>
      <b/>
      <sz val="15"/>
      <color rgb="FFFFFFFF"/>
      <name val="Calibri"/>
      <family val="2"/>
    </font>
    <font>
      <i/>
      <sz val="8"/>
      <color rgb="FFFFFFFF"/>
      <name val="Calibri"/>
      <family val="2"/>
    </font>
    <font>
      <b/>
      <sz val="12"/>
      <color rgb="FF0D2137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2E7D32"/>
      <name val="Calibri"/>
      <family val="2"/>
    </font>
    <font>
      <b/>
      <sz val="10"/>
      <color rgb="FFE65100"/>
      <name val="Calibri"/>
      <family val="2"/>
    </font>
    <font>
      <b/>
      <sz val="13"/>
      <color rgb="FFFFFFFF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i/>
      <sz val="9"/>
      <color rgb="FF424242"/>
      <name val="Calibri"/>
      <family val="2"/>
    </font>
    <font>
      <b/>
      <sz val="11"/>
      <color rgb="FF1B5E9A"/>
      <name val="Calibri"/>
      <family val="2"/>
    </font>
    <font>
      <b/>
      <sz val="11"/>
      <color rgb="FF00796B"/>
      <name val="Calibri"/>
      <family val="2"/>
    </font>
    <font>
      <b/>
      <sz val="11"/>
      <color rgb="FF2E7D32"/>
      <name val="Calibri"/>
      <family val="2"/>
    </font>
    <font>
      <b/>
      <sz val="11"/>
      <color rgb="FFE651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1B5E9A"/>
        <bgColor rgb="FF4672A8"/>
      </patternFill>
    </fill>
    <fill>
      <patternFill patternType="solid">
        <fgColor rgb="FF2E7D32"/>
        <bgColor rgb="FF00796B"/>
      </patternFill>
    </fill>
    <fill>
      <patternFill patternType="solid">
        <fgColor rgb="FFE65100"/>
        <bgColor rgb="FFC0504D"/>
      </patternFill>
    </fill>
    <fill>
      <patternFill patternType="solid">
        <fgColor rgb="FF00796B"/>
        <bgColor rgb="FF1B5E9A"/>
      </patternFill>
    </fill>
    <fill>
      <patternFill patternType="solid">
        <fgColor rgb="FFB71C1C"/>
        <bgColor rgb="FFAB4744"/>
      </patternFill>
    </fill>
    <fill>
      <patternFill patternType="solid">
        <fgColor rgb="FF4A148C"/>
        <bgColor rgb="FF333399"/>
      </patternFill>
    </fill>
    <fill>
      <patternFill patternType="solid">
        <fgColor rgb="FFBBDEFB"/>
        <bgColor rgb="FFD9D9D9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0E0E0"/>
        <bgColor rgb="FFD9D9D9"/>
      </patternFill>
    </fill>
    <fill>
      <patternFill patternType="solid">
        <fgColor rgb="FF424242"/>
        <bgColor rgb="FF333300"/>
      </patternFill>
    </fill>
    <fill>
      <patternFill patternType="solid">
        <fgColor rgb="FF003A33"/>
        <bgColor rgb="FF1B5E9A"/>
      </patternFill>
    </fill>
    <fill>
      <patternFill patternType="solid">
        <fgColor rgb="FF1B491D"/>
        <bgColor rgb="FF00796B"/>
      </patternFill>
    </fill>
    <fill>
      <patternFill patternType="solid">
        <fgColor rgb="FF863000"/>
        <bgColor rgb="FFC0504D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164" fontId="8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3" fontId="14" fillId="1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2" fontId="8" fillId="11" borderId="1" xfId="0" applyNumberFormat="1" applyFont="1" applyFill="1" applyBorder="1" applyAlignment="1">
      <alignment horizontal="center" vertical="center"/>
    </xf>
    <xf numFmtId="4" fontId="8" fillId="11" borderId="1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4" fontId="8" fillId="10" borderId="1" xfId="0" applyNumberFormat="1" applyFont="1" applyFill="1" applyBorder="1" applyAlignment="1">
      <alignment horizontal="center" vertical="center"/>
    </xf>
    <xf numFmtId="2" fontId="14" fillId="12" borderId="1" xfId="0" applyNumberFormat="1" applyFont="1" applyFill="1" applyBorder="1" applyAlignment="1">
      <alignment horizontal="center" vertical="center"/>
    </xf>
    <xf numFmtId="4" fontId="14" fillId="1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3" fontId="18" fillId="11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3" fontId="18" fillId="10" borderId="1" xfId="0" applyNumberFormat="1" applyFont="1" applyFill="1" applyBorder="1" applyAlignment="1">
      <alignment horizontal="center" vertical="center"/>
    </xf>
    <xf numFmtId="164" fontId="18" fillId="11" borderId="1" xfId="0" applyNumberFormat="1" applyFont="1" applyFill="1" applyBorder="1" applyAlignment="1">
      <alignment horizontal="center" vertical="center"/>
    </xf>
    <xf numFmtId="165" fontId="18" fillId="10" borderId="1" xfId="0" applyNumberFormat="1" applyFont="1" applyFill="1" applyBorder="1" applyAlignment="1">
      <alignment horizontal="center" vertical="center"/>
    </xf>
    <xf numFmtId="2" fontId="18" fillId="10" borderId="1" xfId="0" applyNumberFormat="1" applyFont="1" applyFill="1" applyBorder="1" applyAlignment="1">
      <alignment horizontal="center" vertical="center"/>
    </xf>
    <xf numFmtId="3" fontId="19" fillId="1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>
      <alignment horizontal="center" vertical="center"/>
    </xf>
    <xf numFmtId="2" fontId="19" fillId="10" borderId="1" xfId="0" applyNumberFormat="1" applyFont="1" applyFill="1" applyBorder="1" applyAlignment="1">
      <alignment horizontal="center" vertical="center"/>
    </xf>
    <xf numFmtId="3" fontId="20" fillId="11" borderId="1" xfId="0" applyNumberFormat="1" applyFont="1" applyFill="1" applyBorder="1" applyAlignment="1">
      <alignment horizontal="center" vertical="center"/>
    </xf>
    <xf numFmtId="3" fontId="20" fillId="10" borderId="1" xfId="0" applyNumberFormat="1" applyFont="1" applyFill="1" applyBorder="1" applyAlignment="1">
      <alignment horizontal="center" vertical="center"/>
    </xf>
    <xf numFmtId="3" fontId="21" fillId="11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3" fontId="21" fillId="10" borderId="1" xfId="0" applyNumberFormat="1" applyFont="1" applyFill="1" applyBorder="1" applyAlignment="1">
      <alignment horizontal="center" vertical="center"/>
    </xf>
    <xf numFmtId="164" fontId="21" fillId="11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5" borderId="0" xfId="0" applyFill="1"/>
    <xf numFmtId="0" fontId="5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3" fontId="4" fillId="8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2" fontId="4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796B"/>
      <rgbColor rgb="FFBDBDBD"/>
      <rgbColor rgb="FF878787"/>
      <rgbColor rgb="FF93A9CE"/>
      <rgbColor rgb="FFAB4744"/>
      <rgbColor rgb="FFF9F9F9"/>
      <rgbColor rgb="FFF5F5F5"/>
      <rgbColor rgb="FF4A148C"/>
      <rgbColor rgb="FFDC853E"/>
      <rgbColor rgb="FF1B5E9A"/>
      <rgbColor rgb="FFBBDEFB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D9D9D9"/>
      <rgbColor rgb="FF4672A8"/>
      <rgbColor rgb="FF33CCCC"/>
      <rgbColor rgb="FF9BBB59"/>
      <rgbColor rgb="FFFFCC00"/>
      <rgbColor rgb="FFFF9900"/>
      <rgbColor rgb="FFE65100"/>
      <rgbColor rgb="FF725990"/>
      <rgbColor rgb="FF8AA64F"/>
      <rgbColor rgb="FF0D2137"/>
      <rgbColor rgb="FF4299B0"/>
      <rgbColor rgb="FF003300"/>
      <rgbColor rgb="FF333300"/>
      <rgbColor rgb="FFB71C1C"/>
      <rgbColor rgb="FFC0504D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63000"/>
      <color rgb="FF1B491D"/>
      <color rgb="FF003A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Dashboard!$Y$2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Dashboard!$X$3:$X$7</c:f>
              <c:strCache>
                <c:ptCount val="5"/>
                <c:pt idx="0">
                  <c:v>Home &amp; Kitchen</c:v>
                </c:pt>
                <c:pt idx="1">
                  <c:v>Electronics</c:v>
                </c:pt>
                <c:pt idx="2">
                  <c:v>Sports &amp; Fitness</c:v>
                </c:pt>
                <c:pt idx="3">
                  <c:v>Clothing</c:v>
                </c:pt>
                <c:pt idx="4">
                  <c:v>Books</c:v>
                </c:pt>
              </c:strCache>
            </c:strRef>
          </c:cat>
          <c:val>
            <c:numRef>
              <c:f>Dashboard!$Y$3:$Y$7</c:f>
              <c:numCache>
                <c:formatCode>General</c:formatCode>
                <c:ptCount val="5"/>
                <c:pt idx="0">
                  <c:v>27721929.539999999</c:v>
                </c:pt>
                <c:pt idx="1">
                  <c:v>26271272.760000002</c:v>
                </c:pt>
                <c:pt idx="2">
                  <c:v>26037256.43</c:v>
                </c:pt>
                <c:pt idx="3">
                  <c:v>25348910.289999999</c:v>
                </c:pt>
                <c:pt idx="4">
                  <c:v>23175001.789999999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6-4F69-BADD-E635A9467EB1}"/>
            </c:ext>
          </c:extLst>
        </c:ser>
        <c:ser>
          <c:idx val="1"/>
          <c:order val="1"/>
          <c:tx>
            <c:strRef>
              <c:f>Dashboard!$Z$2</c:f>
              <c:strCache>
                <c:ptCount val="1"/>
                <c:pt idx="0">
                  <c:v>Profit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Dashboard!$X$3:$X$7</c:f>
              <c:strCache>
                <c:ptCount val="5"/>
                <c:pt idx="0">
                  <c:v>Home &amp; Kitchen</c:v>
                </c:pt>
                <c:pt idx="1">
                  <c:v>Electronics</c:v>
                </c:pt>
                <c:pt idx="2">
                  <c:v>Sports &amp; Fitness</c:v>
                </c:pt>
                <c:pt idx="3">
                  <c:v>Clothing</c:v>
                </c:pt>
                <c:pt idx="4">
                  <c:v>Books</c:v>
                </c:pt>
              </c:strCache>
            </c:strRef>
          </c:cat>
          <c:val>
            <c:numRef>
              <c:f>Dashboard!$Z$3:$Z$7</c:f>
              <c:numCache>
                <c:formatCode>General</c:formatCode>
                <c:ptCount val="5"/>
                <c:pt idx="0">
                  <c:v>11790499.800000001</c:v>
                </c:pt>
                <c:pt idx="1">
                  <c:v>11293621.59</c:v>
                </c:pt>
                <c:pt idx="2">
                  <c:v>11003921.77</c:v>
                </c:pt>
                <c:pt idx="3">
                  <c:v>10931519.09</c:v>
                </c:pt>
                <c:pt idx="4">
                  <c:v>9718289.4800000004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6-4F69-BADD-E635A9467E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2645960"/>
        <c:axId val="61957700"/>
      </c:barChart>
      <c:catAx>
        <c:axId val="22645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7700"/>
        <c:crosses val="autoZero"/>
        <c:auto val="1"/>
        <c:lblAlgn val="ctr"/>
        <c:lblOffset val="100"/>
        <c:noMultiLvlLbl val="0"/>
      </c:catAx>
      <c:valAx>
        <c:axId val="619577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Dashboard!$AC$2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Dashboard!$AB$3:$AB$6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Dashboard!$AC$3:$AC$6</c:f>
              <c:numCache>
                <c:formatCode>General</c:formatCode>
                <c:ptCount val="4"/>
                <c:pt idx="0">
                  <c:v>33225560.329999998</c:v>
                </c:pt>
                <c:pt idx="1">
                  <c:v>32398259.960000001</c:v>
                </c:pt>
                <c:pt idx="2">
                  <c:v>32090536.120000001</c:v>
                </c:pt>
                <c:pt idx="3">
                  <c:v>30840014.399999999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1-4F75-9B5B-7EDED752B104}"/>
            </c:ext>
          </c:extLst>
        </c:ser>
        <c:ser>
          <c:idx val="1"/>
          <c:order val="1"/>
          <c:tx>
            <c:strRef>
              <c:f>Dashboard!$AD$2</c:f>
              <c:strCache>
                <c:ptCount val="1"/>
                <c:pt idx="0">
                  <c:v>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Dashboard!$AB$3:$AB$6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Dashboard!$AD$3:$AD$6</c:f>
              <c:numCache>
                <c:formatCode>General</c:formatCode>
                <c:ptCount val="4"/>
                <c:pt idx="0">
                  <c:v>14109386.390000001</c:v>
                </c:pt>
                <c:pt idx="1">
                  <c:v>13803136.529999999</c:v>
                </c:pt>
                <c:pt idx="2">
                  <c:v>13635764.699999999</c:v>
                </c:pt>
                <c:pt idx="3">
                  <c:v>13189564.109999999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1-4F75-9B5B-7EDED752B1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56141258"/>
        <c:axId val="88022602"/>
      </c:barChart>
      <c:catAx>
        <c:axId val="5614125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2602"/>
        <c:crosses val="autoZero"/>
        <c:auto val="1"/>
        <c:lblAlgn val="ctr"/>
        <c:lblOffset val="100"/>
        <c:noMultiLvlLbl val="0"/>
      </c:catAx>
      <c:valAx>
        <c:axId val="8802260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12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Dashboard!$AG$2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19-4E11-BFB9-A79193280C3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19-4E11-BFB9-A79193280C31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19-4E11-BFB9-A79193280C31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1">
                      <a:lumMod val="60000"/>
                      <a:shade val="51000"/>
                    </a:schemeClr>
                  </a:gs>
                  <a:gs pos="80000">
                    <a:schemeClr val="accent1">
                      <a:lumMod val="60000"/>
                      <a:shade val="93000"/>
                    </a:schemeClr>
                  </a:gs>
                  <a:gs pos="100000">
                    <a:schemeClr val="accent1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19-4E11-BFB9-A79193280C31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3">
                      <a:lumMod val="60000"/>
                      <a:shade val="51000"/>
                    </a:schemeClr>
                  </a:gs>
                  <a:gs pos="80000">
                    <a:schemeClr val="accent3">
                      <a:lumMod val="60000"/>
                      <a:shade val="93000"/>
                    </a:schemeClr>
                  </a:gs>
                  <a:gs pos="100000">
                    <a:schemeClr val="accent3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19-4E11-BFB9-A79193280C31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5">
                      <a:lumMod val="60000"/>
                      <a:shade val="51000"/>
                    </a:schemeClr>
                  </a:gs>
                  <a:gs pos="80000">
                    <a:schemeClr val="accent5">
                      <a:lumMod val="60000"/>
                      <a:shade val="93000"/>
                    </a:schemeClr>
                  </a:gs>
                  <a:gs pos="100000">
                    <a:schemeClr val="accent5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19-4E11-BFB9-A79193280C31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shade val="51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19-4E11-BFB9-A79193280C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Dashboard!$AF$3:$AF$9</c:f>
              <c:strCache>
                <c:ptCount val="7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Digital Wallet</c:v>
                </c:pt>
                <c:pt idx="4">
                  <c:v>EMI</c:v>
                </c:pt>
                <c:pt idx="5">
                  <c:v>Net Banking</c:v>
                </c:pt>
                <c:pt idx="6">
                  <c:v>UPI</c:v>
                </c:pt>
              </c:strCache>
            </c:strRef>
          </c:cat>
          <c:val>
            <c:numRef>
              <c:f>Dashboard!$AG$3:$AG$9</c:f>
              <c:numCache>
                <c:formatCode>General</c:formatCode>
                <c:ptCount val="7"/>
                <c:pt idx="0">
                  <c:v>18342180.329999998</c:v>
                </c:pt>
                <c:pt idx="1">
                  <c:v>17606593.190000001</c:v>
                </c:pt>
                <c:pt idx="2">
                  <c:v>17846309.079999998</c:v>
                </c:pt>
                <c:pt idx="3">
                  <c:v>19558235.469999999</c:v>
                </c:pt>
                <c:pt idx="4">
                  <c:v>19189714.690000001</c:v>
                </c:pt>
                <c:pt idx="5">
                  <c:v>18581426.539999999</c:v>
                </c:pt>
                <c:pt idx="6">
                  <c:v>17429911.510000002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319-4E11-BFB9-A79193280C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Annual Revenue Trend (Monthly_KPIs)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Dashboard!$AJ$2</c:f>
              <c:strCache>
                <c:ptCount val="1"/>
                <c:pt idx="0">
                  <c:v>Revenue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Dashboard!$AI$3:$AI$5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Dashboard!$AJ$3:$AJ$5</c:f>
              <c:numCache>
                <c:formatCode>General</c:formatCode>
                <c:ptCount val="3"/>
                <c:pt idx="0">
                  <c:v>602090591.84000003</c:v>
                </c:pt>
                <c:pt idx="1">
                  <c:v>598930720.52999997</c:v>
                </c:pt>
                <c:pt idx="2">
                  <c:v>619602590.44000006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29-4840-8F20-C1E4E984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hiLowLines>
          <c:spPr>
            <a:ln w="9525">
              <a:solidFill>
                <a:schemeClr val="dk1">
                  <a:tint val="88500"/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40782133"/>
        <c:axId val="11876835"/>
      </c:lineChart>
      <c:catAx>
        <c:axId val="407821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835"/>
        <c:crosses val="autoZero"/>
        <c:auto val="1"/>
        <c:lblAlgn val="ctr"/>
        <c:lblOffset val="100"/>
        <c:noMultiLvlLbl val="0"/>
      </c:catAx>
      <c:valAx>
        <c:axId val="118768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21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Spend by Customer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Dashboard!$AM$2</c:f>
              <c:strCache>
                <c:ptCount val="1"/>
                <c:pt idx="0">
                  <c:v>Spend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Dashboard!$AL$3:$AL$6</c:f>
              <c:strCache>
                <c:ptCount val="4"/>
                <c:pt idx="0">
                  <c:v>Platinum</c:v>
                </c:pt>
                <c:pt idx="1">
                  <c:v>Gold</c:v>
                </c:pt>
                <c:pt idx="2">
                  <c:v>Silver</c:v>
                </c:pt>
                <c:pt idx="3">
                  <c:v>Bronze</c:v>
                </c:pt>
              </c:strCache>
            </c:strRef>
          </c:cat>
          <c:val>
            <c:numRef>
              <c:f>Dashboard!$AM$3:$AM$6</c:f>
              <c:numCache>
                <c:formatCode>General</c:formatCode>
                <c:ptCount val="4"/>
                <c:pt idx="0">
                  <c:v>78844986.030000001</c:v>
                </c:pt>
                <c:pt idx="1">
                  <c:v>19511511.23</c:v>
                </c:pt>
                <c:pt idx="2">
                  <c:v>5380142.1200000001</c:v>
                </c:pt>
                <c:pt idx="3">
                  <c:v>221608.9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8-443C-8106-4FF5E73D3D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84552811"/>
        <c:axId val="91336517"/>
      </c:barChart>
      <c:catAx>
        <c:axId val="845528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6517"/>
        <c:crosses val="autoZero"/>
        <c:auto val="1"/>
        <c:lblAlgn val="ctr"/>
        <c:lblOffset val="100"/>
        <c:noMultiLvlLbl val="0"/>
      </c:catAx>
      <c:valAx>
        <c:axId val="9133651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28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Customer Churn 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Dashboard!$AP$2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86-4BB0-BF00-75912C01A54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86-4BB0-BF00-75912C01A54B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86-4BB0-BF00-75912C01A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Dashboard!$AO$3:$AO$5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Dashboard!$AP$3:$AP$5</c:f>
              <c:numCache>
                <c:formatCode>General</c:formatCode>
                <c:ptCount val="3"/>
                <c:pt idx="0">
                  <c:v>486</c:v>
                </c:pt>
                <c:pt idx="1">
                  <c:v>263</c:v>
                </c:pt>
                <c:pt idx="2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6-4BB0-BF00-75912C01A5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Dashboard!$AS$2</c:f>
              <c:strCache>
                <c:ptCount val="1"/>
                <c:pt idx="0">
                  <c:v>Revenue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Dashboard!$AR$3:$AR$6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SMB</c:v>
                </c:pt>
              </c:strCache>
            </c:strRef>
          </c:cat>
          <c:val>
            <c:numRef>
              <c:f>Dashboard!$AS$3:$AS$6</c:f>
              <c:numCache>
                <c:formatCode>General</c:formatCode>
                <c:ptCount val="4"/>
                <c:pt idx="0">
                  <c:v>33912723.310000002</c:v>
                </c:pt>
                <c:pt idx="1">
                  <c:v>32784494</c:v>
                </c:pt>
                <c:pt idx="2">
                  <c:v>32042978.640000001</c:v>
                </c:pt>
                <c:pt idx="3">
                  <c:v>29814174.859999999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8-4809-8152-F91DC922A1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21384129"/>
        <c:axId val="85942476"/>
      </c:barChart>
      <c:catAx>
        <c:axId val="213841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476"/>
        <c:crosses val="autoZero"/>
        <c:auto val="1"/>
        <c:lblAlgn val="ctr"/>
        <c:lblOffset val="100"/>
        <c:noMultiLvlLbl val="0"/>
      </c:catAx>
      <c:valAx>
        <c:axId val="859424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41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 Units by Category (Product_Master)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Dashboard!$AV$2</c:f>
              <c:strCache>
                <c:ptCount val="1"/>
                <c:pt idx="0">
                  <c:v>Stock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Dashboard!$AU$3:$AU$7</c:f>
              <c:strCache>
                <c:ptCount val="5"/>
                <c:pt idx="0">
                  <c:v>Clothing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 &amp; Fitness</c:v>
                </c:pt>
              </c:strCache>
            </c:strRef>
          </c:cat>
          <c:val>
            <c:numRef>
              <c:f>Dashboard!$AV$3:$AV$7</c:f>
              <c:numCache>
                <c:formatCode>General</c:formatCode>
                <c:ptCount val="5"/>
                <c:pt idx="0">
                  <c:v>4728</c:v>
                </c:pt>
                <c:pt idx="1">
                  <c:v>4114</c:v>
                </c:pt>
                <c:pt idx="2">
                  <c:v>3617</c:v>
                </c:pt>
                <c:pt idx="3">
                  <c:v>3295</c:v>
                </c:pt>
                <c:pt idx="4">
                  <c:v>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8-48B0-9672-1E3B3CBCE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94997209"/>
        <c:axId val="92270593"/>
      </c:barChart>
      <c:catAx>
        <c:axId val="9499720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0593"/>
        <c:crosses val="autoZero"/>
        <c:auto val="1"/>
        <c:lblAlgn val="ctr"/>
        <c:lblOffset val="100"/>
        <c:noMultiLvlLbl val="0"/>
      </c:catAx>
      <c:valAx>
        <c:axId val="9227059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7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182880</xdr:rowOff>
    </xdr:from>
    <xdr:to>
      <xdr:col>6</xdr:col>
      <xdr:colOff>105480</xdr:colOff>
      <xdr:row>32</xdr:row>
      <xdr:rowOff>124560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129540</xdr:colOff>
      <xdr:row>16</xdr:row>
      <xdr:rowOff>175260</xdr:rowOff>
    </xdr:from>
    <xdr:to>
      <xdr:col>11</xdr:col>
      <xdr:colOff>235020</xdr:colOff>
      <xdr:row>32</xdr:row>
      <xdr:rowOff>116940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60960</xdr:rowOff>
    </xdr:from>
    <xdr:to>
      <xdr:col>5</xdr:col>
      <xdr:colOff>732240</xdr:colOff>
      <xdr:row>53</xdr:row>
      <xdr:rowOff>2640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37</xdr:row>
      <xdr:rowOff>68580</xdr:rowOff>
    </xdr:from>
    <xdr:to>
      <xdr:col>11</xdr:col>
      <xdr:colOff>105480</xdr:colOff>
      <xdr:row>53</xdr:row>
      <xdr:rowOff>10260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58</xdr:row>
      <xdr:rowOff>91440</xdr:rowOff>
    </xdr:from>
    <xdr:to>
      <xdr:col>5</xdr:col>
      <xdr:colOff>732240</xdr:colOff>
      <xdr:row>74</xdr:row>
      <xdr:rowOff>33120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58</xdr:row>
      <xdr:rowOff>76200</xdr:rowOff>
    </xdr:from>
    <xdr:to>
      <xdr:col>10</xdr:col>
      <xdr:colOff>732240</xdr:colOff>
      <xdr:row>74</xdr:row>
      <xdr:rowOff>17880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79</xdr:row>
      <xdr:rowOff>53340</xdr:rowOff>
    </xdr:from>
    <xdr:to>
      <xdr:col>5</xdr:col>
      <xdr:colOff>732240</xdr:colOff>
      <xdr:row>95</xdr:row>
      <xdr:rowOff>54060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79</xdr:row>
      <xdr:rowOff>60960</xdr:rowOff>
    </xdr:from>
    <xdr:to>
      <xdr:col>10</xdr:col>
      <xdr:colOff>732240</xdr:colOff>
      <xdr:row>95</xdr:row>
      <xdr:rowOff>61680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137"/>
  </sheetPr>
  <dimension ref="A1:AV84"/>
  <sheetViews>
    <sheetView showGridLines="0" tabSelected="1" topLeftCell="A8" zoomScaleNormal="100" workbookViewId="0">
      <selection activeCell="A100" sqref="A100:XFD100"/>
    </sheetView>
  </sheetViews>
  <sheetFormatPr defaultColWidth="8.6640625" defaultRowHeight="14.4" x14ac:dyDescent="0.3"/>
  <cols>
    <col min="1" max="1" width="1.5546875" customWidth="1"/>
    <col min="2" max="11" width="14" customWidth="1"/>
  </cols>
  <sheetData>
    <row r="1" spans="1:48" ht="42" customHeight="1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48" ht="18" customHeight="1" x14ac:dyDescent="0.3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X2" t="s">
        <v>1</v>
      </c>
      <c r="Y2" t="s">
        <v>2</v>
      </c>
      <c r="Z2" t="s">
        <v>3</v>
      </c>
      <c r="AB2" t="s">
        <v>4</v>
      </c>
      <c r="AC2" t="s">
        <v>2</v>
      </c>
      <c r="AD2" t="s">
        <v>3</v>
      </c>
      <c r="AF2" t="s">
        <v>5</v>
      </c>
      <c r="AG2" t="s">
        <v>2</v>
      </c>
      <c r="AI2" t="s">
        <v>6</v>
      </c>
      <c r="AJ2" t="s">
        <v>2</v>
      </c>
      <c r="AL2" t="s">
        <v>7</v>
      </c>
      <c r="AM2" t="s">
        <v>8</v>
      </c>
      <c r="AO2" t="s">
        <v>9</v>
      </c>
      <c r="AP2" t="s">
        <v>10</v>
      </c>
      <c r="AR2" t="s">
        <v>11</v>
      </c>
      <c r="AS2" t="s">
        <v>2</v>
      </c>
      <c r="AU2" t="s">
        <v>1</v>
      </c>
      <c r="AV2" t="s">
        <v>12</v>
      </c>
    </row>
    <row r="3" spans="1:48" ht="18" customHeight="1" x14ac:dyDescent="0.3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X3" t="s">
        <v>13</v>
      </c>
      <c r="Y3">
        <v>27721929.539999999</v>
      </c>
      <c r="Z3">
        <v>11790499.800000001</v>
      </c>
      <c r="AB3" t="s">
        <v>14</v>
      </c>
      <c r="AC3">
        <v>33225560.329999998</v>
      </c>
      <c r="AD3">
        <v>14109386.390000001</v>
      </c>
      <c r="AF3" t="s">
        <v>15</v>
      </c>
      <c r="AG3">
        <v>18342180.329999998</v>
      </c>
      <c r="AI3">
        <v>2022</v>
      </c>
      <c r="AJ3">
        <v>602090591.84000003</v>
      </c>
      <c r="AL3" t="s">
        <v>16</v>
      </c>
      <c r="AM3">
        <v>78844986.030000001</v>
      </c>
      <c r="AO3" t="s">
        <v>17</v>
      </c>
      <c r="AP3">
        <v>486</v>
      </c>
      <c r="AR3" t="s">
        <v>18</v>
      </c>
      <c r="AS3">
        <v>33912723.310000002</v>
      </c>
      <c r="AU3" t="s">
        <v>19</v>
      </c>
      <c r="AV3">
        <v>4728</v>
      </c>
    </row>
    <row r="4" spans="1:48" ht="19.5" customHeight="1" x14ac:dyDescent="0.3">
      <c r="A4" s="79" t="s">
        <v>20</v>
      </c>
      <c r="B4" s="79"/>
      <c r="C4" s="79"/>
      <c r="D4" s="79"/>
      <c r="E4" s="79"/>
      <c r="F4" s="79"/>
      <c r="G4" s="79"/>
      <c r="H4" s="79"/>
      <c r="I4" s="79"/>
      <c r="J4" s="79"/>
      <c r="K4" s="79"/>
      <c r="X4" t="s">
        <v>21</v>
      </c>
      <c r="Y4">
        <v>26271272.760000002</v>
      </c>
      <c r="Z4">
        <v>11293621.59</v>
      </c>
      <c r="AB4" t="s">
        <v>22</v>
      </c>
      <c r="AC4">
        <v>32398259.960000001</v>
      </c>
      <c r="AD4">
        <v>13803136.529999999</v>
      </c>
      <c r="AF4" t="s">
        <v>23</v>
      </c>
      <c r="AG4">
        <v>17606593.190000001</v>
      </c>
      <c r="AI4">
        <v>2023</v>
      </c>
      <c r="AJ4">
        <v>598930720.52999997</v>
      </c>
      <c r="AL4" t="s">
        <v>24</v>
      </c>
      <c r="AM4">
        <v>19511511.23</v>
      </c>
      <c r="AO4" t="s">
        <v>25</v>
      </c>
      <c r="AP4">
        <v>263</v>
      </c>
      <c r="AR4" t="s">
        <v>26</v>
      </c>
      <c r="AS4">
        <v>32784494</v>
      </c>
      <c r="AU4" t="s">
        <v>27</v>
      </c>
      <c r="AV4">
        <v>4114</v>
      </c>
    </row>
    <row r="5" spans="1:48" ht="9.75" customHeight="1" x14ac:dyDescent="0.3">
      <c r="X5" t="s">
        <v>28</v>
      </c>
      <c r="Y5">
        <v>26037256.43</v>
      </c>
      <c r="Z5">
        <v>11003921.77</v>
      </c>
      <c r="AB5" t="s">
        <v>29</v>
      </c>
      <c r="AC5">
        <v>32090536.120000001</v>
      </c>
      <c r="AD5">
        <v>13635764.699999999</v>
      </c>
      <c r="AF5" t="s">
        <v>30</v>
      </c>
      <c r="AG5">
        <v>17846309.079999998</v>
      </c>
      <c r="AI5">
        <v>2024</v>
      </c>
      <c r="AJ5">
        <v>619602590.44000006</v>
      </c>
      <c r="AL5" t="s">
        <v>31</v>
      </c>
      <c r="AM5">
        <v>5380142.1200000001</v>
      </c>
      <c r="AO5" t="s">
        <v>32</v>
      </c>
      <c r="AP5">
        <v>252</v>
      </c>
      <c r="AR5" t="s">
        <v>33</v>
      </c>
      <c r="AS5">
        <v>32042978.640000001</v>
      </c>
      <c r="AU5" t="s">
        <v>21</v>
      </c>
      <c r="AV5">
        <v>3617</v>
      </c>
    </row>
    <row r="6" spans="1:48" ht="18" customHeight="1" x14ac:dyDescent="0.3">
      <c r="B6" s="80" t="s">
        <v>34</v>
      </c>
      <c r="C6" s="80"/>
      <c r="D6" s="81" t="s">
        <v>35</v>
      </c>
      <c r="E6" s="81"/>
      <c r="F6" s="65" t="s">
        <v>36</v>
      </c>
      <c r="G6" s="65"/>
      <c r="H6" s="69" t="s">
        <v>37</v>
      </c>
      <c r="I6" s="69"/>
      <c r="J6" s="66" t="s">
        <v>38</v>
      </c>
      <c r="K6" s="66"/>
      <c r="X6" t="s">
        <v>19</v>
      </c>
      <c r="Y6">
        <v>25348910.289999999</v>
      </c>
      <c r="Z6">
        <v>10931519.09</v>
      </c>
      <c r="AB6" t="s">
        <v>39</v>
      </c>
      <c r="AC6">
        <v>30840014.399999999</v>
      </c>
      <c r="AD6">
        <v>13189564.109999999</v>
      </c>
      <c r="AF6" t="s">
        <v>40</v>
      </c>
      <c r="AG6">
        <v>19558235.469999999</v>
      </c>
      <c r="AL6" t="s">
        <v>41</v>
      </c>
      <c r="AM6">
        <v>221608.9</v>
      </c>
      <c r="AR6" t="s">
        <v>42</v>
      </c>
      <c r="AS6">
        <v>29814174.859999999</v>
      </c>
      <c r="AU6" t="s">
        <v>13</v>
      </c>
      <c r="AV6">
        <v>3295</v>
      </c>
    </row>
    <row r="7" spans="1:48" ht="27.75" customHeight="1" x14ac:dyDescent="0.3">
      <c r="B7" s="74">
        <f>SUM(Orders!U2:U2001)</f>
        <v>128554370.80999991</v>
      </c>
      <c r="C7" s="74"/>
      <c r="D7" s="75">
        <f>COUNTA(Orders!A2:A2001)-1</f>
        <v>1999</v>
      </c>
      <c r="E7" s="75"/>
      <c r="F7" s="60">
        <f>SUM(Orders!W2:W2001)</f>
        <v>54737851.730000079</v>
      </c>
      <c r="G7" s="60"/>
      <c r="H7" s="76">
        <f>COUNTIF(Orders!AC2:AC2001,"Yes")/COUNTA(Orders!A2:A2001)</f>
        <v>0</v>
      </c>
      <c r="I7" s="76"/>
      <c r="J7" s="77">
        <f>AVERAGE(Orders!AC2:AC2001)</f>
        <v>2.918421052631579</v>
      </c>
      <c r="K7" s="77"/>
      <c r="X7" t="s">
        <v>27</v>
      </c>
      <c r="Y7">
        <v>23175001.789999999</v>
      </c>
      <c r="Z7">
        <v>9718289.4800000004</v>
      </c>
      <c r="AF7" t="s">
        <v>43</v>
      </c>
      <c r="AG7">
        <v>19189714.690000001</v>
      </c>
      <c r="AU7" t="s">
        <v>28</v>
      </c>
      <c r="AV7">
        <v>2813</v>
      </c>
    </row>
    <row r="8" spans="1:48" ht="13.5" customHeight="1" x14ac:dyDescent="0.3">
      <c r="B8" s="72" t="s">
        <v>44</v>
      </c>
      <c r="C8" s="72"/>
      <c r="D8" s="73" t="s">
        <v>45</v>
      </c>
      <c r="E8" s="73"/>
      <c r="F8" s="55" t="s">
        <v>44</v>
      </c>
      <c r="G8" s="55"/>
      <c r="H8" s="59" t="s">
        <v>44</v>
      </c>
      <c r="I8" s="59"/>
      <c r="J8" s="56" t="s">
        <v>46</v>
      </c>
      <c r="K8" s="56"/>
      <c r="AF8" t="s">
        <v>47</v>
      </c>
      <c r="AG8">
        <v>18581426.539999999</v>
      </c>
    </row>
    <row r="9" spans="1:48" ht="6" customHeight="1" x14ac:dyDescent="0.3">
      <c r="B9" s="70"/>
      <c r="C9" s="70"/>
      <c r="D9" s="71"/>
      <c r="E9" s="71"/>
      <c r="F9" s="50"/>
      <c r="G9" s="50"/>
      <c r="H9" s="54"/>
      <c r="I9" s="54"/>
      <c r="J9" s="51"/>
      <c r="K9" s="51"/>
      <c r="AF9" t="s">
        <v>48</v>
      </c>
      <c r="AG9">
        <v>17429911.510000002</v>
      </c>
    </row>
    <row r="10" spans="1:48" ht="9.75" customHeight="1" x14ac:dyDescent="0.3"/>
    <row r="11" spans="1:48" ht="18" customHeight="1" x14ac:dyDescent="0.3">
      <c r="B11" s="65" t="s">
        <v>49</v>
      </c>
      <c r="C11" s="65"/>
      <c r="D11" s="66" t="s">
        <v>50</v>
      </c>
      <c r="E11" s="66"/>
      <c r="F11" s="67" t="s">
        <v>51</v>
      </c>
      <c r="G11" s="67"/>
      <c r="H11" s="68" t="s">
        <v>52</v>
      </c>
      <c r="I11" s="68"/>
      <c r="J11" s="69" t="s">
        <v>53</v>
      </c>
      <c r="K11" s="69"/>
    </row>
    <row r="12" spans="1:48" ht="27.75" customHeight="1" x14ac:dyDescent="0.3">
      <c r="B12" s="60">
        <f>COUNTA(Customer_Segments!A2:A1002)-1</f>
        <v>1000</v>
      </c>
      <c r="C12" s="60"/>
      <c r="D12" s="61">
        <f>COUNTA(Product_Master!A2:A71)-1</f>
        <v>69</v>
      </c>
      <c r="E12" s="61"/>
      <c r="F12" s="62">
        <f>COUNTIF(Customer_Segments!N2:N1002,"High")</f>
        <v>486</v>
      </c>
      <c r="G12" s="62"/>
      <c r="H12" s="63">
        <f>COUNTIF(Product_Master!L2:L71,"Yes")</f>
        <v>31</v>
      </c>
      <c r="I12" s="63"/>
      <c r="J12" s="64">
        <f>SUM(Monthly_KPIs!M2:M721)</f>
        <v>36943</v>
      </c>
      <c r="K12" s="64"/>
    </row>
    <row r="13" spans="1:48" ht="13.5" customHeight="1" x14ac:dyDescent="0.3">
      <c r="B13" s="55" t="s">
        <v>54</v>
      </c>
      <c r="C13" s="55"/>
      <c r="D13" s="56" t="s">
        <v>55</v>
      </c>
      <c r="E13" s="56"/>
      <c r="F13" s="57" t="s">
        <v>54</v>
      </c>
      <c r="G13" s="57"/>
      <c r="H13" s="58" t="s">
        <v>55</v>
      </c>
      <c r="I13" s="58"/>
      <c r="J13" s="59" t="s">
        <v>56</v>
      </c>
      <c r="K13" s="59"/>
    </row>
    <row r="14" spans="1:48" ht="6" customHeight="1" x14ac:dyDescent="0.3">
      <c r="B14" s="50"/>
      <c r="C14" s="50"/>
      <c r="D14" s="51"/>
      <c r="E14" s="51"/>
      <c r="F14" s="52"/>
      <c r="G14" s="52"/>
      <c r="H14" s="53"/>
      <c r="I14" s="53"/>
      <c r="J14" s="54"/>
      <c r="K14" s="54"/>
    </row>
    <row r="15" spans="1:48" ht="9.75" customHeight="1" x14ac:dyDescent="0.3"/>
    <row r="16" spans="1:48" ht="21.75" customHeight="1" x14ac:dyDescent="0.3">
      <c r="B16" s="49" t="s">
        <v>57</v>
      </c>
      <c r="C16" s="49"/>
      <c r="D16" s="49"/>
      <c r="E16" s="49"/>
      <c r="F16" s="49"/>
      <c r="G16" s="49"/>
      <c r="H16" s="49"/>
      <c r="I16" s="49"/>
      <c r="J16" s="49"/>
      <c r="K16" s="49"/>
    </row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spans="2:11" ht="18" customHeight="1" x14ac:dyDescent="0.3"/>
    <row r="34" spans="2:11" ht="18" customHeight="1" x14ac:dyDescent="0.3"/>
    <row r="35" spans="2:11" ht="18" customHeight="1" x14ac:dyDescent="0.3"/>
    <row r="36" spans="2:11" ht="18" customHeight="1" x14ac:dyDescent="0.3"/>
    <row r="37" spans="2:11" ht="21.75" customHeight="1" x14ac:dyDescent="0.3">
      <c r="B37" s="49" t="s">
        <v>58</v>
      </c>
      <c r="C37" s="49"/>
      <c r="D37" s="49"/>
      <c r="E37" s="49"/>
      <c r="F37" s="49"/>
      <c r="G37" s="49"/>
      <c r="H37" s="49"/>
      <c r="I37" s="49"/>
      <c r="J37" s="49"/>
      <c r="K37" s="49"/>
    </row>
    <row r="38" spans="2:11" ht="18" customHeight="1" x14ac:dyDescent="0.3"/>
    <row r="39" spans="2:11" ht="18" customHeight="1" x14ac:dyDescent="0.3"/>
    <row r="40" spans="2:11" ht="18" customHeight="1" x14ac:dyDescent="0.3"/>
    <row r="41" spans="2:11" ht="18" customHeight="1" x14ac:dyDescent="0.3"/>
    <row r="42" spans="2:11" ht="18" customHeight="1" x14ac:dyDescent="0.3"/>
    <row r="43" spans="2:11" ht="18" customHeight="1" x14ac:dyDescent="0.3"/>
    <row r="44" spans="2:11" ht="18" customHeight="1" x14ac:dyDescent="0.3"/>
    <row r="45" spans="2:11" ht="18" customHeight="1" x14ac:dyDescent="0.3"/>
    <row r="46" spans="2:11" ht="18" customHeight="1" x14ac:dyDescent="0.3"/>
    <row r="47" spans="2:11" ht="18" customHeight="1" x14ac:dyDescent="0.3"/>
    <row r="48" spans="2:11" ht="18" customHeight="1" x14ac:dyDescent="0.3"/>
    <row r="49" spans="2:11" ht="18" customHeight="1" x14ac:dyDescent="0.3"/>
    <row r="50" spans="2:11" ht="18" customHeight="1" x14ac:dyDescent="0.3"/>
    <row r="51" spans="2:11" ht="18" customHeight="1" x14ac:dyDescent="0.3"/>
    <row r="52" spans="2:11" ht="18" customHeight="1" x14ac:dyDescent="0.3"/>
    <row r="53" spans="2:11" ht="18" customHeight="1" x14ac:dyDescent="0.3"/>
    <row r="54" spans="2:11" ht="18" customHeight="1" x14ac:dyDescent="0.3"/>
    <row r="55" spans="2:11" ht="18" customHeight="1" x14ac:dyDescent="0.3"/>
    <row r="56" spans="2:11" ht="18" customHeight="1" x14ac:dyDescent="0.3"/>
    <row r="57" spans="2:11" ht="18" customHeight="1" x14ac:dyDescent="0.3"/>
    <row r="58" spans="2:11" ht="21.75" customHeight="1" x14ac:dyDescent="0.3">
      <c r="B58" s="49" t="s">
        <v>59</v>
      </c>
      <c r="C58" s="49"/>
      <c r="D58" s="49"/>
      <c r="E58" s="49"/>
      <c r="F58" s="49"/>
      <c r="G58" s="49"/>
      <c r="H58" s="49"/>
      <c r="I58" s="49"/>
      <c r="J58" s="49"/>
      <c r="K58" s="49"/>
    </row>
    <row r="59" spans="2:11" ht="18" customHeight="1" x14ac:dyDescent="0.3"/>
    <row r="60" spans="2:11" ht="18" customHeight="1" x14ac:dyDescent="0.3"/>
    <row r="61" spans="2:11" ht="18" customHeight="1" x14ac:dyDescent="0.3"/>
    <row r="62" spans="2:11" ht="18" customHeight="1" x14ac:dyDescent="0.3"/>
    <row r="63" spans="2:11" ht="18" customHeight="1" x14ac:dyDescent="0.3"/>
    <row r="64" spans="2:11" ht="18" customHeight="1" x14ac:dyDescent="0.3"/>
    <row r="65" spans="2:11" ht="18" customHeight="1" x14ac:dyDescent="0.3"/>
    <row r="66" spans="2:11" ht="18" customHeight="1" x14ac:dyDescent="0.3"/>
    <row r="67" spans="2:11" ht="18" customHeight="1" x14ac:dyDescent="0.3"/>
    <row r="68" spans="2:11" ht="18" customHeight="1" x14ac:dyDescent="0.3"/>
    <row r="69" spans="2:11" ht="18" customHeight="1" x14ac:dyDescent="0.3"/>
    <row r="70" spans="2:11" ht="18" customHeight="1" x14ac:dyDescent="0.3"/>
    <row r="71" spans="2:11" ht="18" customHeight="1" x14ac:dyDescent="0.3"/>
    <row r="72" spans="2:11" ht="18" customHeight="1" x14ac:dyDescent="0.3"/>
    <row r="73" spans="2:11" ht="18" customHeight="1" x14ac:dyDescent="0.3"/>
    <row r="74" spans="2:11" ht="18" customHeight="1" x14ac:dyDescent="0.3"/>
    <row r="75" spans="2:11" ht="18" customHeight="1" x14ac:dyDescent="0.3"/>
    <row r="76" spans="2:11" ht="18" customHeight="1" x14ac:dyDescent="0.3"/>
    <row r="77" spans="2:11" ht="18" customHeight="1" x14ac:dyDescent="0.3"/>
    <row r="78" spans="2:11" ht="18" customHeight="1" x14ac:dyDescent="0.3"/>
    <row r="79" spans="2:11" ht="21.75" customHeight="1" x14ac:dyDescent="0.3">
      <c r="B79" s="49" t="s">
        <v>60</v>
      </c>
      <c r="C79" s="49"/>
      <c r="D79" s="49"/>
      <c r="E79" s="49"/>
      <c r="F79" s="49"/>
      <c r="G79" s="49"/>
      <c r="H79" s="49"/>
      <c r="I79" s="49"/>
      <c r="J79" s="49"/>
      <c r="K79" s="49"/>
    </row>
    <row r="80" spans="2:11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</sheetData>
  <mergeCells count="46">
    <mergeCell ref="A1:K3"/>
    <mergeCell ref="A4:K4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6:K16"/>
    <mergeCell ref="B37:K37"/>
    <mergeCell ref="B58:K58"/>
    <mergeCell ref="B79:K79"/>
    <mergeCell ref="B14:C14"/>
    <mergeCell ref="D14:E14"/>
    <mergeCell ref="F14:G14"/>
    <mergeCell ref="H14:I14"/>
    <mergeCell ref="J14:K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148C"/>
  </sheetPr>
  <dimension ref="A1:F33"/>
  <sheetViews>
    <sheetView showGridLines="0" showRowColHeaders="0" topLeftCell="A25" zoomScaleNormal="100" workbookViewId="0">
      <selection sqref="A1:F1"/>
    </sheetView>
  </sheetViews>
  <sheetFormatPr defaultColWidth="8.6640625" defaultRowHeight="14.4" x14ac:dyDescent="0.3"/>
  <cols>
    <col min="1" max="1" width="32" customWidth="1"/>
    <col min="2" max="2" width="42" customWidth="1"/>
    <col min="3" max="3" width="18" customWidth="1"/>
    <col min="4" max="4" width="22" customWidth="1"/>
  </cols>
  <sheetData>
    <row r="1" spans="1:6" ht="31.5" customHeight="1" x14ac:dyDescent="0.3">
      <c r="A1" s="82" t="s">
        <v>9789</v>
      </c>
      <c r="B1" s="82"/>
      <c r="C1" s="82"/>
      <c r="D1" s="82"/>
      <c r="E1" s="82"/>
      <c r="F1" s="82"/>
    </row>
    <row r="3" spans="1:6" x14ac:dyDescent="0.3">
      <c r="A3" s="25" t="s">
        <v>9790</v>
      </c>
      <c r="B3" s="25" t="s">
        <v>9791</v>
      </c>
      <c r="C3" s="25" t="s">
        <v>9792</v>
      </c>
      <c r="D3" s="25" t="s">
        <v>9793</v>
      </c>
    </row>
    <row r="4" spans="1:6" ht="21.75" customHeight="1" x14ac:dyDescent="0.3">
      <c r="A4" s="83" t="s">
        <v>9794</v>
      </c>
      <c r="B4" s="83"/>
      <c r="C4" s="83"/>
      <c r="D4" s="83"/>
    </row>
    <row r="5" spans="1:6" x14ac:dyDescent="0.3">
      <c r="A5" s="26" t="s">
        <v>9795</v>
      </c>
      <c r="B5" s="27">
        <f>COUNTA(Orders!A2:A2001)-1</f>
        <v>1999</v>
      </c>
      <c r="C5" s="28">
        <f>COUNTA(Orders!A2:A2001)-1</f>
        <v>1999</v>
      </c>
      <c r="D5" s="4" t="s">
        <v>9796</v>
      </c>
    </row>
    <row r="6" spans="1:6" x14ac:dyDescent="0.3">
      <c r="A6" s="29" t="s">
        <v>9797</v>
      </c>
      <c r="B6" s="30">
        <f>SUM(Orders!U2:U2001)</f>
        <v>128554370.80999991</v>
      </c>
      <c r="C6" s="31">
        <f>SUM(Orders!U2:U2001)</f>
        <v>128554370.80999991</v>
      </c>
      <c r="D6" s="4" t="s">
        <v>9796</v>
      </c>
    </row>
    <row r="7" spans="1:6" x14ac:dyDescent="0.3">
      <c r="A7" s="26" t="s">
        <v>9798</v>
      </c>
      <c r="B7" s="27">
        <f>SUM(Orders!W2:W2001)</f>
        <v>54737851.730000079</v>
      </c>
      <c r="C7" s="28">
        <f>SUM(Orders!W2:W2001)</f>
        <v>54737851.730000079</v>
      </c>
      <c r="D7" s="4" t="s">
        <v>9796</v>
      </c>
    </row>
    <row r="8" spans="1:6" x14ac:dyDescent="0.3">
      <c r="A8" s="29" t="s">
        <v>9799</v>
      </c>
      <c r="B8" s="30">
        <f>AVERAGE(Orders!U2:U2001)</f>
        <v>64277.185404999953</v>
      </c>
      <c r="C8" s="31">
        <f>AVERAGE(Orders!U2:U2001)</f>
        <v>64277.185404999953</v>
      </c>
      <c r="D8" s="4" t="s">
        <v>9796</v>
      </c>
    </row>
    <row r="9" spans="1:6" x14ac:dyDescent="0.3">
      <c r="A9" s="26" t="s">
        <v>9800</v>
      </c>
      <c r="B9" s="27">
        <f>AVERAGE(Orders!X2:X2001)/100</f>
        <v>0.42552375000000014</v>
      </c>
      <c r="C9" s="32">
        <f>AVERAGE(Orders!X2:X2001)/100</f>
        <v>0.42552375000000014</v>
      </c>
      <c r="D9" s="4" t="s">
        <v>9796</v>
      </c>
    </row>
    <row r="10" spans="1:6" x14ac:dyDescent="0.3">
      <c r="A10" s="29" t="s">
        <v>9801</v>
      </c>
      <c r="B10" s="30">
        <f>AVERAGE(Orders!I2:I2001)</f>
        <v>5.0039999999999996</v>
      </c>
      <c r="C10" s="33">
        <f>AVERAGE(Orders!I2:I2001)</f>
        <v>5.0039999999999996</v>
      </c>
      <c r="D10" s="4" t="s">
        <v>9796</v>
      </c>
    </row>
    <row r="11" spans="1:6" x14ac:dyDescent="0.3">
      <c r="A11" s="26" t="s">
        <v>9802</v>
      </c>
      <c r="B11" s="27">
        <f>SUM(Orders!Y2:Y2001)</f>
        <v>175778</v>
      </c>
      <c r="C11" s="28">
        <f>SUM(Orders!Y2:Y2001)</f>
        <v>175778</v>
      </c>
      <c r="D11" s="4" t="s">
        <v>9796</v>
      </c>
    </row>
    <row r="12" spans="1:6" x14ac:dyDescent="0.3">
      <c r="A12" s="29" t="s">
        <v>9803</v>
      </c>
      <c r="B12" s="30">
        <f>COUNTIF(Orders!AC2:AC2001,"Yes")</f>
        <v>0</v>
      </c>
      <c r="C12" s="31">
        <f>COUNTIF(Orders!AC2:AC2001,"Yes")</f>
        <v>0</v>
      </c>
      <c r="D12" s="4" t="s">
        <v>9796</v>
      </c>
    </row>
    <row r="13" spans="1:6" x14ac:dyDescent="0.3">
      <c r="A13" s="26" t="s">
        <v>9804</v>
      </c>
      <c r="B13" s="27">
        <f>COUNTIF(Orders!AC2:AC2001,"Yes")/COUNTA(Orders!A2:A2001)</f>
        <v>0</v>
      </c>
      <c r="C13" s="32">
        <f>COUNTIF(Orders!AC2:AC2001,"Yes")/COUNTA(Orders!A2:A2001)</f>
        <v>0</v>
      </c>
      <c r="D13" s="4" t="s">
        <v>9796</v>
      </c>
    </row>
    <row r="14" spans="1:6" x14ac:dyDescent="0.3">
      <c r="A14" s="29" t="s">
        <v>9805</v>
      </c>
      <c r="B14" s="30">
        <f>AVERAGE(Orders!AC2:AC2001)</f>
        <v>2.918421052631579</v>
      </c>
      <c r="C14" s="34">
        <f>AVERAGE(Orders!AC2:AC2001)</f>
        <v>2.918421052631579</v>
      </c>
      <c r="D14" s="4" t="s">
        <v>9796</v>
      </c>
    </row>
    <row r="15" spans="1:6" ht="21.75" customHeight="1" x14ac:dyDescent="0.3">
      <c r="A15" s="83" t="s">
        <v>9806</v>
      </c>
      <c r="B15" s="83"/>
      <c r="C15" s="83"/>
      <c r="D15" s="83"/>
    </row>
    <row r="16" spans="1:6" x14ac:dyDescent="0.3">
      <c r="A16" s="29" t="s">
        <v>9807</v>
      </c>
      <c r="B16" s="30">
        <f>COUNTA(Product_Master!A2:A71)-1</f>
        <v>69</v>
      </c>
      <c r="C16" s="35">
        <f>COUNTA(Product_Master!A2:A71)-1</f>
        <v>69</v>
      </c>
      <c r="D16" s="5" t="s">
        <v>55</v>
      </c>
    </row>
    <row r="17" spans="1:4" x14ac:dyDescent="0.3">
      <c r="A17" s="26" t="s">
        <v>9808</v>
      </c>
      <c r="B17" s="27">
        <f>SUM(Product_Master!H2:H71)</f>
        <v>18567</v>
      </c>
      <c r="C17" s="36">
        <f>SUM(Product_Master!H2:H71)</f>
        <v>18567</v>
      </c>
      <c r="D17" s="5" t="s">
        <v>55</v>
      </c>
    </row>
    <row r="18" spans="1:4" x14ac:dyDescent="0.3">
      <c r="A18" s="29" t="s">
        <v>9809</v>
      </c>
      <c r="B18" s="30">
        <f>AVERAGE(Product_Master!I2:I71)</f>
        <v>4.1528571428571421</v>
      </c>
      <c r="C18" s="37">
        <f>AVERAGE(Product_Master!I2:I71)</f>
        <v>4.1528571428571421</v>
      </c>
      <c r="D18" s="5" t="s">
        <v>55</v>
      </c>
    </row>
    <row r="19" spans="1:4" x14ac:dyDescent="0.3">
      <c r="A19" s="26" t="s">
        <v>9810</v>
      </c>
      <c r="B19" s="27">
        <f>AVERAGE(Product_Master!F2:F71)</f>
        <v>24564.374142857134</v>
      </c>
      <c r="C19" s="36">
        <f>AVERAGE(Product_Master!F2:F71)</f>
        <v>24564.374142857134</v>
      </c>
      <c r="D19" s="5" t="s">
        <v>55</v>
      </c>
    </row>
    <row r="20" spans="1:4" x14ac:dyDescent="0.3">
      <c r="A20" s="29" t="s">
        <v>9811</v>
      </c>
      <c r="B20" s="30">
        <f>AVERAGE(Product_Master!G2:G71)</f>
        <v>12876.479857142858</v>
      </c>
      <c r="C20" s="35">
        <f>AVERAGE(Product_Master!G2:G71)</f>
        <v>12876.479857142858</v>
      </c>
      <c r="D20" s="5" t="s">
        <v>55</v>
      </c>
    </row>
    <row r="21" spans="1:4" x14ac:dyDescent="0.3">
      <c r="A21" s="26" t="s">
        <v>9812</v>
      </c>
      <c r="B21" s="27">
        <f>COUNTIF(Product_Master!L2:L71,"Yes")</f>
        <v>31</v>
      </c>
      <c r="C21" s="36">
        <f>COUNTIF(Product_Master!L2:L71,"Yes")</f>
        <v>31</v>
      </c>
      <c r="D21" s="5" t="s">
        <v>55</v>
      </c>
    </row>
    <row r="22" spans="1:4" ht="21.75" customHeight="1" x14ac:dyDescent="0.3">
      <c r="A22" s="83" t="s">
        <v>9813</v>
      </c>
      <c r="B22" s="83"/>
      <c r="C22" s="83"/>
      <c r="D22" s="83"/>
    </row>
    <row r="23" spans="1:4" x14ac:dyDescent="0.3">
      <c r="A23" s="26" t="s">
        <v>9814</v>
      </c>
      <c r="B23" s="27">
        <f>COUNTA(Customer_Segments!A2:A1002)-1</f>
        <v>1000</v>
      </c>
      <c r="C23" s="38">
        <f>COUNTA(Customer_Segments!A2:A1002)-1</f>
        <v>1000</v>
      </c>
      <c r="D23" s="6" t="s">
        <v>54</v>
      </c>
    </row>
    <row r="24" spans="1:4" x14ac:dyDescent="0.3">
      <c r="A24" s="29" t="s">
        <v>9815</v>
      </c>
      <c r="B24" s="30">
        <f>SUM(Customer_Segments!G2:G1002)</f>
        <v>103958248.28000006</v>
      </c>
      <c r="C24" s="39">
        <f>SUM(Customer_Segments!G2:G1002)</f>
        <v>103958248.28000006</v>
      </c>
      <c r="D24" s="6" t="s">
        <v>54</v>
      </c>
    </row>
    <row r="25" spans="1:4" x14ac:dyDescent="0.3">
      <c r="A25" s="26" t="s">
        <v>9816</v>
      </c>
      <c r="B25" s="27">
        <f>AVERAGE(Customer_Segments!H2:H1002)</f>
        <v>14083.682557442555</v>
      </c>
      <c r="C25" s="38">
        <f>AVERAGE(Customer_Segments!H2:H1002)</f>
        <v>14083.682557442555</v>
      </c>
      <c r="D25" s="6" t="s">
        <v>54</v>
      </c>
    </row>
    <row r="26" spans="1:4" x14ac:dyDescent="0.3">
      <c r="A26" s="29" t="s">
        <v>9817</v>
      </c>
      <c r="B26" s="30">
        <f>COUNTIF(Customer_Segments!M2:M1002,"Platinum")</f>
        <v>525</v>
      </c>
      <c r="C26" s="39">
        <f>COUNTIF(Customer_Segments!M2:M1002,"Platinum")</f>
        <v>525</v>
      </c>
      <c r="D26" s="6" t="s">
        <v>54</v>
      </c>
    </row>
    <row r="27" spans="1:4" x14ac:dyDescent="0.3">
      <c r="A27" s="26" t="s">
        <v>9818</v>
      </c>
      <c r="B27" s="27">
        <f>COUNTIF(Customer_Segments!N2:N1002,"High")</f>
        <v>486</v>
      </c>
      <c r="C27" s="38">
        <f>COUNTIF(Customer_Segments!N2:N1002,"High")</f>
        <v>486</v>
      </c>
      <c r="D27" s="6" t="s">
        <v>54</v>
      </c>
    </row>
    <row r="28" spans="1:4" ht="21.75" customHeight="1" x14ac:dyDescent="0.3">
      <c r="A28" s="83" t="s">
        <v>9819</v>
      </c>
      <c r="B28" s="83"/>
      <c r="C28" s="83"/>
      <c r="D28" s="83"/>
    </row>
    <row r="29" spans="1:4" x14ac:dyDescent="0.3">
      <c r="A29" s="26" t="s">
        <v>9820</v>
      </c>
      <c r="B29" s="27">
        <f>SUM(Monthly_KPIs!F2:F721)</f>
        <v>1820623902.8099997</v>
      </c>
      <c r="C29" s="40">
        <f>SUM(Monthly_KPIs!F2:F721)</f>
        <v>1820623902.8099997</v>
      </c>
      <c r="D29" s="41" t="s">
        <v>56</v>
      </c>
    </row>
    <row r="30" spans="1:4" x14ac:dyDescent="0.3">
      <c r="A30" s="29" t="s">
        <v>9821</v>
      </c>
      <c r="B30" s="30">
        <f>SUM(Monthly_KPIs!H2:H721)</f>
        <v>725719674.62999952</v>
      </c>
      <c r="C30" s="42">
        <f>SUM(Monthly_KPIs!H2:H721)</f>
        <v>725719674.62999952</v>
      </c>
      <c r="D30" s="41" t="s">
        <v>56</v>
      </c>
    </row>
    <row r="31" spans="1:4" x14ac:dyDescent="0.3">
      <c r="A31" s="26" t="s">
        <v>9822</v>
      </c>
      <c r="B31" s="27">
        <f>SUM(Monthly_KPIs!M2:M721)</f>
        <v>36943</v>
      </c>
      <c r="C31" s="40">
        <f>SUM(Monthly_KPIs!M2:M721)</f>
        <v>36943</v>
      </c>
      <c r="D31" s="41" t="s">
        <v>56</v>
      </c>
    </row>
    <row r="32" spans="1:4" x14ac:dyDescent="0.3">
      <c r="A32" s="29" t="s">
        <v>9823</v>
      </c>
      <c r="B32" s="30">
        <f>SUM(Monthly_KPIs!L2:L721)</f>
        <v>10100.840000000002</v>
      </c>
      <c r="C32" s="42">
        <f>SUM(Monthly_KPIs!L2:L721)</f>
        <v>10100.840000000002</v>
      </c>
      <c r="D32" s="41" t="s">
        <v>56</v>
      </c>
    </row>
    <row r="33" spans="1:4" x14ac:dyDescent="0.3">
      <c r="A33" s="26" t="s">
        <v>9824</v>
      </c>
      <c r="B33" s="27">
        <f>AVERAGE(Monthly_KPIs!K2:K721)/100</f>
        <v>0.14554166666666668</v>
      </c>
      <c r="C33" s="43">
        <f>AVERAGE(Monthly_KPIs!K2:K721)/100</f>
        <v>0.14554166666666668</v>
      </c>
      <c r="D33" s="41" t="s">
        <v>56</v>
      </c>
    </row>
  </sheetData>
  <mergeCells count="5">
    <mergeCell ref="A1:F1"/>
    <mergeCell ref="A4:D4"/>
    <mergeCell ref="A15:D15"/>
    <mergeCell ref="A22:D22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5100"/>
  </sheetPr>
  <dimension ref="A1:P78"/>
  <sheetViews>
    <sheetView showGridLines="0" topLeftCell="A54" zoomScale="114" zoomScaleNormal="100" workbookViewId="0">
      <selection activeCell="Q45" sqref="Q45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4" customWidth="1"/>
    <col min="4" max="4" width="12" customWidth="1"/>
    <col min="5" max="5" width="2" customWidth="1"/>
    <col min="6" max="6" width="16" customWidth="1"/>
    <col min="7" max="7" width="2" customWidth="1"/>
    <col min="8" max="8" width="22" customWidth="1"/>
    <col min="9" max="9" width="16" customWidth="1"/>
    <col min="10" max="10" width="14" customWidth="1"/>
  </cols>
  <sheetData>
    <row r="1" spans="1:16" ht="30" customHeight="1" x14ac:dyDescent="0.3">
      <c r="A1" s="88" t="s">
        <v>9769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3" spans="1:16" ht="21.75" customHeight="1" x14ac:dyDescent="0.3">
      <c r="A3" s="90" t="s">
        <v>9770</v>
      </c>
      <c r="B3" s="90"/>
      <c r="C3" s="90"/>
      <c r="D3" s="90"/>
      <c r="E3" s="90"/>
      <c r="F3" s="90"/>
      <c r="G3" s="90"/>
      <c r="H3" s="90"/>
      <c r="I3" s="90"/>
      <c r="J3" s="90"/>
    </row>
    <row r="4" spans="1:16" ht="21.75" customHeight="1" x14ac:dyDescent="0.3"/>
    <row r="5" spans="1:16" x14ac:dyDescent="0.3">
      <c r="A5" s="89" t="s">
        <v>9771</v>
      </c>
      <c r="B5" s="89"/>
      <c r="C5" s="89"/>
      <c r="D5" s="89"/>
      <c r="H5" s="89" t="s">
        <v>9772</v>
      </c>
      <c r="I5" s="89"/>
      <c r="J5" s="89"/>
    </row>
    <row r="6" spans="1:16" x14ac:dyDescent="0.3">
      <c r="A6" s="1" t="s">
        <v>1</v>
      </c>
      <c r="B6" s="1" t="s">
        <v>79</v>
      </c>
      <c r="C6" s="1" t="s">
        <v>81</v>
      </c>
      <c r="D6" s="1" t="s">
        <v>76</v>
      </c>
      <c r="H6" s="1" t="s">
        <v>4</v>
      </c>
      <c r="I6" s="1" t="s">
        <v>79</v>
      </c>
      <c r="J6" s="1" t="s">
        <v>81</v>
      </c>
    </row>
    <row r="7" spans="1:16" x14ac:dyDescent="0.3">
      <c r="A7" s="10" t="s">
        <v>27</v>
      </c>
      <c r="B7" s="14">
        <v>23175001.789999999</v>
      </c>
      <c r="C7" s="14">
        <v>9718289.4800000004</v>
      </c>
      <c r="D7" s="14">
        <v>1128</v>
      </c>
      <c r="H7" s="10" t="s">
        <v>14</v>
      </c>
      <c r="I7" s="14">
        <v>33225560.329999998</v>
      </c>
      <c r="J7" s="14">
        <v>14109386.390000001</v>
      </c>
    </row>
    <row r="8" spans="1:16" x14ac:dyDescent="0.3">
      <c r="A8" s="7" t="s">
        <v>19</v>
      </c>
      <c r="B8" s="15">
        <v>25348910.289999999</v>
      </c>
      <c r="C8" s="15">
        <v>10931519.09</v>
      </c>
      <c r="D8" s="15">
        <v>1192</v>
      </c>
      <c r="H8" s="7" t="s">
        <v>22</v>
      </c>
      <c r="I8" s="15">
        <v>32398259.960000001</v>
      </c>
      <c r="J8" s="15">
        <v>13803136.529999999</v>
      </c>
    </row>
    <row r="9" spans="1:16" x14ac:dyDescent="0.3">
      <c r="A9" s="10" t="s">
        <v>21</v>
      </c>
      <c r="B9" s="14">
        <v>26271272.760000002</v>
      </c>
      <c r="C9" s="14">
        <v>11293621.59</v>
      </c>
      <c r="D9" s="14">
        <v>1203</v>
      </c>
      <c r="H9" s="10" t="s">
        <v>29</v>
      </c>
      <c r="I9" s="14">
        <v>32090536.120000001</v>
      </c>
      <c r="J9" s="14">
        <v>13635764.699999999</v>
      </c>
    </row>
    <row r="10" spans="1:16" x14ac:dyDescent="0.3">
      <c r="A10" s="7" t="s">
        <v>13</v>
      </c>
      <c r="B10" s="15">
        <v>27721929.539999999</v>
      </c>
      <c r="C10" s="15">
        <v>11790499.800000001</v>
      </c>
      <c r="D10" s="15">
        <v>1312</v>
      </c>
      <c r="H10" s="7" t="s">
        <v>39</v>
      </c>
      <c r="I10" s="15">
        <v>30840014.399999999</v>
      </c>
      <c r="J10" s="15">
        <v>13189564.109999999</v>
      </c>
    </row>
    <row r="11" spans="1:16" x14ac:dyDescent="0.3">
      <c r="A11" s="10" t="s">
        <v>28</v>
      </c>
      <c r="B11" s="14">
        <v>26037256.43</v>
      </c>
      <c r="C11" s="14">
        <v>11003921.77</v>
      </c>
      <c r="D11" s="14">
        <v>1152</v>
      </c>
      <c r="H11" s="16" t="s">
        <v>9773</v>
      </c>
      <c r="I11" s="17">
        <f>SUM(I7:I10)</f>
        <v>128554370.81</v>
      </c>
      <c r="J11" s="17">
        <f>SUM(J7:J10)</f>
        <v>54737851.730000004</v>
      </c>
    </row>
    <row r="12" spans="1:16" x14ac:dyDescent="0.3">
      <c r="A12" s="16" t="s">
        <v>9773</v>
      </c>
      <c r="B12" s="17">
        <f>SUM(B7:B11)</f>
        <v>128554370.81</v>
      </c>
      <c r="C12" s="17">
        <f>SUM(C7:C11)</f>
        <v>54737851.730000004</v>
      </c>
      <c r="D12" s="17">
        <f>SUM(D7:D11)</f>
        <v>5987</v>
      </c>
    </row>
    <row r="13" spans="1:16" ht="21.75" customHeight="1" x14ac:dyDescent="0.3">
      <c r="H13" s="48" t="s">
        <v>9775</v>
      </c>
      <c r="I13" s="48"/>
      <c r="J13" s="48"/>
    </row>
    <row r="14" spans="1:16" x14ac:dyDescent="0.3">
      <c r="A14" s="44" t="s">
        <v>9774</v>
      </c>
      <c r="B14" s="44"/>
      <c r="C14" s="44"/>
      <c r="H14" s="1" t="s">
        <v>84</v>
      </c>
      <c r="I14" s="1" t="s">
        <v>79</v>
      </c>
      <c r="J14" s="1" t="s">
        <v>81</v>
      </c>
    </row>
    <row r="15" spans="1:16" x14ac:dyDescent="0.3">
      <c r="A15" s="1" t="s">
        <v>65</v>
      </c>
      <c r="B15" s="1" t="s">
        <v>79</v>
      </c>
      <c r="C15" s="1" t="s">
        <v>76</v>
      </c>
      <c r="H15" s="7" t="s">
        <v>15</v>
      </c>
      <c r="I15" s="15">
        <v>18342180.329999998</v>
      </c>
      <c r="J15" s="15">
        <v>7761344.8300000001</v>
      </c>
    </row>
    <row r="16" spans="1:16" x14ac:dyDescent="0.3">
      <c r="A16" s="7" t="s">
        <v>18</v>
      </c>
      <c r="B16" s="15">
        <v>33912723.310000002</v>
      </c>
      <c r="C16" s="15">
        <v>1599</v>
      </c>
      <c r="H16" s="10" t="s">
        <v>23</v>
      </c>
      <c r="I16" s="14">
        <v>17606593.190000001</v>
      </c>
      <c r="J16" s="14">
        <v>7495480.21</v>
      </c>
    </row>
    <row r="17" spans="1:10" x14ac:dyDescent="0.3">
      <c r="A17" s="10" t="s">
        <v>26</v>
      </c>
      <c r="B17" s="14">
        <v>32784494</v>
      </c>
      <c r="C17" s="14">
        <v>1485</v>
      </c>
      <c r="H17" s="7" t="s">
        <v>30</v>
      </c>
      <c r="I17" s="15">
        <v>17846309.079999998</v>
      </c>
      <c r="J17" s="15">
        <v>7563946.8700000001</v>
      </c>
    </row>
    <row r="18" spans="1:10" x14ac:dyDescent="0.3">
      <c r="A18" s="7" t="s">
        <v>33</v>
      </c>
      <c r="B18" s="15">
        <v>32042978.640000001</v>
      </c>
      <c r="C18" s="15">
        <v>1496</v>
      </c>
      <c r="H18" s="10" t="s">
        <v>40</v>
      </c>
      <c r="I18" s="14">
        <v>19558235.469999999</v>
      </c>
      <c r="J18" s="14">
        <v>8453126.3499999996</v>
      </c>
    </row>
    <row r="19" spans="1:10" x14ac:dyDescent="0.3">
      <c r="A19" s="10" t="s">
        <v>42</v>
      </c>
      <c r="B19" s="14">
        <v>29814174.859999999</v>
      </c>
      <c r="C19" s="14">
        <v>1407</v>
      </c>
      <c r="H19" s="7" t="s">
        <v>43</v>
      </c>
      <c r="I19" s="15">
        <v>19189714.690000001</v>
      </c>
      <c r="J19" s="15">
        <v>8134982.7800000003</v>
      </c>
    </row>
    <row r="20" spans="1:10" x14ac:dyDescent="0.3">
      <c r="A20" s="16" t="s">
        <v>9773</v>
      </c>
      <c r="B20" s="17">
        <f>SUM(B16:B19)</f>
        <v>128554370.81</v>
      </c>
      <c r="C20" s="17">
        <f>SUM(C16:C19)</f>
        <v>5987</v>
      </c>
      <c r="H20" s="10" t="s">
        <v>47</v>
      </c>
      <c r="I20" s="14">
        <v>18581426.539999999</v>
      </c>
      <c r="J20" s="14">
        <v>7820222.2400000002</v>
      </c>
    </row>
    <row r="21" spans="1:10" ht="21.75" customHeight="1" x14ac:dyDescent="0.3">
      <c r="H21" s="7" t="s">
        <v>48</v>
      </c>
      <c r="I21" s="15">
        <v>17429911.510000013</v>
      </c>
      <c r="J21" s="15">
        <v>7508748.4500000002</v>
      </c>
    </row>
    <row r="22" spans="1:10" x14ac:dyDescent="0.3">
      <c r="A22" s="44" t="s">
        <v>9776</v>
      </c>
      <c r="B22" s="44"/>
      <c r="C22" s="44"/>
      <c r="H22" s="16" t="s">
        <v>9773</v>
      </c>
      <c r="I22" s="17">
        <v>128554370.81</v>
      </c>
      <c r="J22" s="17">
        <f>SUM(J15:J21)</f>
        <v>54737851.730000004</v>
      </c>
    </row>
    <row r="23" spans="1:10" x14ac:dyDescent="0.3">
      <c r="A23" s="1" t="s">
        <v>85</v>
      </c>
      <c r="B23" s="1" t="s">
        <v>79</v>
      </c>
      <c r="C23" s="1" t="s">
        <v>76</v>
      </c>
    </row>
    <row r="24" spans="1:10" x14ac:dyDescent="0.3">
      <c r="A24" s="7" t="s">
        <v>275</v>
      </c>
      <c r="B24" s="15">
        <v>12933512.619999999</v>
      </c>
      <c r="C24" s="15">
        <v>592</v>
      </c>
      <c r="H24" s="46" t="s">
        <v>9777</v>
      </c>
      <c r="I24" s="46"/>
    </row>
    <row r="25" spans="1:10" x14ac:dyDescent="0.3">
      <c r="A25" s="10" t="s">
        <v>100</v>
      </c>
      <c r="B25" s="14">
        <v>88486514.25</v>
      </c>
      <c r="C25" s="14">
        <v>4145</v>
      </c>
      <c r="H25" s="1" t="s">
        <v>1</v>
      </c>
      <c r="I25" s="18" t="s">
        <v>79</v>
      </c>
    </row>
    <row r="26" spans="1:10" x14ac:dyDescent="0.3">
      <c r="A26" s="7" t="s">
        <v>672</v>
      </c>
      <c r="B26" s="15">
        <v>7109221.4800000004</v>
      </c>
      <c r="C26" s="15">
        <v>334</v>
      </c>
      <c r="H26" s="7" t="s">
        <v>27</v>
      </c>
      <c r="I26" s="15">
        <v>2188264.41</v>
      </c>
    </row>
    <row r="27" spans="1:10" x14ac:dyDescent="0.3">
      <c r="A27" s="10" t="s">
        <v>139</v>
      </c>
      <c r="B27" s="14">
        <v>8007318.5300000003</v>
      </c>
      <c r="C27" s="14">
        <v>349</v>
      </c>
      <c r="H27" s="10" t="s">
        <v>19</v>
      </c>
      <c r="I27" s="14">
        <v>3154750.55</v>
      </c>
    </row>
    <row r="28" spans="1:10" x14ac:dyDescent="0.3">
      <c r="A28" s="7" t="s">
        <v>186</v>
      </c>
      <c r="B28" s="15">
        <v>12017803.93</v>
      </c>
      <c r="C28" s="15">
        <v>567</v>
      </c>
      <c r="H28" s="7" t="s">
        <v>21</v>
      </c>
      <c r="I28" s="15">
        <v>2516087.8199999998</v>
      </c>
    </row>
    <row r="29" spans="1:10" x14ac:dyDescent="0.3">
      <c r="A29" s="16" t="s">
        <v>9773</v>
      </c>
      <c r="B29" s="17">
        <f>SUM(B24:B28)</f>
        <v>128554370.81</v>
      </c>
      <c r="C29" s="17">
        <f>SUM(C24:C28)</f>
        <v>5987</v>
      </c>
      <c r="H29" s="10" t="s">
        <v>13</v>
      </c>
      <c r="I29" s="14">
        <v>3003355.4</v>
      </c>
    </row>
    <row r="30" spans="1:10" x14ac:dyDescent="0.3">
      <c r="H30" s="7" t="s">
        <v>28</v>
      </c>
      <c r="I30" s="15">
        <v>3000840.74</v>
      </c>
    </row>
    <row r="31" spans="1:10" x14ac:dyDescent="0.3">
      <c r="H31" s="16" t="s">
        <v>9773</v>
      </c>
      <c r="I31" s="17">
        <f>SUM(I26:I30)</f>
        <v>13863298.92</v>
      </c>
    </row>
    <row r="34" spans="1:10" ht="21.75" customHeight="1" x14ac:dyDescent="0.3">
      <c r="A34" s="92" t="s">
        <v>9778</v>
      </c>
      <c r="B34" s="92"/>
      <c r="C34" s="92"/>
      <c r="D34" s="92"/>
      <c r="E34" s="92"/>
      <c r="F34" s="92"/>
      <c r="G34" s="92"/>
      <c r="H34" s="92"/>
      <c r="I34" s="92"/>
      <c r="J34" s="92"/>
    </row>
    <row r="35" spans="1:10" ht="21.75" customHeight="1" x14ac:dyDescent="0.3"/>
    <row r="36" spans="1:10" x14ac:dyDescent="0.3">
      <c r="A36" s="91" t="s">
        <v>9779</v>
      </c>
      <c r="B36" s="91"/>
      <c r="C36" s="91"/>
      <c r="D36" s="91"/>
      <c r="H36" s="91" t="s">
        <v>9780</v>
      </c>
      <c r="I36" s="91"/>
      <c r="J36" s="91"/>
    </row>
    <row r="37" spans="1:10" x14ac:dyDescent="0.3">
      <c r="A37" s="1" t="s">
        <v>1</v>
      </c>
      <c r="B37" s="1" t="s">
        <v>8808</v>
      </c>
      <c r="C37" s="1" t="s">
        <v>8809</v>
      </c>
      <c r="D37" s="1" t="s">
        <v>8810</v>
      </c>
      <c r="H37" s="1" t="s">
        <v>1</v>
      </c>
      <c r="I37" s="1" t="s">
        <v>8806</v>
      </c>
      <c r="J37" s="1" t="s">
        <v>8807</v>
      </c>
    </row>
    <row r="38" spans="1:10" x14ac:dyDescent="0.3">
      <c r="A38" s="7" t="s">
        <v>27</v>
      </c>
      <c r="B38" s="19">
        <v>274.26666666666699</v>
      </c>
      <c r="C38" s="19">
        <v>4.3600000000000003</v>
      </c>
      <c r="D38" s="19">
        <v>2221.86666666667</v>
      </c>
      <c r="H38" s="7" t="s">
        <v>27</v>
      </c>
      <c r="I38" s="20">
        <v>22997.668666666701</v>
      </c>
      <c r="J38" s="20">
        <v>11764.972</v>
      </c>
    </row>
    <row r="39" spans="1:10" x14ac:dyDescent="0.3">
      <c r="A39" s="10" t="s">
        <v>19</v>
      </c>
      <c r="B39" s="21">
        <v>315.2</v>
      </c>
      <c r="C39" s="21">
        <v>4.08</v>
      </c>
      <c r="D39" s="21">
        <v>2665.4666666666699</v>
      </c>
      <c r="H39" s="10" t="s">
        <v>19</v>
      </c>
      <c r="I39" s="22">
        <v>23575.7</v>
      </c>
      <c r="J39" s="22">
        <v>12291.9506666667</v>
      </c>
    </row>
    <row r="40" spans="1:10" x14ac:dyDescent="0.3">
      <c r="A40" s="7" t="s">
        <v>21</v>
      </c>
      <c r="B40" s="19">
        <v>241.13333333333301</v>
      </c>
      <c r="C40" s="19">
        <v>4.1266666666666696</v>
      </c>
      <c r="D40" s="19">
        <v>2428.7333333333299</v>
      </c>
      <c r="H40" s="7" t="s">
        <v>21</v>
      </c>
      <c r="I40" s="20">
        <v>24934.470666666701</v>
      </c>
      <c r="J40" s="20">
        <v>13235.553333333301</v>
      </c>
    </row>
    <row r="41" spans="1:10" x14ac:dyDescent="0.3">
      <c r="A41" s="10" t="s">
        <v>13</v>
      </c>
      <c r="B41" s="21">
        <v>219.666666666667</v>
      </c>
      <c r="C41" s="21">
        <v>4.10666666666667</v>
      </c>
      <c r="D41" s="21">
        <v>2215.0666666666698</v>
      </c>
      <c r="H41" s="10" t="s">
        <v>13</v>
      </c>
      <c r="I41" s="22">
        <v>25207.674666666699</v>
      </c>
      <c r="J41" s="22">
        <v>13602.9333333333</v>
      </c>
    </row>
    <row r="42" spans="1:10" x14ac:dyDescent="0.3">
      <c r="A42" s="7" t="s">
        <v>28</v>
      </c>
      <c r="B42" s="19">
        <v>281.3</v>
      </c>
      <c r="C42" s="19">
        <v>4.0599999999999996</v>
      </c>
      <c r="D42" s="19">
        <v>2327.6999999999998</v>
      </c>
      <c r="H42" s="7" t="s">
        <v>28</v>
      </c>
      <c r="I42" s="20">
        <v>26877.348000000002</v>
      </c>
      <c r="J42" s="20">
        <v>13792.245000000001</v>
      </c>
    </row>
    <row r="43" spans="1:10" x14ac:dyDescent="0.3">
      <c r="A43" s="16" t="s">
        <v>9773</v>
      </c>
      <c r="B43" s="23">
        <f>SUM(B38:B42)</f>
        <v>1331.5666666666668</v>
      </c>
      <c r="C43" s="23">
        <f>SUM(C38:C42)</f>
        <v>20.733333333333338</v>
      </c>
      <c r="D43" s="23">
        <f>SUM(D38:D42)</f>
        <v>11858.833333333339</v>
      </c>
      <c r="H43" s="16" t="s">
        <v>9773</v>
      </c>
      <c r="I43" s="24">
        <f>SUM(I38:I42)</f>
        <v>123592.86200000011</v>
      </c>
      <c r="J43" s="24">
        <f>SUM(J38:J42)</f>
        <v>64687.654333333303</v>
      </c>
    </row>
    <row r="46" spans="1:10" ht="21.75" customHeight="1" x14ac:dyDescent="0.3">
      <c r="A46" s="86" t="s">
        <v>9781</v>
      </c>
      <c r="B46" s="86"/>
      <c r="C46" s="86"/>
      <c r="D46" s="86"/>
      <c r="E46" s="86"/>
      <c r="F46" s="86"/>
      <c r="G46" s="86"/>
      <c r="H46" s="86"/>
      <c r="I46" s="86"/>
      <c r="J46" s="86"/>
    </row>
    <row r="48" spans="1:10" x14ac:dyDescent="0.3">
      <c r="A48" s="85" t="s">
        <v>9782</v>
      </c>
      <c r="B48" s="85"/>
      <c r="C48" s="85"/>
      <c r="D48" s="85"/>
      <c r="H48" s="85" t="s">
        <v>9783</v>
      </c>
      <c r="I48" s="85"/>
      <c r="J48" s="85"/>
    </row>
    <row r="49" spans="1:11" x14ac:dyDescent="0.3">
      <c r="A49" s="1" t="s">
        <v>11</v>
      </c>
      <c r="B49" s="1" t="s">
        <v>8902</v>
      </c>
      <c r="C49" s="1" t="s">
        <v>8901</v>
      </c>
      <c r="D49" s="1" t="s">
        <v>8903</v>
      </c>
      <c r="H49" s="1" t="s">
        <v>8908</v>
      </c>
      <c r="I49" s="1" t="s">
        <v>8902</v>
      </c>
      <c r="J49" s="1" t="s">
        <v>8901</v>
      </c>
    </row>
    <row r="50" spans="1:11" x14ac:dyDescent="0.3">
      <c r="A50" s="7" t="s">
        <v>18</v>
      </c>
      <c r="B50" s="15">
        <v>28796102.710000001</v>
      </c>
      <c r="C50" s="15">
        <v>4224</v>
      </c>
      <c r="D50" s="15">
        <v>3568714.91</v>
      </c>
      <c r="H50" s="7" t="s">
        <v>41</v>
      </c>
      <c r="I50" s="15">
        <v>221608.9</v>
      </c>
      <c r="J50" s="15">
        <v>604</v>
      </c>
    </row>
    <row r="51" spans="1:11" x14ac:dyDescent="0.3">
      <c r="A51" s="10" t="s">
        <v>26</v>
      </c>
      <c r="B51" s="14">
        <v>26715560.23</v>
      </c>
      <c r="C51" s="14">
        <v>3762</v>
      </c>
      <c r="D51" s="14">
        <v>4130042.61</v>
      </c>
      <c r="H51" s="10" t="s">
        <v>24</v>
      </c>
      <c r="I51" s="14">
        <v>19511511.23</v>
      </c>
      <c r="J51" s="14">
        <v>4142</v>
      </c>
    </row>
    <row r="52" spans="1:11" x14ac:dyDescent="0.3">
      <c r="A52" s="7" t="s">
        <v>33</v>
      </c>
      <c r="B52" s="15">
        <v>22119631.699999999</v>
      </c>
      <c r="C52" s="15">
        <v>3417</v>
      </c>
      <c r="D52" s="15">
        <v>3042854.12</v>
      </c>
      <c r="H52" s="7" t="s">
        <v>16</v>
      </c>
      <c r="I52" s="15">
        <v>78844986.030000001</v>
      </c>
      <c r="J52" s="15">
        <v>8032</v>
      </c>
    </row>
    <row r="53" spans="1:11" x14ac:dyDescent="0.3">
      <c r="A53" s="10" t="s">
        <v>42</v>
      </c>
      <c r="B53" s="14">
        <v>26326953.640000001</v>
      </c>
      <c r="C53" s="14">
        <v>4083</v>
      </c>
      <c r="D53" s="14">
        <v>3356154.6</v>
      </c>
      <c r="H53" s="10" t="s">
        <v>31</v>
      </c>
      <c r="I53" s="14">
        <v>5380142.1200000001</v>
      </c>
      <c r="J53" s="14">
        <v>2708</v>
      </c>
    </row>
    <row r="54" spans="1:11" ht="21.75" customHeight="1" x14ac:dyDescent="0.3">
      <c r="A54" s="16" t="s">
        <v>9773</v>
      </c>
      <c r="B54" s="17">
        <f>SUM(B50:B53)</f>
        <v>103958248.28</v>
      </c>
      <c r="C54" s="17">
        <f>SUM(C50:C53)</f>
        <v>15486</v>
      </c>
      <c r="D54" s="17">
        <f>SUM(D50:D53)</f>
        <v>14097766.24</v>
      </c>
      <c r="H54" s="16" t="s">
        <v>9773</v>
      </c>
      <c r="I54" s="17">
        <f>SUM(I50:I53)</f>
        <v>103958248.28</v>
      </c>
      <c r="J54" s="17">
        <f>SUM(J50:J53)</f>
        <v>15486</v>
      </c>
    </row>
    <row r="56" spans="1:11" x14ac:dyDescent="0.3">
      <c r="A56" s="45" t="s">
        <v>9784</v>
      </c>
      <c r="B56" s="45"/>
      <c r="C56" s="45"/>
    </row>
    <row r="57" spans="1:11" x14ac:dyDescent="0.3">
      <c r="A57" s="1" t="s">
        <v>8909</v>
      </c>
      <c r="B57" s="1" t="s">
        <v>8902</v>
      </c>
      <c r="C57" s="1" t="s">
        <v>8901</v>
      </c>
    </row>
    <row r="58" spans="1:11" x14ac:dyDescent="0.3">
      <c r="A58" s="7" t="s">
        <v>17</v>
      </c>
      <c r="B58" s="15">
        <v>51021328.729999997</v>
      </c>
      <c r="C58" s="15">
        <v>7254</v>
      </c>
    </row>
    <row r="59" spans="1:11" x14ac:dyDescent="0.3">
      <c r="A59" s="10" t="s">
        <v>25</v>
      </c>
      <c r="B59" s="14">
        <v>26397750.050000001</v>
      </c>
      <c r="C59" s="14">
        <v>4284</v>
      </c>
    </row>
    <row r="60" spans="1:11" x14ac:dyDescent="0.3">
      <c r="A60" s="7" t="s">
        <v>32</v>
      </c>
      <c r="B60" s="15">
        <v>26539169.5</v>
      </c>
      <c r="C60" s="15">
        <v>3948</v>
      </c>
    </row>
    <row r="61" spans="1:11" x14ac:dyDescent="0.3">
      <c r="A61" s="16" t="s">
        <v>9773</v>
      </c>
      <c r="B61" s="17">
        <f>SUM(B58:B60)</f>
        <v>103958248.28</v>
      </c>
      <c r="C61" s="17">
        <f>SUM(C58:C60)</f>
        <v>15486</v>
      </c>
    </row>
    <row r="63" spans="1:11" ht="21.75" customHeight="1" x14ac:dyDescent="0.3">
      <c r="A63" s="87" t="s">
        <v>9785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</row>
    <row r="64" spans="1:11" ht="21.75" customHeight="1" x14ac:dyDescent="0.3"/>
    <row r="65" spans="1:11" x14ac:dyDescent="0.3">
      <c r="A65" s="84" t="s">
        <v>9786</v>
      </c>
      <c r="B65" s="84"/>
      <c r="C65" s="84"/>
      <c r="D65" s="84"/>
      <c r="H65" s="84" t="s">
        <v>9787</v>
      </c>
      <c r="I65" s="84"/>
      <c r="J65" s="84"/>
      <c r="K65" s="84"/>
    </row>
    <row r="66" spans="1:11" x14ac:dyDescent="0.3">
      <c r="A66" s="1" t="s">
        <v>6</v>
      </c>
      <c r="B66" s="1" t="s">
        <v>9716</v>
      </c>
      <c r="C66" s="1" t="s">
        <v>81</v>
      </c>
      <c r="D66" s="1" t="s">
        <v>8901</v>
      </c>
      <c r="H66" s="1" t="s">
        <v>1</v>
      </c>
      <c r="I66" s="1" t="s">
        <v>9716</v>
      </c>
      <c r="J66" s="1" t="s">
        <v>9717</v>
      </c>
      <c r="K66" s="1" t="s">
        <v>9719</v>
      </c>
    </row>
    <row r="67" spans="1:11" x14ac:dyDescent="0.3">
      <c r="A67" s="7">
        <v>2022</v>
      </c>
      <c r="B67" s="15">
        <v>602090591.84000003</v>
      </c>
      <c r="C67" s="15">
        <v>239197420.47999999</v>
      </c>
      <c r="D67" s="15">
        <v>37601</v>
      </c>
      <c r="H67" s="7" t="s">
        <v>27</v>
      </c>
      <c r="I67" s="15">
        <v>364731696.86000001</v>
      </c>
      <c r="J67" s="15">
        <v>2268</v>
      </c>
      <c r="K67" s="15">
        <v>7390</v>
      </c>
    </row>
    <row r="68" spans="1:11" x14ac:dyDescent="0.3">
      <c r="A68" s="10">
        <v>2023</v>
      </c>
      <c r="B68" s="14">
        <v>598930720.52999997</v>
      </c>
      <c r="C68" s="14">
        <v>238316581.94</v>
      </c>
      <c r="D68" s="14">
        <v>38201</v>
      </c>
      <c r="H68" s="10" t="s">
        <v>19</v>
      </c>
      <c r="I68" s="14">
        <v>378378947.94999999</v>
      </c>
      <c r="J68" s="14">
        <v>1981</v>
      </c>
      <c r="K68" s="14">
        <v>7092</v>
      </c>
    </row>
    <row r="69" spans="1:11" x14ac:dyDescent="0.3">
      <c r="A69" s="7">
        <v>2024</v>
      </c>
      <c r="B69" s="15">
        <v>619602590.44000006</v>
      </c>
      <c r="C69" s="15">
        <v>248205672.21000001</v>
      </c>
      <c r="D69" s="15">
        <v>38828</v>
      </c>
      <c r="H69" s="7" t="s">
        <v>21</v>
      </c>
      <c r="I69" s="15">
        <v>341509831.76999998</v>
      </c>
      <c r="J69" s="15">
        <v>2148</v>
      </c>
      <c r="K69" s="15">
        <v>7240</v>
      </c>
    </row>
    <row r="70" spans="1:11" x14ac:dyDescent="0.3">
      <c r="A70" s="16" t="s">
        <v>9773</v>
      </c>
      <c r="B70" s="17">
        <f>SUM(B67:B69)</f>
        <v>1820623902.8099999</v>
      </c>
      <c r="C70" s="17">
        <f>SUM(C67:C69)</f>
        <v>725719674.63</v>
      </c>
      <c r="D70" s="17">
        <f>SUM(D67:D69)</f>
        <v>114630</v>
      </c>
      <c r="H70" s="10" t="s">
        <v>13</v>
      </c>
      <c r="I70" s="14">
        <v>372013090.49000001</v>
      </c>
      <c r="J70" s="14">
        <v>1975</v>
      </c>
      <c r="K70" s="14">
        <v>8119</v>
      </c>
    </row>
    <row r="71" spans="1:11" ht="21.75" customHeight="1" x14ac:dyDescent="0.3">
      <c r="H71" s="7" t="s">
        <v>28</v>
      </c>
      <c r="I71" s="15">
        <v>363990335.74000001</v>
      </c>
      <c r="J71" s="15">
        <v>2107</v>
      </c>
      <c r="K71" s="15">
        <v>7102</v>
      </c>
    </row>
    <row r="72" spans="1:11" x14ac:dyDescent="0.3">
      <c r="A72" s="47" t="s">
        <v>9788</v>
      </c>
      <c r="B72" s="47"/>
      <c r="C72" s="47"/>
      <c r="D72" s="47"/>
      <c r="H72" s="16" t="s">
        <v>9773</v>
      </c>
      <c r="I72" s="17">
        <f>SUM(I67:I71)</f>
        <v>1820623902.8099999</v>
      </c>
      <c r="J72" s="17">
        <f>SUM(J67:J71)</f>
        <v>10479</v>
      </c>
      <c r="K72" s="17">
        <f>SUM(K67:K71)</f>
        <v>36943</v>
      </c>
    </row>
    <row r="73" spans="1:11" x14ac:dyDescent="0.3">
      <c r="A73" s="1" t="s">
        <v>4</v>
      </c>
      <c r="B73" s="1" t="s">
        <v>9716</v>
      </c>
      <c r="C73" s="1" t="s">
        <v>81</v>
      </c>
      <c r="D73" s="1" t="s">
        <v>9719</v>
      </c>
    </row>
    <row r="74" spans="1:11" x14ac:dyDescent="0.3">
      <c r="A74" s="10" t="s">
        <v>14</v>
      </c>
      <c r="B74" s="14">
        <v>464130673.94</v>
      </c>
      <c r="C74" s="14">
        <v>185437231.91</v>
      </c>
      <c r="D74" s="14">
        <v>8941</v>
      </c>
    </row>
    <row r="75" spans="1:11" x14ac:dyDescent="0.3">
      <c r="A75" s="7" t="s">
        <v>22</v>
      </c>
      <c r="B75" s="15">
        <v>462388077.54000002</v>
      </c>
      <c r="C75" s="15">
        <v>183966833.75</v>
      </c>
      <c r="D75" s="15">
        <v>9400</v>
      </c>
    </row>
    <row r="76" spans="1:11" x14ac:dyDescent="0.3">
      <c r="A76" s="10" t="s">
        <v>29</v>
      </c>
      <c r="B76" s="14">
        <v>440603309.19999999</v>
      </c>
      <c r="C76" s="14">
        <v>175179840.41</v>
      </c>
      <c r="D76" s="14">
        <v>8957</v>
      </c>
    </row>
    <row r="77" spans="1:11" x14ac:dyDescent="0.3">
      <c r="A77" s="7" t="s">
        <v>39</v>
      </c>
      <c r="B77" s="15">
        <v>453501842.13</v>
      </c>
      <c r="C77" s="15">
        <v>181135768.56</v>
      </c>
      <c r="D77" s="15">
        <v>9645</v>
      </c>
    </row>
    <row r="78" spans="1:11" x14ac:dyDescent="0.3">
      <c r="A78" s="16" t="s">
        <v>9773</v>
      </c>
      <c r="B78" s="17">
        <f>SUM(B74:B77)</f>
        <v>1820623902.8099999</v>
      </c>
      <c r="C78" s="17">
        <f>SUM(C74:C77)</f>
        <v>725719674.62999988</v>
      </c>
      <c r="D78" s="17">
        <f>SUM(D74:D77)</f>
        <v>36943</v>
      </c>
    </row>
  </sheetData>
  <mergeCells count="13">
    <mergeCell ref="A1:P1"/>
    <mergeCell ref="A5:D5"/>
    <mergeCell ref="H5:J5"/>
    <mergeCell ref="A3:J3"/>
    <mergeCell ref="A36:D36"/>
    <mergeCell ref="H36:J36"/>
    <mergeCell ref="A34:J34"/>
    <mergeCell ref="A65:D65"/>
    <mergeCell ref="H65:K65"/>
    <mergeCell ref="A48:D48"/>
    <mergeCell ref="H48:J48"/>
    <mergeCell ref="A46:J46"/>
    <mergeCell ref="A63:K6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24242"/>
  </sheetPr>
  <dimension ref="A1:W33"/>
  <sheetViews>
    <sheetView showGridLines="0" showRowColHeaders="0" zoomScaleNormal="100" workbookViewId="0">
      <selection sqref="A1:J1"/>
    </sheetView>
  </sheetViews>
  <sheetFormatPr defaultColWidth="8.6640625" defaultRowHeight="14.4" x14ac:dyDescent="0.3"/>
  <cols>
    <col min="1" max="1" width="20" customWidth="1"/>
    <col min="2" max="2" width="10" customWidth="1"/>
    <col min="3" max="3" width="9" customWidth="1"/>
    <col min="4" max="4" width="8" customWidth="1"/>
    <col min="5" max="5" width="12" customWidth="1"/>
    <col min="6" max="6" width="2" customWidth="1"/>
    <col min="7" max="7" width="20" customWidth="1"/>
    <col min="8" max="8" width="10" customWidth="1"/>
    <col min="9" max="9" width="9" customWidth="1"/>
    <col min="10" max="10" width="8" customWidth="1"/>
    <col min="11" max="11" width="12" customWidth="1"/>
    <col min="12" max="12" width="2" customWidth="1"/>
    <col min="13" max="13" width="22" customWidth="1"/>
    <col min="14" max="14" width="10" customWidth="1"/>
    <col min="15" max="15" width="9" customWidth="1"/>
    <col min="16" max="16" width="8" customWidth="1"/>
    <col min="17" max="17" width="12" customWidth="1"/>
    <col min="18" max="18" width="2" customWidth="1"/>
    <col min="19" max="19" width="18" customWidth="1"/>
    <col min="20" max="20" width="10" customWidth="1"/>
    <col min="21" max="21" width="9" customWidth="1"/>
    <col min="22" max="22" width="8" customWidth="1"/>
    <col min="23" max="23" width="12" customWidth="1"/>
  </cols>
  <sheetData>
    <row r="1" spans="1:23" ht="31.5" customHeight="1" x14ac:dyDescent="0.3">
      <c r="A1" s="82" t="s">
        <v>9756</v>
      </c>
      <c r="B1" s="82"/>
      <c r="C1" s="82"/>
      <c r="D1" s="82"/>
      <c r="E1" s="82"/>
      <c r="F1" s="82"/>
      <c r="G1" s="82"/>
      <c r="H1" s="82"/>
      <c r="I1" s="82"/>
      <c r="J1" s="82"/>
    </row>
    <row r="3" spans="1:23" ht="24" customHeight="1" x14ac:dyDescent="0.3">
      <c r="A3" s="90" t="s">
        <v>9757</v>
      </c>
      <c r="B3" s="90"/>
      <c r="C3" s="90"/>
      <c r="D3" s="90"/>
      <c r="E3" s="90"/>
      <c r="G3" s="89" t="s">
        <v>9758</v>
      </c>
      <c r="H3" s="89"/>
      <c r="I3" s="89"/>
      <c r="J3" s="89"/>
      <c r="K3" s="89"/>
      <c r="M3" s="91" t="s">
        <v>9759</v>
      </c>
      <c r="N3" s="91"/>
      <c r="O3" s="91"/>
      <c r="P3" s="91"/>
      <c r="Q3" s="91"/>
      <c r="S3" s="85" t="s">
        <v>9760</v>
      </c>
      <c r="T3" s="85"/>
      <c r="U3" s="85"/>
      <c r="V3" s="85"/>
      <c r="W3" s="85"/>
    </row>
    <row r="4" spans="1:23" x14ac:dyDescent="0.3">
      <c r="A4" s="1" t="s">
        <v>9761</v>
      </c>
      <c r="B4" s="1" t="s">
        <v>9762</v>
      </c>
      <c r="C4" s="1" t="s">
        <v>9763</v>
      </c>
      <c r="D4" s="1" t="s">
        <v>9764</v>
      </c>
      <c r="E4" s="1" t="s">
        <v>9765</v>
      </c>
      <c r="G4" s="1" t="s">
        <v>9761</v>
      </c>
      <c r="H4" s="1" t="s">
        <v>9762</v>
      </c>
      <c r="I4" s="1" t="s">
        <v>9763</v>
      </c>
      <c r="J4" s="1" t="s">
        <v>9764</v>
      </c>
      <c r="K4" s="1" t="s">
        <v>9765</v>
      </c>
      <c r="M4" s="1" t="s">
        <v>9761</v>
      </c>
      <c r="N4" s="1" t="s">
        <v>9762</v>
      </c>
      <c r="O4" s="1" t="s">
        <v>9763</v>
      </c>
      <c r="P4" s="1" t="s">
        <v>9764</v>
      </c>
      <c r="Q4" s="1" t="s">
        <v>9765</v>
      </c>
      <c r="S4" s="1" t="s">
        <v>9761</v>
      </c>
      <c r="T4" s="1" t="s">
        <v>9762</v>
      </c>
      <c r="U4" s="1" t="s">
        <v>9763</v>
      </c>
      <c r="V4" s="1" t="s">
        <v>9764</v>
      </c>
      <c r="W4" s="1" t="s">
        <v>9765</v>
      </c>
    </row>
    <row r="5" spans="1:23" x14ac:dyDescent="0.3">
      <c r="A5" s="3" t="s">
        <v>61</v>
      </c>
      <c r="B5" s="7">
        <v>2000</v>
      </c>
      <c r="C5" s="8">
        <v>0</v>
      </c>
      <c r="D5" s="9">
        <v>0</v>
      </c>
      <c r="E5" s="7" t="s">
        <v>9766</v>
      </c>
      <c r="G5" s="3" t="s">
        <v>72</v>
      </c>
      <c r="H5" s="7">
        <v>70</v>
      </c>
      <c r="I5" s="8">
        <v>0</v>
      </c>
      <c r="J5" s="9">
        <v>0</v>
      </c>
      <c r="K5" s="7" t="s">
        <v>9766</v>
      </c>
      <c r="M5" s="3" t="s">
        <v>62</v>
      </c>
      <c r="N5" s="7">
        <v>1001</v>
      </c>
      <c r="O5" s="8">
        <v>0</v>
      </c>
      <c r="P5" s="9">
        <v>0</v>
      </c>
      <c r="Q5" s="7" t="s">
        <v>9766</v>
      </c>
      <c r="S5" s="3" t="s">
        <v>6</v>
      </c>
      <c r="T5" s="7">
        <v>720</v>
      </c>
      <c r="U5" s="8">
        <v>0</v>
      </c>
      <c r="V5" s="9">
        <v>0</v>
      </c>
      <c r="W5" s="7" t="s">
        <v>9767</v>
      </c>
    </row>
    <row r="6" spans="1:23" x14ac:dyDescent="0.3">
      <c r="A6" s="2" t="s">
        <v>62</v>
      </c>
      <c r="B6" s="10">
        <v>2000</v>
      </c>
      <c r="C6" s="11">
        <v>0</v>
      </c>
      <c r="D6" s="12">
        <v>0</v>
      </c>
      <c r="E6" s="10" t="s">
        <v>9766</v>
      </c>
      <c r="G6" s="2" t="s">
        <v>73</v>
      </c>
      <c r="H6" s="10">
        <v>70</v>
      </c>
      <c r="I6" s="11">
        <v>0</v>
      </c>
      <c r="J6" s="12">
        <v>0</v>
      </c>
      <c r="K6" s="10" t="s">
        <v>9766</v>
      </c>
      <c r="M6" s="2" t="s">
        <v>63</v>
      </c>
      <c r="N6" s="10">
        <v>1001</v>
      </c>
      <c r="O6" s="11">
        <v>0</v>
      </c>
      <c r="P6" s="12">
        <v>0</v>
      </c>
      <c r="Q6" s="10" t="s">
        <v>9766</v>
      </c>
      <c r="S6" s="2" t="s">
        <v>9715</v>
      </c>
      <c r="T6" s="10">
        <v>720</v>
      </c>
      <c r="U6" s="11">
        <v>0</v>
      </c>
      <c r="V6" s="12">
        <v>0</v>
      </c>
      <c r="W6" s="10" t="s">
        <v>9766</v>
      </c>
    </row>
    <row r="7" spans="1:23" x14ac:dyDescent="0.3">
      <c r="A7" s="3" t="s">
        <v>63</v>
      </c>
      <c r="B7" s="7">
        <v>2000</v>
      </c>
      <c r="C7" s="8">
        <v>0</v>
      </c>
      <c r="D7" s="9">
        <v>0</v>
      </c>
      <c r="E7" s="7" t="s">
        <v>9766</v>
      </c>
      <c r="G7" s="3" t="s">
        <v>1</v>
      </c>
      <c r="H7" s="7">
        <v>70</v>
      </c>
      <c r="I7" s="8">
        <v>0</v>
      </c>
      <c r="J7" s="9">
        <v>0</v>
      </c>
      <c r="K7" s="7" t="s">
        <v>9766</v>
      </c>
      <c r="M7" s="3" t="s">
        <v>11</v>
      </c>
      <c r="N7" s="7">
        <v>1001</v>
      </c>
      <c r="O7" s="8">
        <v>0</v>
      </c>
      <c r="P7" s="9">
        <v>0</v>
      </c>
      <c r="Q7" s="7" t="s">
        <v>9766</v>
      </c>
      <c r="S7" s="3" t="s">
        <v>1</v>
      </c>
      <c r="T7" s="7">
        <v>720</v>
      </c>
      <c r="U7" s="8">
        <v>0</v>
      </c>
      <c r="V7" s="9">
        <v>0</v>
      </c>
      <c r="W7" s="7" t="s">
        <v>9766</v>
      </c>
    </row>
    <row r="8" spans="1:23" x14ac:dyDescent="0.3">
      <c r="A8" s="2" t="s">
        <v>64</v>
      </c>
      <c r="B8" s="10">
        <v>2000</v>
      </c>
      <c r="C8" s="11">
        <v>0</v>
      </c>
      <c r="D8" s="12">
        <v>0</v>
      </c>
      <c r="E8" s="10" t="s">
        <v>9766</v>
      </c>
      <c r="G8" s="2" t="s">
        <v>74</v>
      </c>
      <c r="H8" s="10">
        <v>70</v>
      </c>
      <c r="I8" s="11">
        <v>0</v>
      </c>
      <c r="J8" s="12">
        <v>0</v>
      </c>
      <c r="K8" s="10" t="s">
        <v>9766</v>
      </c>
      <c r="M8" s="2" t="s">
        <v>70</v>
      </c>
      <c r="N8" s="10">
        <v>1001</v>
      </c>
      <c r="O8" s="11">
        <v>0</v>
      </c>
      <c r="P8" s="12">
        <v>0</v>
      </c>
      <c r="Q8" s="10" t="s">
        <v>9766</v>
      </c>
      <c r="S8" s="2" t="s">
        <v>4</v>
      </c>
      <c r="T8" s="10">
        <v>720</v>
      </c>
      <c r="U8" s="11">
        <v>0</v>
      </c>
      <c r="V8" s="12">
        <v>0</v>
      </c>
      <c r="W8" s="10" t="s">
        <v>9766</v>
      </c>
    </row>
    <row r="9" spans="1:23" x14ac:dyDescent="0.3">
      <c r="A9" s="3" t="s">
        <v>65</v>
      </c>
      <c r="B9" s="7">
        <v>2000</v>
      </c>
      <c r="C9" s="8">
        <v>0</v>
      </c>
      <c r="D9" s="9">
        <v>0</v>
      </c>
      <c r="E9" s="7" t="s">
        <v>9766</v>
      </c>
      <c r="G9" s="3" t="s">
        <v>75</v>
      </c>
      <c r="H9" s="7">
        <v>70</v>
      </c>
      <c r="I9" s="8">
        <v>0</v>
      </c>
      <c r="J9" s="9">
        <v>0</v>
      </c>
      <c r="K9" s="7" t="s">
        <v>9766</v>
      </c>
      <c r="M9" s="3" t="s">
        <v>4</v>
      </c>
      <c r="N9" s="7">
        <v>1001</v>
      </c>
      <c r="O9" s="8">
        <v>0</v>
      </c>
      <c r="P9" s="9">
        <v>0</v>
      </c>
      <c r="Q9" s="7" t="s">
        <v>9766</v>
      </c>
      <c r="S9" s="3" t="s">
        <v>8901</v>
      </c>
      <c r="T9" s="7">
        <v>720</v>
      </c>
      <c r="U9" s="8">
        <v>0</v>
      </c>
      <c r="V9" s="9">
        <v>0</v>
      </c>
      <c r="W9" s="7" t="s">
        <v>9767</v>
      </c>
    </row>
    <row r="10" spans="1:23" x14ac:dyDescent="0.3">
      <c r="A10" s="2" t="s">
        <v>66</v>
      </c>
      <c r="B10" s="10">
        <v>2000</v>
      </c>
      <c r="C10" s="11">
        <v>0</v>
      </c>
      <c r="D10" s="12">
        <v>0</v>
      </c>
      <c r="E10" s="10" t="s">
        <v>9766</v>
      </c>
      <c r="G10" s="2" t="s">
        <v>8806</v>
      </c>
      <c r="H10" s="10">
        <v>70</v>
      </c>
      <c r="I10" s="11">
        <v>0</v>
      </c>
      <c r="J10" s="12">
        <v>0</v>
      </c>
      <c r="K10" s="10" t="s">
        <v>9768</v>
      </c>
      <c r="M10" s="2" t="s">
        <v>8901</v>
      </c>
      <c r="N10" s="10">
        <v>1001</v>
      </c>
      <c r="O10" s="11">
        <v>0</v>
      </c>
      <c r="P10" s="12">
        <v>0</v>
      </c>
      <c r="Q10" s="10" t="s">
        <v>9767</v>
      </c>
      <c r="S10" s="2" t="s">
        <v>9716</v>
      </c>
      <c r="T10" s="10">
        <v>720</v>
      </c>
      <c r="U10" s="11">
        <v>0</v>
      </c>
      <c r="V10" s="12">
        <v>0</v>
      </c>
      <c r="W10" s="10" t="s">
        <v>9768</v>
      </c>
    </row>
    <row r="11" spans="1:23" x14ac:dyDescent="0.3">
      <c r="A11" s="3" t="s">
        <v>67</v>
      </c>
      <c r="B11" s="7">
        <v>2000</v>
      </c>
      <c r="C11" s="8">
        <v>0</v>
      </c>
      <c r="D11" s="9">
        <v>0</v>
      </c>
      <c r="E11" s="7" t="s">
        <v>9766</v>
      </c>
      <c r="G11" s="3" t="s">
        <v>8807</v>
      </c>
      <c r="H11" s="7">
        <v>70</v>
      </c>
      <c r="I11" s="8">
        <v>0</v>
      </c>
      <c r="J11" s="9">
        <v>0</v>
      </c>
      <c r="K11" s="7" t="s">
        <v>9768</v>
      </c>
      <c r="M11" s="3" t="s">
        <v>8902</v>
      </c>
      <c r="N11" s="7">
        <v>1001</v>
      </c>
      <c r="O11" s="8">
        <v>0</v>
      </c>
      <c r="P11" s="9">
        <v>0</v>
      </c>
      <c r="Q11" s="7" t="s">
        <v>9768</v>
      </c>
      <c r="S11" s="3" t="s">
        <v>80</v>
      </c>
      <c r="T11" s="7">
        <v>720</v>
      </c>
      <c r="U11" s="8">
        <v>0</v>
      </c>
      <c r="V11" s="9">
        <v>0</v>
      </c>
      <c r="W11" s="7" t="s">
        <v>9768</v>
      </c>
    </row>
    <row r="12" spans="1:23" x14ac:dyDescent="0.3">
      <c r="A12" s="2" t="s">
        <v>68</v>
      </c>
      <c r="B12" s="10">
        <v>2000</v>
      </c>
      <c r="C12" s="11">
        <v>0</v>
      </c>
      <c r="D12" s="12">
        <v>0</v>
      </c>
      <c r="E12" s="10" t="s">
        <v>9766</v>
      </c>
      <c r="G12" s="2" t="s">
        <v>8808</v>
      </c>
      <c r="H12" s="10">
        <v>70</v>
      </c>
      <c r="I12" s="11">
        <v>0</v>
      </c>
      <c r="J12" s="12">
        <v>0</v>
      </c>
      <c r="K12" s="10" t="s">
        <v>9767</v>
      </c>
      <c r="M12" s="2" t="s">
        <v>8903</v>
      </c>
      <c r="N12" s="10">
        <v>1001</v>
      </c>
      <c r="O12" s="11">
        <v>0</v>
      </c>
      <c r="P12" s="12">
        <v>0</v>
      </c>
      <c r="Q12" s="10" t="s">
        <v>9768</v>
      </c>
      <c r="S12" s="2" t="s">
        <v>81</v>
      </c>
      <c r="T12" s="10">
        <v>720</v>
      </c>
      <c r="U12" s="11">
        <v>0</v>
      </c>
      <c r="V12" s="12">
        <v>0</v>
      </c>
      <c r="W12" s="10" t="s">
        <v>9768</v>
      </c>
    </row>
    <row r="13" spans="1:23" x14ac:dyDescent="0.3">
      <c r="A13" s="3" t="s">
        <v>69</v>
      </c>
      <c r="B13" s="7">
        <v>2000</v>
      </c>
      <c r="C13" s="8">
        <v>0</v>
      </c>
      <c r="D13" s="9">
        <v>0</v>
      </c>
      <c r="E13" s="7" t="s">
        <v>9767</v>
      </c>
      <c r="G13" s="3" t="s">
        <v>8809</v>
      </c>
      <c r="H13" s="7">
        <v>70</v>
      </c>
      <c r="I13" s="8">
        <v>0</v>
      </c>
      <c r="J13" s="9">
        <v>0</v>
      </c>
      <c r="K13" s="7" t="s">
        <v>9768</v>
      </c>
      <c r="M13" s="3" t="s">
        <v>8904</v>
      </c>
      <c r="N13" s="7">
        <v>1001</v>
      </c>
      <c r="O13" s="8">
        <v>0</v>
      </c>
      <c r="P13" s="9">
        <v>0</v>
      </c>
      <c r="Q13" s="7" t="s">
        <v>9766</v>
      </c>
      <c r="S13" s="3" t="s">
        <v>82</v>
      </c>
      <c r="T13" s="7">
        <v>720</v>
      </c>
      <c r="U13" s="8">
        <v>0</v>
      </c>
      <c r="V13" s="9">
        <v>0</v>
      </c>
      <c r="W13" s="7" t="s">
        <v>9768</v>
      </c>
    </row>
    <row r="14" spans="1:23" x14ac:dyDescent="0.3">
      <c r="A14" s="2" t="s">
        <v>4</v>
      </c>
      <c r="B14" s="10">
        <v>2000</v>
      </c>
      <c r="C14" s="11">
        <v>0</v>
      </c>
      <c r="D14" s="12">
        <v>0</v>
      </c>
      <c r="E14" s="10" t="s">
        <v>9766</v>
      </c>
      <c r="G14" s="2" t="s">
        <v>8810</v>
      </c>
      <c r="H14" s="10">
        <v>70</v>
      </c>
      <c r="I14" s="11">
        <v>0</v>
      </c>
      <c r="J14" s="12">
        <v>0</v>
      </c>
      <c r="K14" s="10" t="s">
        <v>9767</v>
      </c>
      <c r="M14" s="2" t="s">
        <v>8905</v>
      </c>
      <c r="N14" s="10">
        <v>1001</v>
      </c>
      <c r="O14" s="11">
        <v>0</v>
      </c>
      <c r="P14" s="12">
        <v>0</v>
      </c>
      <c r="Q14" s="10" t="s">
        <v>9767</v>
      </c>
      <c r="S14" s="2" t="s">
        <v>8903</v>
      </c>
      <c r="T14" s="10">
        <v>720</v>
      </c>
      <c r="U14" s="11">
        <v>0</v>
      </c>
      <c r="V14" s="12">
        <v>0</v>
      </c>
      <c r="W14" s="10" t="s">
        <v>9768</v>
      </c>
    </row>
    <row r="15" spans="1:23" x14ac:dyDescent="0.3">
      <c r="A15" s="3" t="s">
        <v>70</v>
      </c>
      <c r="B15" s="7">
        <v>2000</v>
      </c>
      <c r="C15" s="8">
        <v>0</v>
      </c>
      <c r="D15" s="9">
        <v>0</v>
      </c>
      <c r="E15" s="7" t="s">
        <v>9766</v>
      </c>
      <c r="G15" s="3" t="s">
        <v>8811</v>
      </c>
      <c r="H15" s="7">
        <v>70</v>
      </c>
      <c r="I15" s="8">
        <v>0</v>
      </c>
      <c r="J15" s="9">
        <v>0</v>
      </c>
      <c r="K15" s="7" t="s">
        <v>9766</v>
      </c>
      <c r="M15" s="3" t="s">
        <v>8906</v>
      </c>
      <c r="N15" s="7">
        <v>1001</v>
      </c>
      <c r="O15" s="8">
        <v>0</v>
      </c>
      <c r="P15" s="9">
        <v>0</v>
      </c>
      <c r="Q15" s="7" t="s">
        <v>9766</v>
      </c>
      <c r="S15" s="3" t="s">
        <v>9717</v>
      </c>
      <c r="T15" s="7">
        <v>720</v>
      </c>
      <c r="U15" s="8">
        <v>0</v>
      </c>
      <c r="V15" s="9">
        <v>0</v>
      </c>
      <c r="W15" s="7" t="s">
        <v>9767</v>
      </c>
    </row>
    <row r="16" spans="1:23" x14ac:dyDescent="0.3">
      <c r="A16" s="2" t="s">
        <v>71</v>
      </c>
      <c r="B16" s="10">
        <v>2000</v>
      </c>
      <c r="C16" s="11">
        <v>0</v>
      </c>
      <c r="D16" s="12">
        <v>0</v>
      </c>
      <c r="E16" s="10" t="s">
        <v>9766</v>
      </c>
      <c r="G16" s="2" t="s">
        <v>8812</v>
      </c>
      <c r="H16" s="10">
        <v>70</v>
      </c>
      <c r="I16" s="11">
        <v>0</v>
      </c>
      <c r="J16" s="12">
        <v>0</v>
      </c>
      <c r="K16" s="10" t="s">
        <v>9766</v>
      </c>
      <c r="M16" s="2" t="s">
        <v>8907</v>
      </c>
      <c r="N16" s="10">
        <v>1001</v>
      </c>
      <c r="O16" s="11">
        <v>0</v>
      </c>
      <c r="P16" s="12">
        <v>0</v>
      </c>
      <c r="Q16" s="10" t="s">
        <v>9766</v>
      </c>
      <c r="S16" s="2" t="s">
        <v>9718</v>
      </c>
      <c r="T16" s="10">
        <v>720</v>
      </c>
      <c r="U16" s="11">
        <v>0</v>
      </c>
      <c r="V16" s="12">
        <v>0</v>
      </c>
      <c r="W16" s="10" t="s">
        <v>9768</v>
      </c>
    </row>
    <row r="17" spans="1:23" x14ac:dyDescent="0.3">
      <c r="A17" s="3" t="s">
        <v>72</v>
      </c>
      <c r="B17" s="7">
        <v>2000</v>
      </c>
      <c r="C17" s="8">
        <v>0</v>
      </c>
      <c r="D17" s="9">
        <v>0</v>
      </c>
      <c r="E17" s="7" t="s">
        <v>9766</v>
      </c>
      <c r="M17" s="3" t="s">
        <v>8908</v>
      </c>
      <c r="N17" s="7">
        <v>1001</v>
      </c>
      <c r="O17" s="8">
        <v>0</v>
      </c>
      <c r="P17" s="9">
        <v>0</v>
      </c>
      <c r="Q17" s="7" t="s">
        <v>9766</v>
      </c>
      <c r="S17" s="3" t="s">
        <v>9719</v>
      </c>
      <c r="T17" s="7">
        <v>720</v>
      </c>
      <c r="U17" s="8">
        <v>0</v>
      </c>
      <c r="V17" s="9">
        <v>0</v>
      </c>
      <c r="W17" s="7" t="s">
        <v>9767</v>
      </c>
    </row>
    <row r="18" spans="1:23" x14ac:dyDescent="0.3">
      <c r="A18" s="2" t="s">
        <v>73</v>
      </c>
      <c r="B18" s="10">
        <v>2000</v>
      </c>
      <c r="C18" s="11">
        <v>0</v>
      </c>
      <c r="D18" s="12">
        <v>0</v>
      </c>
      <c r="E18" s="10" t="s">
        <v>9766</v>
      </c>
      <c r="M18" s="2" t="s">
        <v>8909</v>
      </c>
      <c r="N18" s="10">
        <v>1001</v>
      </c>
      <c r="O18" s="11">
        <v>0</v>
      </c>
      <c r="P18" s="12">
        <v>0</v>
      </c>
      <c r="Q18" s="10" t="s">
        <v>9766</v>
      </c>
    </row>
    <row r="19" spans="1:23" x14ac:dyDescent="0.3">
      <c r="A19" s="3" t="s">
        <v>1</v>
      </c>
      <c r="B19" s="7">
        <v>2000</v>
      </c>
      <c r="C19" s="8">
        <v>0</v>
      </c>
      <c r="D19" s="9">
        <v>0</v>
      </c>
      <c r="E19" s="7" t="s">
        <v>9766</v>
      </c>
    </row>
    <row r="20" spans="1:23" x14ac:dyDescent="0.3">
      <c r="A20" s="2" t="s">
        <v>74</v>
      </c>
      <c r="B20" s="10">
        <v>2000</v>
      </c>
      <c r="C20" s="11">
        <v>0</v>
      </c>
      <c r="D20" s="12">
        <v>0</v>
      </c>
      <c r="E20" s="10" t="s">
        <v>9766</v>
      </c>
    </row>
    <row r="21" spans="1:23" x14ac:dyDescent="0.3">
      <c r="A21" s="3" t="s">
        <v>75</v>
      </c>
      <c r="B21" s="7">
        <v>2000</v>
      </c>
      <c r="C21" s="8">
        <v>0</v>
      </c>
      <c r="D21" s="9">
        <v>0</v>
      </c>
      <c r="E21" s="7" t="s">
        <v>9766</v>
      </c>
    </row>
    <row r="22" spans="1:23" x14ac:dyDescent="0.3">
      <c r="A22" s="2" t="s">
        <v>76</v>
      </c>
      <c r="B22" s="10">
        <v>2000</v>
      </c>
      <c r="C22" s="11">
        <v>0</v>
      </c>
      <c r="D22" s="12">
        <v>0</v>
      </c>
      <c r="E22" s="10" t="s">
        <v>9767</v>
      </c>
    </row>
    <row r="23" spans="1:23" x14ac:dyDescent="0.3">
      <c r="A23" s="3" t="s">
        <v>77</v>
      </c>
      <c r="B23" s="7">
        <v>2000</v>
      </c>
      <c r="C23" s="8">
        <v>0</v>
      </c>
      <c r="D23" s="9">
        <v>0</v>
      </c>
      <c r="E23" s="7" t="s">
        <v>9768</v>
      </c>
    </row>
    <row r="24" spans="1:23" x14ac:dyDescent="0.3">
      <c r="A24" s="2" t="s">
        <v>78</v>
      </c>
      <c r="B24" s="10">
        <v>2000</v>
      </c>
      <c r="C24" s="11">
        <v>0</v>
      </c>
      <c r="D24" s="12">
        <v>0</v>
      </c>
      <c r="E24" s="10" t="s">
        <v>9767</v>
      </c>
    </row>
    <row r="25" spans="1:23" x14ac:dyDescent="0.3">
      <c r="A25" s="3" t="s">
        <v>79</v>
      </c>
      <c r="B25" s="7">
        <v>2000</v>
      </c>
      <c r="C25" s="8">
        <v>0</v>
      </c>
      <c r="D25" s="9">
        <v>0</v>
      </c>
      <c r="E25" s="7" t="s">
        <v>9768</v>
      </c>
    </row>
    <row r="26" spans="1:23" x14ac:dyDescent="0.3">
      <c r="A26" s="2" t="s">
        <v>80</v>
      </c>
      <c r="B26" s="10">
        <v>2000</v>
      </c>
      <c r="C26" s="11">
        <v>0</v>
      </c>
      <c r="D26" s="12">
        <v>0</v>
      </c>
      <c r="E26" s="10" t="s">
        <v>9768</v>
      </c>
    </row>
    <row r="27" spans="1:23" x14ac:dyDescent="0.3">
      <c r="A27" s="3" t="s">
        <v>81</v>
      </c>
      <c r="B27" s="7">
        <v>2000</v>
      </c>
      <c r="C27" s="8">
        <v>0</v>
      </c>
      <c r="D27" s="9">
        <v>0</v>
      </c>
      <c r="E27" s="7" t="s">
        <v>9768</v>
      </c>
    </row>
    <row r="28" spans="1:23" x14ac:dyDescent="0.3">
      <c r="A28" s="2" t="s">
        <v>82</v>
      </c>
      <c r="B28" s="10">
        <v>2000</v>
      </c>
      <c r="C28" s="11">
        <v>0</v>
      </c>
      <c r="D28" s="12">
        <v>0</v>
      </c>
      <c r="E28" s="10" t="s">
        <v>9768</v>
      </c>
    </row>
    <row r="29" spans="1:23" x14ac:dyDescent="0.3">
      <c r="A29" s="3" t="s">
        <v>83</v>
      </c>
      <c r="B29" s="7">
        <v>2000</v>
      </c>
      <c r="C29" s="8">
        <v>0</v>
      </c>
      <c r="D29" s="9">
        <v>0</v>
      </c>
      <c r="E29" s="7" t="s">
        <v>9767</v>
      </c>
    </row>
    <row r="30" spans="1:23" x14ac:dyDescent="0.3">
      <c r="A30" s="2" t="s">
        <v>84</v>
      </c>
      <c r="B30" s="10">
        <v>2000</v>
      </c>
      <c r="C30" s="11">
        <v>0</v>
      </c>
      <c r="D30" s="12">
        <v>0</v>
      </c>
      <c r="E30" s="10" t="s">
        <v>9766</v>
      </c>
    </row>
    <row r="31" spans="1:23" x14ac:dyDescent="0.3">
      <c r="A31" s="3" t="s">
        <v>85</v>
      </c>
      <c r="B31" s="7">
        <v>2000</v>
      </c>
      <c r="C31" s="8">
        <v>0</v>
      </c>
      <c r="D31" s="9">
        <v>0</v>
      </c>
      <c r="E31" s="7" t="s">
        <v>9766</v>
      </c>
    </row>
    <row r="32" spans="1:23" x14ac:dyDescent="0.3">
      <c r="A32" s="2" t="s">
        <v>86</v>
      </c>
      <c r="B32" s="10">
        <v>2000</v>
      </c>
      <c r="C32" s="11">
        <v>0</v>
      </c>
      <c r="D32" s="12">
        <v>0</v>
      </c>
      <c r="E32" s="10" t="s">
        <v>9766</v>
      </c>
    </row>
    <row r="33" spans="1:5" x14ac:dyDescent="0.3">
      <c r="A33" s="3" t="s">
        <v>87</v>
      </c>
      <c r="B33" s="7">
        <v>1140</v>
      </c>
      <c r="C33" s="13">
        <v>860</v>
      </c>
      <c r="D33" s="9">
        <v>0.43</v>
      </c>
      <c r="E33" s="7" t="s">
        <v>9768</v>
      </c>
    </row>
  </sheetData>
  <mergeCells count="5">
    <mergeCell ref="A1:J1"/>
    <mergeCell ref="A3:E3"/>
    <mergeCell ref="G3:K3"/>
    <mergeCell ref="M3:Q3"/>
    <mergeCell ref="S3:W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2137"/>
  </sheetPr>
  <dimension ref="A1:AC2001"/>
  <sheetViews>
    <sheetView showGridLines="0" showRowColHeaders="0" zoomScaleNormal="100" workbookViewId="0">
      <pane ySplit="1" topLeftCell="A1979" activePane="bottomLeft" state="frozen"/>
      <selection pane="bottomLeft" activeCell="Z1" sqref="Z1:Z2001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6" customWidth="1"/>
    <col min="4" max="4" width="17" customWidth="1"/>
    <col min="5" max="5" width="19" customWidth="1"/>
    <col min="6" max="6" width="13" customWidth="1"/>
    <col min="7" max="7" width="12" customWidth="1"/>
    <col min="8" max="8" width="16" customWidth="1"/>
    <col min="9" max="9" width="18" customWidth="1"/>
    <col min="10" max="12" width="12" customWidth="1"/>
    <col min="13" max="13" width="13" customWidth="1"/>
    <col min="14" max="14" width="15" customWidth="1"/>
    <col min="15" max="15" width="12" customWidth="1"/>
    <col min="16" max="16" width="15" customWidth="1"/>
    <col min="17" max="18" width="12" customWidth="1"/>
    <col min="19" max="19" width="17" customWidth="1"/>
    <col min="20" max="20" width="15" customWidth="1"/>
    <col min="21" max="21" width="19" customWidth="1"/>
    <col min="22" max="22" width="12" customWidth="1"/>
    <col min="23" max="23" width="19" customWidth="1"/>
    <col min="24" max="25" width="20" customWidth="1"/>
    <col min="26" max="26" width="17" customWidth="1"/>
    <col min="27" max="27" width="15" customWidth="1"/>
    <col min="28" max="28" width="14" customWidth="1"/>
    <col min="29" max="29" width="18" customWidth="1"/>
  </cols>
  <sheetData>
    <row r="1" spans="1:29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4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 x14ac:dyDescent="0.3">
      <c r="A2" s="2" t="s">
        <v>88</v>
      </c>
      <c r="B2" s="2" t="s">
        <v>89</v>
      </c>
      <c r="C2" s="2" t="s">
        <v>90</v>
      </c>
      <c r="D2" s="2" t="s">
        <v>91</v>
      </c>
      <c r="E2" s="2" t="s">
        <v>42</v>
      </c>
      <c r="F2" s="2" t="s">
        <v>92</v>
      </c>
      <c r="G2" s="2" t="s">
        <v>93</v>
      </c>
      <c r="H2" s="2" t="s">
        <v>94</v>
      </c>
      <c r="I2" s="2">
        <v>2</v>
      </c>
      <c r="J2" s="2" t="s">
        <v>14</v>
      </c>
      <c r="K2" s="2" t="s">
        <v>95</v>
      </c>
      <c r="L2" s="2" t="s">
        <v>95</v>
      </c>
      <c r="M2" s="2" t="s">
        <v>96</v>
      </c>
      <c r="N2" s="2" t="s">
        <v>97</v>
      </c>
      <c r="O2" s="2" t="s">
        <v>13</v>
      </c>
      <c r="P2" s="2" t="s">
        <v>98</v>
      </c>
      <c r="Q2" s="2" t="s">
        <v>99</v>
      </c>
      <c r="R2" s="2">
        <v>4</v>
      </c>
      <c r="S2" s="2">
        <v>24506.53</v>
      </c>
      <c r="T2" s="2">
        <v>10</v>
      </c>
      <c r="U2" s="2">
        <v>88223.51</v>
      </c>
      <c r="V2" s="2">
        <v>55785.82</v>
      </c>
      <c r="W2" s="2">
        <v>32437.69</v>
      </c>
      <c r="X2" s="2">
        <v>36.770000000000003</v>
      </c>
      <c r="Y2" s="2">
        <v>99</v>
      </c>
      <c r="Z2" s="2" t="s">
        <v>43</v>
      </c>
      <c r="AA2" s="2" t="s">
        <v>100</v>
      </c>
      <c r="AB2" s="2" t="s">
        <v>101</v>
      </c>
      <c r="AC2" s="2">
        <v>2</v>
      </c>
    </row>
    <row r="3" spans="1:29" x14ac:dyDescent="0.3">
      <c r="A3" s="3" t="s">
        <v>102</v>
      </c>
      <c r="B3" s="3" t="s">
        <v>103</v>
      </c>
      <c r="C3" s="3" t="s">
        <v>104</v>
      </c>
      <c r="D3" s="3" t="s">
        <v>105</v>
      </c>
      <c r="E3" s="3" t="s">
        <v>26</v>
      </c>
      <c r="F3" s="3" t="s">
        <v>106</v>
      </c>
      <c r="G3" s="3" t="s">
        <v>107</v>
      </c>
      <c r="H3" s="3" t="s">
        <v>108</v>
      </c>
      <c r="I3" s="3">
        <v>5</v>
      </c>
      <c r="J3" s="3" t="s">
        <v>39</v>
      </c>
      <c r="K3" s="3" t="s">
        <v>109</v>
      </c>
      <c r="L3" s="3" t="s">
        <v>110</v>
      </c>
      <c r="M3" s="3" t="s">
        <v>111</v>
      </c>
      <c r="N3" s="3" t="s">
        <v>112</v>
      </c>
      <c r="O3" s="3" t="s">
        <v>27</v>
      </c>
      <c r="P3" s="3" t="s">
        <v>113</v>
      </c>
      <c r="Q3" s="3" t="s">
        <v>114</v>
      </c>
      <c r="R3" s="3">
        <v>5</v>
      </c>
      <c r="S3" s="3">
        <v>10270.25</v>
      </c>
      <c r="T3" s="3">
        <v>15</v>
      </c>
      <c r="U3" s="3">
        <v>43648.56</v>
      </c>
      <c r="V3" s="3">
        <v>26954.94</v>
      </c>
      <c r="W3" s="3">
        <v>16693.62</v>
      </c>
      <c r="X3" s="3">
        <v>38.25</v>
      </c>
      <c r="Y3" s="3">
        <v>29</v>
      </c>
      <c r="Z3" s="3" t="s">
        <v>40</v>
      </c>
      <c r="AA3" s="3" t="s">
        <v>100</v>
      </c>
      <c r="AB3" s="3" t="s">
        <v>101</v>
      </c>
      <c r="AC3" s="3">
        <v>3</v>
      </c>
    </row>
    <row r="4" spans="1:29" x14ac:dyDescent="0.3">
      <c r="A4" s="2" t="s">
        <v>115</v>
      </c>
      <c r="B4" s="2" t="s">
        <v>116</v>
      </c>
      <c r="C4" s="2" t="s">
        <v>117</v>
      </c>
      <c r="D4" s="2" t="s">
        <v>118</v>
      </c>
      <c r="E4" s="2" t="s">
        <v>33</v>
      </c>
      <c r="F4" s="2" t="s">
        <v>119</v>
      </c>
      <c r="G4" s="2" t="s">
        <v>120</v>
      </c>
      <c r="H4" s="2" t="s">
        <v>121</v>
      </c>
      <c r="I4" s="2">
        <v>5</v>
      </c>
      <c r="J4" s="2" t="s">
        <v>22</v>
      </c>
      <c r="K4" s="2" t="s">
        <v>122</v>
      </c>
      <c r="L4" s="2" t="s">
        <v>123</v>
      </c>
      <c r="M4" s="2" t="s">
        <v>124</v>
      </c>
      <c r="N4" s="2" t="s">
        <v>125</v>
      </c>
      <c r="O4" s="2" t="s">
        <v>21</v>
      </c>
      <c r="P4" s="2" t="s">
        <v>126</v>
      </c>
      <c r="Q4" s="2" t="s">
        <v>127</v>
      </c>
      <c r="R4" s="2">
        <v>3</v>
      </c>
      <c r="S4" s="2">
        <v>19692.77</v>
      </c>
      <c r="T4" s="2">
        <v>15</v>
      </c>
      <c r="U4" s="2">
        <v>50216.56</v>
      </c>
      <c r="V4" s="2">
        <v>25330.639999999999</v>
      </c>
      <c r="W4" s="2">
        <v>24885.919999999998</v>
      </c>
      <c r="X4" s="2">
        <v>49.56</v>
      </c>
      <c r="Y4" s="2">
        <v>0</v>
      </c>
      <c r="Z4" s="2" t="s">
        <v>47</v>
      </c>
      <c r="AA4" s="2" t="s">
        <v>100</v>
      </c>
      <c r="AB4" s="2" t="s">
        <v>101</v>
      </c>
      <c r="AC4" s="2">
        <v>2</v>
      </c>
    </row>
    <row r="5" spans="1:29" x14ac:dyDescent="0.3">
      <c r="A5" s="3" t="s">
        <v>128</v>
      </c>
      <c r="B5" s="3" t="s">
        <v>129</v>
      </c>
      <c r="C5" s="3" t="s">
        <v>90</v>
      </c>
      <c r="D5" s="3" t="s">
        <v>130</v>
      </c>
      <c r="E5" s="3" t="s">
        <v>26</v>
      </c>
      <c r="F5" s="3" t="s">
        <v>131</v>
      </c>
      <c r="G5" s="3" t="s">
        <v>132</v>
      </c>
      <c r="H5" s="3" t="s">
        <v>133</v>
      </c>
      <c r="I5" s="3">
        <v>7</v>
      </c>
      <c r="J5" s="3" t="s">
        <v>39</v>
      </c>
      <c r="K5" s="3" t="s">
        <v>109</v>
      </c>
      <c r="L5" s="3" t="s">
        <v>134</v>
      </c>
      <c r="M5" s="3" t="s">
        <v>135</v>
      </c>
      <c r="N5" s="3" t="s">
        <v>136</v>
      </c>
      <c r="O5" s="3" t="s">
        <v>28</v>
      </c>
      <c r="P5" s="3" t="s">
        <v>137</v>
      </c>
      <c r="Q5" s="3" t="s">
        <v>138</v>
      </c>
      <c r="R5" s="3">
        <v>3</v>
      </c>
      <c r="S5" s="3">
        <v>38269.129999999997</v>
      </c>
      <c r="T5" s="3">
        <v>30</v>
      </c>
      <c r="U5" s="3">
        <v>80365.17</v>
      </c>
      <c r="V5" s="3">
        <v>40090.39</v>
      </c>
      <c r="W5" s="3">
        <v>40274.78</v>
      </c>
      <c r="X5" s="3">
        <v>50.11</v>
      </c>
      <c r="Y5" s="3">
        <v>199</v>
      </c>
      <c r="Z5" s="3" t="s">
        <v>43</v>
      </c>
      <c r="AA5" s="3" t="s">
        <v>139</v>
      </c>
      <c r="AB5" s="3" t="s">
        <v>140</v>
      </c>
      <c r="AC5" s="3"/>
    </row>
    <row r="6" spans="1:29" x14ac:dyDescent="0.3">
      <c r="A6" s="2" t="s">
        <v>141</v>
      </c>
      <c r="B6" s="2" t="s">
        <v>142</v>
      </c>
      <c r="C6" s="2" t="s">
        <v>143</v>
      </c>
      <c r="D6" s="2" t="s">
        <v>144</v>
      </c>
      <c r="E6" s="2" t="s">
        <v>18</v>
      </c>
      <c r="F6" s="2" t="s">
        <v>145</v>
      </c>
      <c r="G6" s="2" t="s">
        <v>146</v>
      </c>
      <c r="H6" s="2" t="s">
        <v>147</v>
      </c>
      <c r="I6" s="2">
        <v>2</v>
      </c>
      <c r="J6" s="2" t="s">
        <v>29</v>
      </c>
      <c r="K6" s="2" t="s">
        <v>148</v>
      </c>
      <c r="L6" s="2" t="s">
        <v>148</v>
      </c>
      <c r="M6" s="2" t="s">
        <v>149</v>
      </c>
      <c r="N6" s="2" t="s">
        <v>150</v>
      </c>
      <c r="O6" s="2" t="s">
        <v>28</v>
      </c>
      <c r="P6" s="2" t="s">
        <v>151</v>
      </c>
      <c r="Q6" s="2" t="s">
        <v>152</v>
      </c>
      <c r="R6" s="2">
        <v>4</v>
      </c>
      <c r="S6" s="2">
        <v>34863.800000000003</v>
      </c>
      <c r="T6" s="2">
        <v>10</v>
      </c>
      <c r="U6" s="2">
        <v>125509.68</v>
      </c>
      <c r="V6" s="2">
        <v>67792.240000000005</v>
      </c>
      <c r="W6" s="2">
        <v>57717.440000000002</v>
      </c>
      <c r="X6" s="2">
        <v>45.99</v>
      </c>
      <c r="Y6" s="2">
        <v>149</v>
      </c>
      <c r="Z6" s="2" t="s">
        <v>30</v>
      </c>
      <c r="AA6" s="2" t="s">
        <v>139</v>
      </c>
      <c r="AB6" s="2" t="s">
        <v>140</v>
      </c>
      <c r="AC6" s="2"/>
    </row>
    <row r="7" spans="1:29" x14ac:dyDescent="0.3">
      <c r="A7" s="3" t="s">
        <v>153</v>
      </c>
      <c r="B7" s="3" t="s">
        <v>154</v>
      </c>
      <c r="C7" s="3" t="s">
        <v>155</v>
      </c>
      <c r="D7" s="3" t="s">
        <v>156</v>
      </c>
      <c r="E7" s="3" t="s">
        <v>26</v>
      </c>
      <c r="F7" s="3" t="s">
        <v>157</v>
      </c>
      <c r="G7" s="3" t="s">
        <v>158</v>
      </c>
      <c r="H7" s="3" t="s">
        <v>159</v>
      </c>
      <c r="I7" s="3">
        <v>6</v>
      </c>
      <c r="J7" s="3" t="s">
        <v>29</v>
      </c>
      <c r="K7" s="3" t="s">
        <v>160</v>
      </c>
      <c r="L7" s="3" t="s">
        <v>161</v>
      </c>
      <c r="M7" s="3" t="s">
        <v>162</v>
      </c>
      <c r="N7" s="3" t="s">
        <v>163</v>
      </c>
      <c r="O7" s="3" t="s">
        <v>21</v>
      </c>
      <c r="P7" s="3" t="s">
        <v>126</v>
      </c>
      <c r="Q7" s="3" t="s">
        <v>114</v>
      </c>
      <c r="R7" s="3">
        <v>2</v>
      </c>
      <c r="S7" s="3">
        <v>10883.7</v>
      </c>
      <c r="T7" s="3">
        <v>25</v>
      </c>
      <c r="U7" s="3">
        <v>16325.55</v>
      </c>
      <c r="V7" s="3">
        <v>10715.17</v>
      </c>
      <c r="W7" s="3">
        <v>5610.38</v>
      </c>
      <c r="X7" s="3">
        <v>34.369999999999997</v>
      </c>
      <c r="Y7" s="3">
        <v>29</v>
      </c>
      <c r="Z7" s="3" t="s">
        <v>40</v>
      </c>
      <c r="AA7" s="3" t="s">
        <v>100</v>
      </c>
      <c r="AB7" s="3" t="s">
        <v>101</v>
      </c>
      <c r="AC7" s="3"/>
    </row>
    <row r="8" spans="1:29" x14ac:dyDescent="0.3">
      <c r="A8" s="2" t="s">
        <v>164</v>
      </c>
      <c r="B8" s="2" t="s">
        <v>165</v>
      </c>
      <c r="C8" s="2" t="s">
        <v>166</v>
      </c>
      <c r="D8" s="2" t="s">
        <v>167</v>
      </c>
      <c r="E8" s="2" t="s">
        <v>26</v>
      </c>
      <c r="F8" s="2" t="s">
        <v>168</v>
      </c>
      <c r="G8" s="2" t="s">
        <v>169</v>
      </c>
      <c r="H8" s="2" t="s">
        <v>170</v>
      </c>
      <c r="I8" s="2">
        <v>7</v>
      </c>
      <c r="J8" s="2" t="s">
        <v>14</v>
      </c>
      <c r="K8" s="2" t="s">
        <v>171</v>
      </c>
      <c r="L8" s="2" t="s">
        <v>172</v>
      </c>
      <c r="M8" s="2" t="s">
        <v>173</v>
      </c>
      <c r="N8" s="2" t="s">
        <v>174</v>
      </c>
      <c r="O8" s="2" t="s">
        <v>27</v>
      </c>
      <c r="P8" s="2" t="s">
        <v>175</v>
      </c>
      <c r="Q8" s="2" t="s">
        <v>99</v>
      </c>
      <c r="R8" s="2">
        <v>2</v>
      </c>
      <c r="S8" s="2">
        <v>37105.39</v>
      </c>
      <c r="T8" s="2">
        <v>0</v>
      </c>
      <c r="U8" s="2">
        <v>74210.78</v>
      </c>
      <c r="V8" s="2">
        <v>43159.15</v>
      </c>
      <c r="W8" s="2">
        <v>31051.63</v>
      </c>
      <c r="X8" s="2">
        <v>41.84</v>
      </c>
      <c r="Y8" s="2">
        <v>29</v>
      </c>
      <c r="Z8" s="2" t="s">
        <v>23</v>
      </c>
      <c r="AA8" s="2" t="s">
        <v>100</v>
      </c>
      <c r="AB8" s="2" t="s">
        <v>101</v>
      </c>
      <c r="AC8" s="2">
        <v>3</v>
      </c>
    </row>
    <row r="9" spans="1:29" x14ac:dyDescent="0.3">
      <c r="A9" s="3" t="s">
        <v>176</v>
      </c>
      <c r="B9" s="3" t="s">
        <v>177</v>
      </c>
      <c r="C9" s="3" t="s">
        <v>178</v>
      </c>
      <c r="D9" s="3" t="s">
        <v>179</v>
      </c>
      <c r="E9" s="3" t="s">
        <v>26</v>
      </c>
      <c r="F9" s="3" t="s">
        <v>180</v>
      </c>
      <c r="G9" s="3" t="s">
        <v>181</v>
      </c>
      <c r="H9" s="3" t="s">
        <v>182</v>
      </c>
      <c r="I9" s="3">
        <v>6</v>
      </c>
      <c r="J9" s="3" t="s">
        <v>14</v>
      </c>
      <c r="K9" s="3" t="s">
        <v>183</v>
      </c>
      <c r="L9" s="3" t="s">
        <v>183</v>
      </c>
      <c r="M9" s="3" t="s">
        <v>184</v>
      </c>
      <c r="N9" s="3" t="s">
        <v>185</v>
      </c>
      <c r="O9" s="3" t="s">
        <v>28</v>
      </c>
      <c r="P9" s="3" t="s">
        <v>151</v>
      </c>
      <c r="Q9" s="3" t="s">
        <v>152</v>
      </c>
      <c r="R9" s="3">
        <v>1</v>
      </c>
      <c r="S9" s="3">
        <v>43487.839999999997</v>
      </c>
      <c r="T9" s="3">
        <v>15</v>
      </c>
      <c r="U9" s="3">
        <v>36964.660000000003</v>
      </c>
      <c r="V9" s="3">
        <v>18435.75</v>
      </c>
      <c r="W9" s="3">
        <v>18528.91</v>
      </c>
      <c r="X9" s="3">
        <v>50.13</v>
      </c>
      <c r="Y9" s="3">
        <v>199</v>
      </c>
      <c r="Z9" s="3" t="s">
        <v>40</v>
      </c>
      <c r="AA9" s="3" t="s">
        <v>186</v>
      </c>
      <c r="AB9" s="3" t="s">
        <v>101</v>
      </c>
      <c r="AC9" s="3"/>
    </row>
    <row r="10" spans="1:29" x14ac:dyDescent="0.3">
      <c r="A10" s="2" t="s">
        <v>187</v>
      </c>
      <c r="B10" s="2" t="s">
        <v>188</v>
      </c>
      <c r="C10" s="2" t="s">
        <v>155</v>
      </c>
      <c r="D10" s="2" t="s">
        <v>189</v>
      </c>
      <c r="E10" s="2" t="s">
        <v>18</v>
      </c>
      <c r="F10" s="2" t="s">
        <v>190</v>
      </c>
      <c r="G10" s="2" t="s">
        <v>191</v>
      </c>
      <c r="H10" s="2" t="s">
        <v>192</v>
      </c>
      <c r="I10" s="2">
        <v>7</v>
      </c>
      <c r="J10" s="2" t="s">
        <v>39</v>
      </c>
      <c r="K10" s="2" t="s">
        <v>193</v>
      </c>
      <c r="L10" s="2" t="s">
        <v>193</v>
      </c>
      <c r="M10" s="2" t="s">
        <v>194</v>
      </c>
      <c r="N10" s="2" t="s">
        <v>195</v>
      </c>
      <c r="O10" s="2" t="s">
        <v>21</v>
      </c>
      <c r="P10" s="2" t="s">
        <v>196</v>
      </c>
      <c r="Q10" s="2" t="s">
        <v>197</v>
      </c>
      <c r="R10" s="2">
        <v>5</v>
      </c>
      <c r="S10" s="2">
        <v>32463.47</v>
      </c>
      <c r="T10" s="2">
        <v>10</v>
      </c>
      <c r="U10" s="2">
        <v>146085.62</v>
      </c>
      <c r="V10" s="2">
        <v>83430.39</v>
      </c>
      <c r="W10" s="2">
        <v>62655.23</v>
      </c>
      <c r="X10" s="2">
        <v>42.89</v>
      </c>
      <c r="Y10" s="2">
        <v>29</v>
      </c>
      <c r="Z10" s="2" t="s">
        <v>43</v>
      </c>
      <c r="AA10" s="2" t="s">
        <v>100</v>
      </c>
      <c r="AB10" s="2" t="s">
        <v>101</v>
      </c>
      <c r="AC10" s="2">
        <v>2</v>
      </c>
    </row>
    <row r="11" spans="1:29" x14ac:dyDescent="0.3">
      <c r="A11" s="3" t="s">
        <v>198</v>
      </c>
      <c r="B11" s="3" t="s">
        <v>199</v>
      </c>
      <c r="C11" s="3" t="s">
        <v>200</v>
      </c>
      <c r="D11" s="3" t="s">
        <v>201</v>
      </c>
      <c r="E11" s="3" t="s">
        <v>18</v>
      </c>
      <c r="F11" s="3" t="s">
        <v>202</v>
      </c>
      <c r="G11" s="3" t="s">
        <v>133</v>
      </c>
      <c r="H11" s="3" t="s">
        <v>203</v>
      </c>
      <c r="I11" s="3">
        <v>5</v>
      </c>
      <c r="J11" s="3" t="s">
        <v>29</v>
      </c>
      <c r="K11" s="3" t="s">
        <v>148</v>
      </c>
      <c r="L11" s="3" t="s">
        <v>148</v>
      </c>
      <c r="M11" s="3" t="s">
        <v>204</v>
      </c>
      <c r="N11" s="3" t="s">
        <v>205</v>
      </c>
      <c r="O11" s="3" t="s">
        <v>21</v>
      </c>
      <c r="P11" s="3" t="s">
        <v>206</v>
      </c>
      <c r="Q11" s="3" t="s">
        <v>207</v>
      </c>
      <c r="R11" s="3">
        <v>3</v>
      </c>
      <c r="S11" s="3">
        <v>36312.42</v>
      </c>
      <c r="T11" s="3">
        <v>0</v>
      </c>
      <c r="U11" s="3">
        <v>108937.26</v>
      </c>
      <c r="V11" s="3">
        <v>63356.15</v>
      </c>
      <c r="W11" s="3">
        <v>45581.11</v>
      </c>
      <c r="X11" s="3">
        <v>41.84</v>
      </c>
      <c r="Y11" s="3">
        <v>0</v>
      </c>
      <c r="Z11" s="3" t="s">
        <v>48</v>
      </c>
      <c r="AA11" s="3" t="s">
        <v>186</v>
      </c>
      <c r="AB11" s="3" t="s">
        <v>101</v>
      </c>
      <c r="AC11" s="3"/>
    </row>
    <row r="12" spans="1:29" x14ac:dyDescent="0.3">
      <c r="A12" s="2" t="s">
        <v>208</v>
      </c>
      <c r="B12" s="2" t="s">
        <v>209</v>
      </c>
      <c r="C12" s="2" t="s">
        <v>210</v>
      </c>
      <c r="D12" s="2" t="s">
        <v>211</v>
      </c>
      <c r="E12" s="2" t="s">
        <v>42</v>
      </c>
      <c r="F12" s="2" t="s">
        <v>212</v>
      </c>
      <c r="G12" s="2" t="s">
        <v>213</v>
      </c>
      <c r="H12" s="2" t="s">
        <v>214</v>
      </c>
      <c r="I12" s="2">
        <v>4</v>
      </c>
      <c r="J12" s="2" t="s">
        <v>14</v>
      </c>
      <c r="K12" s="2" t="s">
        <v>215</v>
      </c>
      <c r="L12" s="2" t="s">
        <v>215</v>
      </c>
      <c r="M12" s="2" t="s">
        <v>216</v>
      </c>
      <c r="N12" s="2" t="s">
        <v>217</v>
      </c>
      <c r="O12" s="2" t="s">
        <v>21</v>
      </c>
      <c r="P12" s="2" t="s">
        <v>206</v>
      </c>
      <c r="Q12" s="2" t="s">
        <v>218</v>
      </c>
      <c r="R12" s="2">
        <v>5</v>
      </c>
      <c r="S12" s="2">
        <v>44488.12</v>
      </c>
      <c r="T12" s="2">
        <v>30</v>
      </c>
      <c r="U12" s="2">
        <v>155708.42000000001</v>
      </c>
      <c r="V12" s="2">
        <v>86436.36</v>
      </c>
      <c r="W12" s="2">
        <v>69272.06</v>
      </c>
      <c r="X12" s="2">
        <v>44.49</v>
      </c>
      <c r="Y12" s="2">
        <v>149</v>
      </c>
      <c r="Z12" s="2" t="s">
        <v>23</v>
      </c>
      <c r="AA12" s="2" t="s">
        <v>100</v>
      </c>
      <c r="AB12" s="2" t="s">
        <v>101</v>
      </c>
      <c r="AC12" s="2">
        <v>4</v>
      </c>
    </row>
    <row r="13" spans="1:29" x14ac:dyDescent="0.3">
      <c r="A13" s="3" t="s">
        <v>219</v>
      </c>
      <c r="B13" s="3" t="s">
        <v>220</v>
      </c>
      <c r="C13" s="3" t="s">
        <v>221</v>
      </c>
      <c r="D13" s="3" t="s">
        <v>222</v>
      </c>
      <c r="E13" s="3" t="s">
        <v>42</v>
      </c>
      <c r="F13" s="3" t="s">
        <v>223</v>
      </c>
      <c r="G13" s="3" t="s">
        <v>224</v>
      </c>
      <c r="H13" s="3" t="s">
        <v>190</v>
      </c>
      <c r="I13" s="3">
        <v>3</v>
      </c>
      <c r="J13" s="3" t="s">
        <v>39</v>
      </c>
      <c r="K13" s="3" t="s">
        <v>225</v>
      </c>
      <c r="L13" s="3" t="s">
        <v>225</v>
      </c>
      <c r="M13" s="3" t="s">
        <v>226</v>
      </c>
      <c r="N13" s="3" t="s">
        <v>227</v>
      </c>
      <c r="O13" s="3" t="s">
        <v>13</v>
      </c>
      <c r="P13" s="3" t="s">
        <v>228</v>
      </c>
      <c r="Q13" s="3" t="s">
        <v>138</v>
      </c>
      <c r="R13" s="3">
        <v>3</v>
      </c>
      <c r="S13" s="3">
        <v>40871.07</v>
      </c>
      <c r="T13" s="3">
        <v>15</v>
      </c>
      <c r="U13" s="3">
        <v>104221.23</v>
      </c>
      <c r="V13" s="3">
        <v>54103.9</v>
      </c>
      <c r="W13" s="3">
        <v>50117.33</v>
      </c>
      <c r="X13" s="3">
        <v>48.09</v>
      </c>
      <c r="Y13" s="3">
        <v>149</v>
      </c>
      <c r="Z13" s="3" t="s">
        <v>23</v>
      </c>
      <c r="AA13" s="3" t="s">
        <v>139</v>
      </c>
      <c r="AB13" s="3" t="s">
        <v>140</v>
      </c>
      <c r="AC13" s="3"/>
    </row>
    <row r="14" spans="1:29" x14ac:dyDescent="0.3">
      <c r="A14" s="2" t="s">
        <v>229</v>
      </c>
      <c r="B14" s="2" t="s">
        <v>230</v>
      </c>
      <c r="C14" s="2" t="s">
        <v>231</v>
      </c>
      <c r="D14" s="2" t="s">
        <v>232</v>
      </c>
      <c r="E14" s="2" t="s">
        <v>18</v>
      </c>
      <c r="F14" s="2" t="s">
        <v>233</v>
      </c>
      <c r="G14" s="2" t="s">
        <v>234</v>
      </c>
      <c r="H14" s="2" t="s">
        <v>235</v>
      </c>
      <c r="I14" s="2">
        <v>4</v>
      </c>
      <c r="J14" s="2" t="s">
        <v>22</v>
      </c>
      <c r="K14" s="2" t="s">
        <v>122</v>
      </c>
      <c r="L14" s="2" t="s">
        <v>236</v>
      </c>
      <c r="M14" s="2" t="s">
        <v>237</v>
      </c>
      <c r="N14" s="2" t="s">
        <v>227</v>
      </c>
      <c r="O14" s="2" t="s">
        <v>13</v>
      </c>
      <c r="P14" s="2" t="s">
        <v>228</v>
      </c>
      <c r="Q14" s="2" t="s">
        <v>138</v>
      </c>
      <c r="R14" s="2">
        <v>4</v>
      </c>
      <c r="S14" s="2">
        <v>14543.99</v>
      </c>
      <c r="T14" s="2">
        <v>20</v>
      </c>
      <c r="U14" s="2">
        <v>46540.77</v>
      </c>
      <c r="V14" s="2">
        <v>31252.92</v>
      </c>
      <c r="W14" s="2">
        <v>15287.85</v>
      </c>
      <c r="X14" s="2">
        <v>32.85</v>
      </c>
      <c r="Y14" s="2">
        <v>99</v>
      </c>
      <c r="Z14" s="2" t="s">
        <v>47</v>
      </c>
      <c r="AA14" s="2" t="s">
        <v>100</v>
      </c>
      <c r="AB14" s="2" t="s">
        <v>101</v>
      </c>
      <c r="AC14" s="2">
        <v>2</v>
      </c>
    </row>
    <row r="15" spans="1:29" x14ac:dyDescent="0.3">
      <c r="A15" s="3" t="s">
        <v>238</v>
      </c>
      <c r="B15" s="3" t="s">
        <v>239</v>
      </c>
      <c r="C15" s="3" t="s">
        <v>240</v>
      </c>
      <c r="D15" s="3" t="s">
        <v>241</v>
      </c>
      <c r="E15" s="3" t="s">
        <v>33</v>
      </c>
      <c r="F15" s="3" t="s">
        <v>242</v>
      </c>
      <c r="G15" s="3" t="s">
        <v>243</v>
      </c>
      <c r="H15" s="3" t="s">
        <v>244</v>
      </c>
      <c r="I15" s="3">
        <v>3</v>
      </c>
      <c r="J15" s="3" t="s">
        <v>29</v>
      </c>
      <c r="K15" s="3" t="s">
        <v>160</v>
      </c>
      <c r="L15" s="3" t="s">
        <v>161</v>
      </c>
      <c r="M15" s="3" t="s">
        <v>245</v>
      </c>
      <c r="N15" s="3" t="s">
        <v>185</v>
      </c>
      <c r="O15" s="3" t="s">
        <v>28</v>
      </c>
      <c r="P15" s="3" t="s">
        <v>151</v>
      </c>
      <c r="Q15" s="3" t="s">
        <v>246</v>
      </c>
      <c r="R15" s="3">
        <v>2</v>
      </c>
      <c r="S15" s="3">
        <v>29778.86</v>
      </c>
      <c r="T15" s="3">
        <v>10</v>
      </c>
      <c r="U15" s="3">
        <v>53601.95</v>
      </c>
      <c r="V15" s="3">
        <v>28883.45</v>
      </c>
      <c r="W15" s="3">
        <v>24718.5</v>
      </c>
      <c r="X15" s="3">
        <v>46.11</v>
      </c>
      <c r="Y15" s="3">
        <v>149</v>
      </c>
      <c r="Z15" s="3" t="s">
        <v>48</v>
      </c>
      <c r="AA15" s="3" t="s">
        <v>139</v>
      </c>
      <c r="AB15" s="3" t="s">
        <v>140</v>
      </c>
      <c r="AC15" s="3"/>
    </row>
    <row r="16" spans="1:29" x14ac:dyDescent="0.3">
      <c r="A16" s="2" t="s">
        <v>247</v>
      </c>
      <c r="B16" s="2" t="s">
        <v>248</v>
      </c>
      <c r="C16" s="2" t="s">
        <v>249</v>
      </c>
      <c r="D16" s="2" t="s">
        <v>250</v>
      </c>
      <c r="E16" s="2" t="s">
        <v>18</v>
      </c>
      <c r="F16" s="2" t="s">
        <v>251</v>
      </c>
      <c r="G16" s="2" t="s">
        <v>252</v>
      </c>
      <c r="H16" s="2" t="s">
        <v>253</v>
      </c>
      <c r="I16" s="2">
        <v>6</v>
      </c>
      <c r="J16" s="2" t="s">
        <v>22</v>
      </c>
      <c r="K16" s="2" t="s">
        <v>254</v>
      </c>
      <c r="L16" s="2" t="s">
        <v>254</v>
      </c>
      <c r="M16" s="2" t="s">
        <v>255</v>
      </c>
      <c r="N16" s="2" t="s">
        <v>256</v>
      </c>
      <c r="O16" s="2" t="s">
        <v>27</v>
      </c>
      <c r="P16" s="2" t="s">
        <v>257</v>
      </c>
      <c r="Q16" s="2" t="s">
        <v>246</v>
      </c>
      <c r="R16" s="2">
        <v>4</v>
      </c>
      <c r="S16" s="2">
        <v>18273.689999999999</v>
      </c>
      <c r="T16" s="2">
        <v>20</v>
      </c>
      <c r="U16" s="2">
        <v>58475.81</v>
      </c>
      <c r="V16" s="2">
        <v>32764.29</v>
      </c>
      <c r="W16" s="2">
        <v>25711.52</v>
      </c>
      <c r="X16" s="2">
        <v>43.97</v>
      </c>
      <c r="Y16" s="2">
        <v>149</v>
      </c>
      <c r="Z16" s="2" t="s">
        <v>48</v>
      </c>
      <c r="AA16" s="2" t="s">
        <v>100</v>
      </c>
      <c r="AB16" s="2" t="s">
        <v>101</v>
      </c>
      <c r="AC16" s="2">
        <v>5</v>
      </c>
    </row>
    <row r="17" spans="1:29" x14ac:dyDescent="0.3">
      <c r="A17" s="3" t="s">
        <v>258</v>
      </c>
      <c r="B17" s="3" t="s">
        <v>259</v>
      </c>
      <c r="C17" s="3" t="s">
        <v>260</v>
      </c>
      <c r="D17" s="3" t="s">
        <v>261</v>
      </c>
      <c r="E17" s="3" t="s">
        <v>33</v>
      </c>
      <c r="F17" s="3" t="s">
        <v>262</v>
      </c>
      <c r="G17" s="3" t="s">
        <v>263</v>
      </c>
      <c r="H17" s="3" t="s">
        <v>264</v>
      </c>
      <c r="I17" s="3">
        <v>5</v>
      </c>
      <c r="J17" s="3" t="s">
        <v>14</v>
      </c>
      <c r="K17" s="3" t="s">
        <v>183</v>
      </c>
      <c r="L17" s="3" t="s">
        <v>183</v>
      </c>
      <c r="M17" s="3" t="s">
        <v>265</v>
      </c>
      <c r="N17" s="3" t="s">
        <v>266</v>
      </c>
      <c r="O17" s="3" t="s">
        <v>28</v>
      </c>
      <c r="P17" s="3" t="s">
        <v>151</v>
      </c>
      <c r="Q17" s="3" t="s">
        <v>218</v>
      </c>
      <c r="R17" s="3">
        <v>4</v>
      </c>
      <c r="S17" s="3">
        <v>12195.76</v>
      </c>
      <c r="T17" s="3">
        <v>20</v>
      </c>
      <c r="U17" s="3">
        <v>39026.43</v>
      </c>
      <c r="V17" s="3">
        <v>20685.3</v>
      </c>
      <c r="W17" s="3">
        <v>18341.13</v>
      </c>
      <c r="X17" s="3">
        <v>47</v>
      </c>
      <c r="Y17" s="3">
        <v>49</v>
      </c>
      <c r="Z17" s="3" t="s">
        <v>47</v>
      </c>
      <c r="AA17" s="3" t="s">
        <v>100</v>
      </c>
      <c r="AB17" s="3" t="s">
        <v>101</v>
      </c>
      <c r="AC17" s="3"/>
    </row>
    <row r="18" spans="1:29" x14ac:dyDescent="0.3">
      <c r="A18" s="2" t="s">
        <v>267</v>
      </c>
      <c r="B18" s="2" t="s">
        <v>268</v>
      </c>
      <c r="C18" s="2" t="s">
        <v>269</v>
      </c>
      <c r="D18" s="2" t="s">
        <v>270</v>
      </c>
      <c r="E18" s="2" t="s">
        <v>18</v>
      </c>
      <c r="F18" s="2" t="s">
        <v>271</v>
      </c>
      <c r="G18" s="2" t="s">
        <v>168</v>
      </c>
      <c r="H18" s="2" t="s">
        <v>272</v>
      </c>
      <c r="I18" s="2">
        <v>6</v>
      </c>
      <c r="J18" s="2" t="s">
        <v>39</v>
      </c>
      <c r="K18" s="2" t="s">
        <v>225</v>
      </c>
      <c r="L18" s="2" t="s">
        <v>225</v>
      </c>
      <c r="M18" s="2" t="s">
        <v>273</v>
      </c>
      <c r="N18" s="2" t="s">
        <v>274</v>
      </c>
      <c r="O18" s="2" t="s">
        <v>21</v>
      </c>
      <c r="P18" s="2" t="s">
        <v>126</v>
      </c>
      <c r="Q18" s="2" t="s">
        <v>218</v>
      </c>
      <c r="R18" s="2">
        <v>5</v>
      </c>
      <c r="S18" s="2">
        <v>37809.9</v>
      </c>
      <c r="T18" s="2">
        <v>30</v>
      </c>
      <c r="U18" s="2">
        <v>132334.65</v>
      </c>
      <c r="V18" s="2">
        <v>76725.97</v>
      </c>
      <c r="W18" s="2">
        <v>55608.68</v>
      </c>
      <c r="X18" s="2">
        <v>42.02</v>
      </c>
      <c r="Y18" s="2">
        <v>49</v>
      </c>
      <c r="Z18" s="2" t="s">
        <v>40</v>
      </c>
      <c r="AA18" s="2" t="s">
        <v>275</v>
      </c>
      <c r="AB18" s="2" t="s">
        <v>101</v>
      </c>
      <c r="AC18" s="2"/>
    </row>
    <row r="19" spans="1:29" x14ac:dyDescent="0.3">
      <c r="A19" s="3" t="s">
        <v>276</v>
      </c>
      <c r="B19" s="3" t="s">
        <v>277</v>
      </c>
      <c r="C19" s="3" t="s">
        <v>278</v>
      </c>
      <c r="D19" s="3" t="s">
        <v>279</v>
      </c>
      <c r="E19" s="3" t="s">
        <v>26</v>
      </c>
      <c r="F19" s="3" t="s">
        <v>280</v>
      </c>
      <c r="G19" s="3" t="s">
        <v>281</v>
      </c>
      <c r="H19" s="3" t="s">
        <v>282</v>
      </c>
      <c r="I19" s="3">
        <v>2</v>
      </c>
      <c r="J19" s="3" t="s">
        <v>22</v>
      </c>
      <c r="K19" s="3" t="s">
        <v>283</v>
      </c>
      <c r="L19" s="3" t="s">
        <v>284</v>
      </c>
      <c r="M19" s="3" t="s">
        <v>285</v>
      </c>
      <c r="N19" s="3" t="s">
        <v>286</v>
      </c>
      <c r="O19" s="3" t="s">
        <v>28</v>
      </c>
      <c r="P19" s="3" t="s">
        <v>137</v>
      </c>
      <c r="Q19" s="3" t="s">
        <v>287</v>
      </c>
      <c r="R19" s="3">
        <v>3</v>
      </c>
      <c r="S19" s="3">
        <v>36984.97</v>
      </c>
      <c r="T19" s="3">
        <v>15</v>
      </c>
      <c r="U19" s="3">
        <v>94311.67</v>
      </c>
      <c r="V19" s="3">
        <v>47865.88</v>
      </c>
      <c r="W19" s="3">
        <v>46445.79</v>
      </c>
      <c r="X19" s="3">
        <v>49.25</v>
      </c>
      <c r="Y19" s="3">
        <v>49</v>
      </c>
      <c r="Z19" s="3" t="s">
        <v>47</v>
      </c>
      <c r="AA19" s="3" t="s">
        <v>100</v>
      </c>
      <c r="AB19" s="3" t="s">
        <v>101</v>
      </c>
      <c r="AC19" s="3">
        <v>2</v>
      </c>
    </row>
    <row r="20" spans="1:29" x14ac:dyDescent="0.3">
      <c r="A20" s="2" t="s">
        <v>288</v>
      </c>
      <c r="B20" s="2" t="s">
        <v>289</v>
      </c>
      <c r="C20" s="2" t="s">
        <v>290</v>
      </c>
      <c r="D20" s="2" t="s">
        <v>291</v>
      </c>
      <c r="E20" s="2" t="s">
        <v>18</v>
      </c>
      <c r="F20" s="2" t="s">
        <v>292</v>
      </c>
      <c r="G20" s="2" t="s">
        <v>293</v>
      </c>
      <c r="H20" s="2" t="s">
        <v>294</v>
      </c>
      <c r="I20" s="2">
        <v>3</v>
      </c>
      <c r="J20" s="2" t="s">
        <v>29</v>
      </c>
      <c r="K20" s="2" t="s">
        <v>160</v>
      </c>
      <c r="L20" s="2" t="s">
        <v>161</v>
      </c>
      <c r="M20" s="2" t="s">
        <v>295</v>
      </c>
      <c r="N20" s="2" t="s">
        <v>296</v>
      </c>
      <c r="O20" s="2" t="s">
        <v>19</v>
      </c>
      <c r="P20" s="2" t="s">
        <v>297</v>
      </c>
      <c r="Q20" s="2" t="s">
        <v>138</v>
      </c>
      <c r="R20" s="2">
        <v>2</v>
      </c>
      <c r="S20" s="2">
        <v>46889.94</v>
      </c>
      <c r="T20" s="2">
        <v>0</v>
      </c>
      <c r="U20" s="2">
        <v>93779.88</v>
      </c>
      <c r="V20" s="2">
        <v>60365.56</v>
      </c>
      <c r="W20" s="2">
        <v>33414.32</v>
      </c>
      <c r="X20" s="2">
        <v>35.630000000000003</v>
      </c>
      <c r="Y20" s="2">
        <v>99</v>
      </c>
      <c r="Z20" s="2" t="s">
        <v>47</v>
      </c>
      <c r="AA20" s="2" t="s">
        <v>100</v>
      </c>
      <c r="AB20" s="2" t="s">
        <v>101</v>
      </c>
      <c r="AC20" s="2">
        <v>3</v>
      </c>
    </row>
    <row r="21" spans="1:29" x14ac:dyDescent="0.3">
      <c r="A21" s="3" t="s">
        <v>298</v>
      </c>
      <c r="B21" s="3" t="s">
        <v>299</v>
      </c>
      <c r="C21" s="3" t="s">
        <v>300</v>
      </c>
      <c r="D21" s="3" t="s">
        <v>301</v>
      </c>
      <c r="E21" s="3" t="s">
        <v>42</v>
      </c>
      <c r="F21" s="3" t="s">
        <v>302</v>
      </c>
      <c r="G21" s="3" t="s">
        <v>303</v>
      </c>
      <c r="H21" s="3" t="s">
        <v>304</v>
      </c>
      <c r="I21" s="3">
        <v>5</v>
      </c>
      <c r="J21" s="3" t="s">
        <v>29</v>
      </c>
      <c r="K21" s="3" t="s">
        <v>148</v>
      </c>
      <c r="L21" s="3" t="s">
        <v>148</v>
      </c>
      <c r="M21" s="3" t="s">
        <v>305</v>
      </c>
      <c r="N21" s="3" t="s">
        <v>306</v>
      </c>
      <c r="O21" s="3" t="s">
        <v>21</v>
      </c>
      <c r="P21" s="3" t="s">
        <v>126</v>
      </c>
      <c r="Q21" s="3" t="s">
        <v>218</v>
      </c>
      <c r="R21" s="3">
        <v>1</v>
      </c>
      <c r="S21" s="3">
        <v>26291.1</v>
      </c>
      <c r="T21" s="3">
        <v>20</v>
      </c>
      <c r="U21" s="3">
        <v>21032.880000000001</v>
      </c>
      <c r="V21" s="3">
        <v>12034.99</v>
      </c>
      <c r="W21" s="3">
        <v>8997.89</v>
      </c>
      <c r="X21" s="3">
        <v>42.78</v>
      </c>
      <c r="Y21" s="3">
        <v>199</v>
      </c>
      <c r="Z21" s="3" t="s">
        <v>48</v>
      </c>
      <c r="AA21" s="3" t="s">
        <v>100</v>
      </c>
      <c r="AB21" s="3" t="s">
        <v>101</v>
      </c>
      <c r="AC21" s="3">
        <v>1</v>
      </c>
    </row>
    <row r="22" spans="1:29" x14ac:dyDescent="0.3">
      <c r="A22" s="2" t="s">
        <v>307</v>
      </c>
      <c r="B22" s="2" t="s">
        <v>308</v>
      </c>
      <c r="C22" s="2" t="s">
        <v>309</v>
      </c>
      <c r="D22" s="2" t="s">
        <v>310</v>
      </c>
      <c r="E22" s="2" t="s">
        <v>33</v>
      </c>
      <c r="F22" s="2" t="s">
        <v>311</v>
      </c>
      <c r="G22" s="2" t="s">
        <v>312</v>
      </c>
      <c r="H22" s="2" t="s">
        <v>313</v>
      </c>
      <c r="I22" s="2">
        <v>8</v>
      </c>
      <c r="J22" s="2" t="s">
        <v>39</v>
      </c>
      <c r="K22" s="2" t="s">
        <v>314</v>
      </c>
      <c r="L22" s="2" t="s">
        <v>314</v>
      </c>
      <c r="M22" s="2" t="s">
        <v>315</v>
      </c>
      <c r="N22" s="2" t="s">
        <v>316</v>
      </c>
      <c r="O22" s="2" t="s">
        <v>28</v>
      </c>
      <c r="P22" s="2" t="s">
        <v>137</v>
      </c>
      <c r="Q22" s="2" t="s">
        <v>127</v>
      </c>
      <c r="R22" s="2">
        <v>4</v>
      </c>
      <c r="S22" s="2">
        <v>20625.150000000001</v>
      </c>
      <c r="T22" s="2">
        <v>20</v>
      </c>
      <c r="U22" s="2">
        <v>66000.479999999996</v>
      </c>
      <c r="V22" s="2">
        <v>37942.33</v>
      </c>
      <c r="W22" s="2">
        <v>28058.15</v>
      </c>
      <c r="X22" s="2">
        <v>42.51</v>
      </c>
      <c r="Y22" s="2">
        <v>149</v>
      </c>
      <c r="Z22" s="2" t="s">
        <v>48</v>
      </c>
      <c r="AA22" s="2" t="s">
        <v>100</v>
      </c>
      <c r="AB22" s="2" t="s">
        <v>101</v>
      </c>
      <c r="AC22" s="2">
        <v>5</v>
      </c>
    </row>
    <row r="23" spans="1:29" x14ac:dyDescent="0.3">
      <c r="A23" s="3" t="s">
        <v>317</v>
      </c>
      <c r="B23" s="3" t="s">
        <v>318</v>
      </c>
      <c r="C23" s="3" t="s">
        <v>319</v>
      </c>
      <c r="D23" s="3" t="s">
        <v>320</v>
      </c>
      <c r="E23" s="3" t="s">
        <v>33</v>
      </c>
      <c r="F23" s="3" t="s">
        <v>321</v>
      </c>
      <c r="G23" s="3" t="s">
        <v>322</v>
      </c>
      <c r="H23" s="3" t="s">
        <v>323</v>
      </c>
      <c r="I23" s="3">
        <v>3</v>
      </c>
      <c r="J23" s="3" t="s">
        <v>39</v>
      </c>
      <c r="K23" s="3" t="s">
        <v>324</v>
      </c>
      <c r="L23" s="3" t="s">
        <v>325</v>
      </c>
      <c r="M23" s="3" t="s">
        <v>326</v>
      </c>
      <c r="N23" s="3" t="s">
        <v>327</v>
      </c>
      <c r="O23" s="3" t="s">
        <v>27</v>
      </c>
      <c r="P23" s="3" t="s">
        <v>113</v>
      </c>
      <c r="Q23" s="3" t="s">
        <v>218</v>
      </c>
      <c r="R23" s="3">
        <v>1</v>
      </c>
      <c r="S23" s="3">
        <v>34329.120000000003</v>
      </c>
      <c r="T23" s="3">
        <v>0</v>
      </c>
      <c r="U23" s="3">
        <v>34329.120000000003</v>
      </c>
      <c r="V23" s="3">
        <v>23421.73</v>
      </c>
      <c r="W23" s="3">
        <v>10907.39</v>
      </c>
      <c r="X23" s="3">
        <v>31.77</v>
      </c>
      <c r="Y23" s="3">
        <v>149</v>
      </c>
      <c r="Z23" s="3" t="s">
        <v>47</v>
      </c>
      <c r="AA23" s="3" t="s">
        <v>100</v>
      </c>
      <c r="AB23" s="3" t="s">
        <v>101</v>
      </c>
      <c r="AC23" s="3">
        <v>3</v>
      </c>
    </row>
    <row r="24" spans="1:29" x14ac:dyDescent="0.3">
      <c r="A24" s="2" t="s">
        <v>328</v>
      </c>
      <c r="B24" s="2" t="s">
        <v>329</v>
      </c>
      <c r="C24" s="2" t="s">
        <v>260</v>
      </c>
      <c r="D24" s="2" t="s">
        <v>330</v>
      </c>
      <c r="E24" s="2" t="s">
        <v>18</v>
      </c>
      <c r="F24" s="2" t="s">
        <v>331</v>
      </c>
      <c r="G24" s="2" t="s">
        <v>332</v>
      </c>
      <c r="H24" s="2" t="s">
        <v>333</v>
      </c>
      <c r="I24" s="2">
        <v>6</v>
      </c>
      <c r="J24" s="2" t="s">
        <v>29</v>
      </c>
      <c r="K24" s="2" t="s">
        <v>334</v>
      </c>
      <c r="L24" s="2" t="s">
        <v>335</v>
      </c>
      <c r="M24" s="2" t="s">
        <v>336</v>
      </c>
      <c r="N24" s="2" t="s">
        <v>266</v>
      </c>
      <c r="O24" s="2" t="s">
        <v>28</v>
      </c>
      <c r="P24" s="2" t="s">
        <v>151</v>
      </c>
      <c r="Q24" s="2" t="s">
        <v>99</v>
      </c>
      <c r="R24" s="2">
        <v>3</v>
      </c>
      <c r="S24" s="2">
        <v>21296.48</v>
      </c>
      <c r="T24" s="2">
        <v>0</v>
      </c>
      <c r="U24" s="2">
        <v>63889.440000000002</v>
      </c>
      <c r="V24" s="2">
        <v>29831.38</v>
      </c>
      <c r="W24" s="2">
        <v>34058.06</v>
      </c>
      <c r="X24" s="2">
        <v>53.31</v>
      </c>
      <c r="Y24" s="2">
        <v>99</v>
      </c>
      <c r="Z24" s="2" t="s">
        <v>15</v>
      </c>
      <c r="AA24" s="2" t="s">
        <v>100</v>
      </c>
      <c r="AB24" s="2" t="s">
        <v>101</v>
      </c>
      <c r="AC24" s="2">
        <v>2</v>
      </c>
    </row>
    <row r="25" spans="1:29" x14ac:dyDescent="0.3">
      <c r="A25" s="3" t="s">
        <v>337</v>
      </c>
      <c r="B25" s="3" t="s">
        <v>338</v>
      </c>
      <c r="C25" s="3" t="s">
        <v>339</v>
      </c>
      <c r="D25" s="3" t="s">
        <v>340</v>
      </c>
      <c r="E25" s="3" t="s">
        <v>26</v>
      </c>
      <c r="F25" s="3" t="s">
        <v>341</v>
      </c>
      <c r="G25" s="3" t="s">
        <v>342</v>
      </c>
      <c r="H25" s="3" t="s">
        <v>343</v>
      </c>
      <c r="I25" s="3">
        <v>3</v>
      </c>
      <c r="J25" s="3" t="s">
        <v>39</v>
      </c>
      <c r="K25" s="3" t="s">
        <v>109</v>
      </c>
      <c r="L25" s="3" t="s">
        <v>344</v>
      </c>
      <c r="M25" s="3" t="s">
        <v>345</v>
      </c>
      <c r="N25" s="3" t="s">
        <v>266</v>
      </c>
      <c r="O25" s="3" t="s">
        <v>28</v>
      </c>
      <c r="P25" s="3" t="s">
        <v>151</v>
      </c>
      <c r="Q25" s="3" t="s">
        <v>152</v>
      </c>
      <c r="R25" s="3">
        <v>3</v>
      </c>
      <c r="S25" s="3">
        <v>35606.410000000003</v>
      </c>
      <c r="T25" s="3">
        <v>30</v>
      </c>
      <c r="U25" s="3">
        <v>74773.460000000006</v>
      </c>
      <c r="V25" s="3">
        <v>37395.730000000003</v>
      </c>
      <c r="W25" s="3">
        <v>37377.730000000003</v>
      </c>
      <c r="X25" s="3">
        <v>49.99</v>
      </c>
      <c r="Y25" s="3">
        <v>149</v>
      </c>
      <c r="Z25" s="3" t="s">
        <v>15</v>
      </c>
      <c r="AA25" s="3" t="s">
        <v>186</v>
      </c>
      <c r="AB25" s="3" t="s">
        <v>101</v>
      </c>
      <c r="AC25" s="3"/>
    </row>
    <row r="26" spans="1:29" x14ac:dyDescent="0.3">
      <c r="A26" s="2" t="s">
        <v>346</v>
      </c>
      <c r="B26" s="2" t="s">
        <v>347</v>
      </c>
      <c r="C26" s="2" t="s">
        <v>348</v>
      </c>
      <c r="D26" s="2" t="s">
        <v>349</v>
      </c>
      <c r="E26" s="2" t="s">
        <v>18</v>
      </c>
      <c r="F26" s="2" t="s">
        <v>350</v>
      </c>
      <c r="G26" s="2" t="s">
        <v>351</v>
      </c>
      <c r="H26" s="2" t="s">
        <v>352</v>
      </c>
      <c r="I26" s="2">
        <v>8</v>
      </c>
      <c r="J26" s="2" t="s">
        <v>14</v>
      </c>
      <c r="K26" s="2" t="s">
        <v>171</v>
      </c>
      <c r="L26" s="2" t="s">
        <v>172</v>
      </c>
      <c r="M26" s="2" t="s">
        <v>353</v>
      </c>
      <c r="N26" s="2" t="s">
        <v>354</v>
      </c>
      <c r="O26" s="2" t="s">
        <v>21</v>
      </c>
      <c r="P26" s="2" t="s">
        <v>196</v>
      </c>
      <c r="Q26" s="2" t="s">
        <v>355</v>
      </c>
      <c r="R26" s="2">
        <v>2</v>
      </c>
      <c r="S26" s="2">
        <v>42610.17</v>
      </c>
      <c r="T26" s="2">
        <v>15</v>
      </c>
      <c r="U26" s="2">
        <v>72437.289999999994</v>
      </c>
      <c r="V26" s="2">
        <v>43571.21</v>
      </c>
      <c r="W26" s="2">
        <v>28866.080000000002</v>
      </c>
      <c r="X26" s="2">
        <v>39.85</v>
      </c>
      <c r="Y26" s="2">
        <v>99</v>
      </c>
      <c r="Z26" s="2" t="s">
        <v>23</v>
      </c>
      <c r="AA26" s="2" t="s">
        <v>100</v>
      </c>
      <c r="AB26" s="2" t="s">
        <v>101</v>
      </c>
      <c r="AC26" s="2">
        <v>1</v>
      </c>
    </row>
    <row r="27" spans="1:29" x14ac:dyDescent="0.3">
      <c r="A27" s="3" t="s">
        <v>356</v>
      </c>
      <c r="B27" s="3" t="s">
        <v>357</v>
      </c>
      <c r="C27" s="3" t="s">
        <v>358</v>
      </c>
      <c r="D27" s="3" t="s">
        <v>359</v>
      </c>
      <c r="E27" s="3" t="s">
        <v>18</v>
      </c>
      <c r="F27" s="3" t="s">
        <v>360</v>
      </c>
      <c r="G27" s="3" t="s">
        <v>361</v>
      </c>
      <c r="H27" s="3" t="s">
        <v>362</v>
      </c>
      <c r="I27" s="3">
        <v>2</v>
      </c>
      <c r="J27" s="3" t="s">
        <v>39</v>
      </c>
      <c r="K27" s="3" t="s">
        <v>193</v>
      </c>
      <c r="L27" s="3" t="s">
        <v>193</v>
      </c>
      <c r="M27" s="3" t="s">
        <v>363</v>
      </c>
      <c r="N27" s="3" t="s">
        <v>364</v>
      </c>
      <c r="O27" s="3" t="s">
        <v>19</v>
      </c>
      <c r="P27" s="3" t="s">
        <v>365</v>
      </c>
      <c r="Q27" s="3" t="s">
        <v>218</v>
      </c>
      <c r="R27" s="3">
        <v>5</v>
      </c>
      <c r="S27" s="3">
        <v>38556.81</v>
      </c>
      <c r="T27" s="3">
        <v>0</v>
      </c>
      <c r="U27" s="3">
        <v>192784.05</v>
      </c>
      <c r="V27" s="3">
        <v>100671.13</v>
      </c>
      <c r="W27" s="3">
        <v>92112.92</v>
      </c>
      <c r="X27" s="3">
        <v>47.78</v>
      </c>
      <c r="Y27" s="3">
        <v>199</v>
      </c>
      <c r="Z27" s="3" t="s">
        <v>15</v>
      </c>
      <c r="AA27" s="3" t="s">
        <v>100</v>
      </c>
      <c r="AB27" s="3" t="s">
        <v>101</v>
      </c>
      <c r="AC27" s="3">
        <v>3</v>
      </c>
    </row>
    <row r="28" spans="1:29" x14ac:dyDescent="0.3">
      <c r="A28" s="2" t="s">
        <v>366</v>
      </c>
      <c r="B28" s="2" t="s">
        <v>367</v>
      </c>
      <c r="C28" s="2" t="s">
        <v>368</v>
      </c>
      <c r="D28" s="2" t="s">
        <v>369</v>
      </c>
      <c r="E28" s="2" t="s">
        <v>42</v>
      </c>
      <c r="F28" s="2" t="s">
        <v>370</v>
      </c>
      <c r="G28" s="2" t="s">
        <v>371</v>
      </c>
      <c r="H28" s="2" t="s">
        <v>372</v>
      </c>
      <c r="I28" s="2">
        <v>5</v>
      </c>
      <c r="J28" s="2" t="s">
        <v>14</v>
      </c>
      <c r="K28" s="2" t="s">
        <v>215</v>
      </c>
      <c r="L28" s="2" t="s">
        <v>215</v>
      </c>
      <c r="M28" s="2" t="s">
        <v>373</v>
      </c>
      <c r="N28" s="2" t="s">
        <v>374</v>
      </c>
      <c r="O28" s="2" t="s">
        <v>21</v>
      </c>
      <c r="P28" s="2" t="s">
        <v>196</v>
      </c>
      <c r="Q28" s="2" t="s">
        <v>287</v>
      </c>
      <c r="R28" s="2">
        <v>5</v>
      </c>
      <c r="S28" s="2">
        <v>10249.219999999999</v>
      </c>
      <c r="T28" s="2">
        <v>30</v>
      </c>
      <c r="U28" s="2">
        <v>35872.269999999997</v>
      </c>
      <c r="V28" s="2">
        <v>19954.41</v>
      </c>
      <c r="W28" s="2">
        <v>15917.86</v>
      </c>
      <c r="X28" s="2">
        <v>44.37</v>
      </c>
      <c r="Y28" s="2">
        <v>149</v>
      </c>
      <c r="Z28" s="2" t="s">
        <v>47</v>
      </c>
      <c r="AA28" s="2" t="s">
        <v>100</v>
      </c>
      <c r="AB28" s="2" t="s">
        <v>101</v>
      </c>
      <c r="AC28" s="2">
        <v>5</v>
      </c>
    </row>
    <row r="29" spans="1:29" x14ac:dyDescent="0.3">
      <c r="A29" s="3" t="s">
        <v>375</v>
      </c>
      <c r="B29" s="3" t="s">
        <v>376</v>
      </c>
      <c r="C29" s="3" t="s">
        <v>377</v>
      </c>
      <c r="D29" s="3" t="s">
        <v>378</v>
      </c>
      <c r="E29" s="3" t="s">
        <v>18</v>
      </c>
      <c r="F29" s="3" t="s">
        <v>379</v>
      </c>
      <c r="G29" s="3" t="s">
        <v>380</v>
      </c>
      <c r="H29" s="3" t="s">
        <v>381</v>
      </c>
      <c r="I29" s="3">
        <v>7</v>
      </c>
      <c r="J29" s="3" t="s">
        <v>14</v>
      </c>
      <c r="K29" s="3" t="s">
        <v>183</v>
      </c>
      <c r="L29" s="3" t="s">
        <v>183</v>
      </c>
      <c r="M29" s="3" t="s">
        <v>382</v>
      </c>
      <c r="N29" s="3" t="s">
        <v>112</v>
      </c>
      <c r="O29" s="3" t="s">
        <v>27</v>
      </c>
      <c r="P29" s="3" t="s">
        <v>113</v>
      </c>
      <c r="Q29" s="3" t="s">
        <v>287</v>
      </c>
      <c r="R29" s="3">
        <v>1</v>
      </c>
      <c r="S29" s="3">
        <v>40553.65</v>
      </c>
      <c r="T29" s="3">
        <v>10</v>
      </c>
      <c r="U29" s="3">
        <v>36498.29</v>
      </c>
      <c r="V29" s="3">
        <v>25032.73</v>
      </c>
      <c r="W29" s="3">
        <v>11465.56</v>
      </c>
      <c r="X29" s="3">
        <v>31.41</v>
      </c>
      <c r="Y29" s="3">
        <v>199</v>
      </c>
      <c r="Z29" s="3" t="s">
        <v>43</v>
      </c>
      <c r="AA29" s="3" t="s">
        <v>100</v>
      </c>
      <c r="AB29" s="3" t="s">
        <v>101</v>
      </c>
      <c r="AC29" s="3">
        <v>1</v>
      </c>
    </row>
    <row r="30" spans="1:29" x14ac:dyDescent="0.3">
      <c r="A30" s="2" t="s">
        <v>383</v>
      </c>
      <c r="B30" s="2" t="s">
        <v>384</v>
      </c>
      <c r="C30" s="2" t="s">
        <v>117</v>
      </c>
      <c r="D30" s="2" t="s">
        <v>385</v>
      </c>
      <c r="E30" s="2" t="s">
        <v>18</v>
      </c>
      <c r="F30" s="2" t="s">
        <v>386</v>
      </c>
      <c r="G30" s="2" t="s">
        <v>387</v>
      </c>
      <c r="H30" s="2" t="s">
        <v>388</v>
      </c>
      <c r="I30" s="2">
        <v>6</v>
      </c>
      <c r="J30" s="2" t="s">
        <v>14</v>
      </c>
      <c r="K30" s="2" t="s">
        <v>183</v>
      </c>
      <c r="L30" s="2" t="s">
        <v>183</v>
      </c>
      <c r="M30" s="2" t="s">
        <v>389</v>
      </c>
      <c r="N30" s="2" t="s">
        <v>390</v>
      </c>
      <c r="O30" s="2" t="s">
        <v>19</v>
      </c>
      <c r="P30" s="2" t="s">
        <v>297</v>
      </c>
      <c r="Q30" s="2" t="s">
        <v>152</v>
      </c>
      <c r="R30" s="2">
        <v>5</v>
      </c>
      <c r="S30" s="2">
        <v>14633.46</v>
      </c>
      <c r="T30" s="2">
        <v>10</v>
      </c>
      <c r="U30" s="2">
        <v>65850.570000000007</v>
      </c>
      <c r="V30" s="2">
        <v>42542.54</v>
      </c>
      <c r="W30" s="2">
        <v>23308.03</v>
      </c>
      <c r="X30" s="2">
        <v>35.4</v>
      </c>
      <c r="Y30" s="2">
        <v>199</v>
      </c>
      <c r="Z30" s="2" t="s">
        <v>47</v>
      </c>
      <c r="AA30" s="2" t="s">
        <v>100</v>
      </c>
      <c r="AB30" s="2" t="s">
        <v>101</v>
      </c>
      <c r="AC30" s="2">
        <v>2</v>
      </c>
    </row>
    <row r="31" spans="1:29" x14ac:dyDescent="0.3">
      <c r="A31" s="3" t="s">
        <v>391</v>
      </c>
      <c r="B31" s="3" t="s">
        <v>392</v>
      </c>
      <c r="C31" s="3" t="s">
        <v>393</v>
      </c>
      <c r="D31" s="3" t="s">
        <v>394</v>
      </c>
      <c r="E31" s="3" t="s">
        <v>33</v>
      </c>
      <c r="F31" s="3" t="s">
        <v>395</v>
      </c>
      <c r="G31" s="3" t="s">
        <v>396</v>
      </c>
      <c r="H31" s="3" t="s">
        <v>397</v>
      </c>
      <c r="I31" s="3">
        <v>7</v>
      </c>
      <c r="J31" s="3" t="s">
        <v>14</v>
      </c>
      <c r="K31" s="3" t="s">
        <v>215</v>
      </c>
      <c r="L31" s="3" t="s">
        <v>215</v>
      </c>
      <c r="M31" s="3" t="s">
        <v>398</v>
      </c>
      <c r="N31" s="3" t="s">
        <v>399</v>
      </c>
      <c r="O31" s="3" t="s">
        <v>21</v>
      </c>
      <c r="P31" s="3" t="s">
        <v>196</v>
      </c>
      <c r="Q31" s="3" t="s">
        <v>400</v>
      </c>
      <c r="R31" s="3">
        <v>5</v>
      </c>
      <c r="S31" s="3">
        <v>33572.29</v>
      </c>
      <c r="T31" s="3">
        <v>15</v>
      </c>
      <c r="U31" s="3">
        <v>142682.23000000001</v>
      </c>
      <c r="V31" s="3">
        <v>91549.440000000002</v>
      </c>
      <c r="W31" s="3">
        <v>51132.79</v>
      </c>
      <c r="X31" s="3">
        <v>35.840000000000003</v>
      </c>
      <c r="Y31" s="3">
        <v>0</v>
      </c>
      <c r="Z31" s="3" t="s">
        <v>43</v>
      </c>
      <c r="AA31" s="3" t="s">
        <v>100</v>
      </c>
      <c r="AB31" s="3" t="s">
        <v>101</v>
      </c>
      <c r="AC31" s="3">
        <v>1</v>
      </c>
    </row>
    <row r="32" spans="1:29" x14ac:dyDescent="0.3">
      <c r="A32" s="2" t="s">
        <v>401</v>
      </c>
      <c r="B32" s="2" t="s">
        <v>402</v>
      </c>
      <c r="C32" s="2" t="s">
        <v>143</v>
      </c>
      <c r="D32" s="2" t="s">
        <v>403</v>
      </c>
      <c r="E32" s="2" t="s">
        <v>42</v>
      </c>
      <c r="F32" s="2" t="s">
        <v>404</v>
      </c>
      <c r="G32" s="2" t="s">
        <v>405</v>
      </c>
      <c r="H32" s="2" t="s">
        <v>406</v>
      </c>
      <c r="I32" s="2">
        <v>5</v>
      </c>
      <c r="J32" s="2" t="s">
        <v>14</v>
      </c>
      <c r="K32" s="2" t="s">
        <v>171</v>
      </c>
      <c r="L32" s="2" t="s">
        <v>407</v>
      </c>
      <c r="M32" s="2" t="s">
        <v>408</v>
      </c>
      <c r="N32" s="2" t="s">
        <v>409</v>
      </c>
      <c r="O32" s="2" t="s">
        <v>21</v>
      </c>
      <c r="P32" s="2" t="s">
        <v>196</v>
      </c>
      <c r="Q32" s="2" t="s">
        <v>207</v>
      </c>
      <c r="R32" s="2">
        <v>3</v>
      </c>
      <c r="S32" s="2">
        <v>1744.14</v>
      </c>
      <c r="T32" s="2">
        <v>25</v>
      </c>
      <c r="U32" s="2">
        <v>3924.32</v>
      </c>
      <c r="V32" s="2">
        <v>2309.1999999999998</v>
      </c>
      <c r="W32" s="2">
        <v>1615.12</v>
      </c>
      <c r="X32" s="2">
        <v>41.16</v>
      </c>
      <c r="Y32" s="2">
        <v>29</v>
      </c>
      <c r="Z32" s="2" t="s">
        <v>15</v>
      </c>
      <c r="AA32" s="2" t="s">
        <v>100</v>
      </c>
      <c r="AB32" s="2" t="s">
        <v>101</v>
      </c>
      <c r="AC32" s="2">
        <v>5</v>
      </c>
    </row>
    <row r="33" spans="1:29" x14ac:dyDescent="0.3">
      <c r="A33" s="3" t="s">
        <v>410</v>
      </c>
      <c r="B33" s="3" t="s">
        <v>411</v>
      </c>
      <c r="C33" s="3" t="s">
        <v>412</v>
      </c>
      <c r="D33" s="3" t="s">
        <v>413</v>
      </c>
      <c r="E33" s="3" t="s">
        <v>18</v>
      </c>
      <c r="F33" s="3" t="s">
        <v>414</v>
      </c>
      <c r="G33" s="3" t="s">
        <v>415</v>
      </c>
      <c r="H33" s="3" t="s">
        <v>416</v>
      </c>
      <c r="I33" s="3">
        <v>6</v>
      </c>
      <c r="J33" s="3" t="s">
        <v>14</v>
      </c>
      <c r="K33" s="3" t="s">
        <v>215</v>
      </c>
      <c r="L33" s="3" t="s">
        <v>215</v>
      </c>
      <c r="M33" s="3" t="s">
        <v>417</v>
      </c>
      <c r="N33" s="3" t="s">
        <v>418</v>
      </c>
      <c r="O33" s="3" t="s">
        <v>13</v>
      </c>
      <c r="P33" s="3" t="s">
        <v>419</v>
      </c>
      <c r="Q33" s="3" t="s">
        <v>99</v>
      </c>
      <c r="R33" s="3">
        <v>5</v>
      </c>
      <c r="S33" s="3">
        <v>47274.41</v>
      </c>
      <c r="T33" s="3">
        <v>25</v>
      </c>
      <c r="U33" s="3">
        <v>177279.04</v>
      </c>
      <c r="V33" s="3">
        <v>89759.23</v>
      </c>
      <c r="W33" s="3">
        <v>87519.81</v>
      </c>
      <c r="X33" s="3">
        <v>49.37</v>
      </c>
      <c r="Y33" s="3">
        <v>199</v>
      </c>
      <c r="Z33" s="3" t="s">
        <v>48</v>
      </c>
      <c r="AA33" s="3" t="s">
        <v>100</v>
      </c>
      <c r="AB33" s="3" t="s">
        <v>101</v>
      </c>
      <c r="AC33" s="3">
        <v>2</v>
      </c>
    </row>
    <row r="34" spans="1:29" x14ac:dyDescent="0.3">
      <c r="A34" s="2" t="s">
        <v>420</v>
      </c>
      <c r="B34" s="2" t="s">
        <v>421</v>
      </c>
      <c r="C34" s="2" t="s">
        <v>422</v>
      </c>
      <c r="D34" s="2" t="s">
        <v>423</v>
      </c>
      <c r="E34" s="2" t="s">
        <v>18</v>
      </c>
      <c r="F34" s="2" t="s">
        <v>424</v>
      </c>
      <c r="G34" s="2" t="s">
        <v>425</v>
      </c>
      <c r="H34" s="2" t="s">
        <v>426</v>
      </c>
      <c r="I34" s="2">
        <v>7</v>
      </c>
      <c r="J34" s="2" t="s">
        <v>29</v>
      </c>
      <c r="K34" s="2" t="s">
        <v>427</v>
      </c>
      <c r="L34" s="2" t="s">
        <v>428</v>
      </c>
      <c r="M34" s="2" t="s">
        <v>429</v>
      </c>
      <c r="N34" s="2" t="s">
        <v>195</v>
      </c>
      <c r="O34" s="2" t="s">
        <v>21</v>
      </c>
      <c r="P34" s="2" t="s">
        <v>196</v>
      </c>
      <c r="Q34" s="2" t="s">
        <v>287</v>
      </c>
      <c r="R34" s="2">
        <v>3</v>
      </c>
      <c r="S34" s="2">
        <v>32362.85</v>
      </c>
      <c r="T34" s="2">
        <v>30</v>
      </c>
      <c r="U34" s="2">
        <v>67961.98</v>
      </c>
      <c r="V34" s="2">
        <v>43893.72</v>
      </c>
      <c r="W34" s="2">
        <v>24068.26</v>
      </c>
      <c r="X34" s="2">
        <v>35.409999999999997</v>
      </c>
      <c r="Y34" s="2">
        <v>199</v>
      </c>
      <c r="Z34" s="2" t="s">
        <v>43</v>
      </c>
      <c r="AA34" s="2" t="s">
        <v>100</v>
      </c>
      <c r="AB34" s="2" t="s">
        <v>101</v>
      </c>
      <c r="AC34" s="2">
        <v>2</v>
      </c>
    </row>
    <row r="35" spans="1:29" x14ac:dyDescent="0.3">
      <c r="A35" s="3" t="s">
        <v>430</v>
      </c>
      <c r="B35" s="3" t="s">
        <v>431</v>
      </c>
      <c r="C35" s="3" t="s">
        <v>432</v>
      </c>
      <c r="D35" s="3" t="s">
        <v>433</v>
      </c>
      <c r="E35" s="3" t="s">
        <v>42</v>
      </c>
      <c r="F35" s="3" t="s">
        <v>434</v>
      </c>
      <c r="G35" s="3" t="s">
        <v>435</v>
      </c>
      <c r="H35" s="3" t="s">
        <v>436</v>
      </c>
      <c r="I35" s="3">
        <v>3</v>
      </c>
      <c r="J35" s="3" t="s">
        <v>39</v>
      </c>
      <c r="K35" s="3" t="s">
        <v>314</v>
      </c>
      <c r="L35" s="3" t="s">
        <v>314</v>
      </c>
      <c r="M35" s="3" t="s">
        <v>437</v>
      </c>
      <c r="N35" s="3" t="s">
        <v>438</v>
      </c>
      <c r="O35" s="3" t="s">
        <v>13</v>
      </c>
      <c r="P35" s="3" t="s">
        <v>228</v>
      </c>
      <c r="Q35" s="3" t="s">
        <v>400</v>
      </c>
      <c r="R35" s="3">
        <v>5</v>
      </c>
      <c r="S35" s="3">
        <v>18855.16</v>
      </c>
      <c r="T35" s="3">
        <v>25</v>
      </c>
      <c r="U35" s="3">
        <v>70706.850000000006</v>
      </c>
      <c r="V35" s="3">
        <v>39552.18</v>
      </c>
      <c r="W35" s="3">
        <v>31154.67</v>
      </c>
      <c r="X35" s="3">
        <v>44.06</v>
      </c>
      <c r="Y35" s="3">
        <v>149</v>
      </c>
      <c r="Z35" s="3" t="s">
        <v>15</v>
      </c>
      <c r="AA35" s="3" t="s">
        <v>100</v>
      </c>
      <c r="AB35" s="3" t="s">
        <v>101</v>
      </c>
      <c r="AC35" s="3"/>
    </row>
    <row r="36" spans="1:29" x14ac:dyDescent="0.3">
      <c r="A36" s="2" t="s">
        <v>439</v>
      </c>
      <c r="B36" s="2" t="s">
        <v>440</v>
      </c>
      <c r="C36" s="2" t="s">
        <v>240</v>
      </c>
      <c r="D36" s="2" t="s">
        <v>441</v>
      </c>
      <c r="E36" s="2" t="s">
        <v>26</v>
      </c>
      <c r="F36" s="2" t="s">
        <v>442</v>
      </c>
      <c r="G36" s="2" t="s">
        <v>281</v>
      </c>
      <c r="H36" s="2" t="s">
        <v>282</v>
      </c>
      <c r="I36" s="2">
        <v>2</v>
      </c>
      <c r="J36" s="2" t="s">
        <v>22</v>
      </c>
      <c r="K36" s="2" t="s">
        <v>443</v>
      </c>
      <c r="L36" s="2" t="s">
        <v>444</v>
      </c>
      <c r="M36" s="2" t="s">
        <v>445</v>
      </c>
      <c r="N36" s="2" t="s">
        <v>446</v>
      </c>
      <c r="O36" s="2" t="s">
        <v>19</v>
      </c>
      <c r="P36" s="2" t="s">
        <v>447</v>
      </c>
      <c r="Q36" s="2" t="s">
        <v>287</v>
      </c>
      <c r="R36" s="2">
        <v>4</v>
      </c>
      <c r="S36" s="2">
        <v>30156.77</v>
      </c>
      <c r="T36" s="2">
        <v>25</v>
      </c>
      <c r="U36" s="2">
        <v>90470.31</v>
      </c>
      <c r="V36" s="2">
        <v>44797.120000000003</v>
      </c>
      <c r="W36" s="2">
        <v>45673.19</v>
      </c>
      <c r="X36" s="2">
        <v>50.48</v>
      </c>
      <c r="Y36" s="2">
        <v>0</v>
      </c>
      <c r="Z36" s="2" t="s">
        <v>23</v>
      </c>
      <c r="AA36" s="2" t="s">
        <v>100</v>
      </c>
      <c r="AB36" s="2" t="s">
        <v>101</v>
      </c>
      <c r="AC36" s="2">
        <v>1</v>
      </c>
    </row>
    <row r="37" spans="1:29" x14ac:dyDescent="0.3">
      <c r="A37" s="3" t="s">
        <v>448</v>
      </c>
      <c r="B37" s="3" t="s">
        <v>449</v>
      </c>
      <c r="C37" s="3" t="s">
        <v>450</v>
      </c>
      <c r="D37" s="3" t="s">
        <v>451</v>
      </c>
      <c r="E37" s="3" t="s">
        <v>18</v>
      </c>
      <c r="F37" s="3" t="s">
        <v>452</v>
      </c>
      <c r="G37" s="3" t="s">
        <v>453</v>
      </c>
      <c r="H37" s="3" t="s">
        <v>454</v>
      </c>
      <c r="I37" s="3">
        <v>8</v>
      </c>
      <c r="J37" s="3" t="s">
        <v>14</v>
      </c>
      <c r="K37" s="3" t="s">
        <v>95</v>
      </c>
      <c r="L37" s="3" t="s">
        <v>95</v>
      </c>
      <c r="M37" s="3" t="s">
        <v>455</v>
      </c>
      <c r="N37" s="3" t="s">
        <v>456</v>
      </c>
      <c r="O37" s="3" t="s">
        <v>21</v>
      </c>
      <c r="P37" s="3" t="s">
        <v>206</v>
      </c>
      <c r="Q37" s="3" t="s">
        <v>246</v>
      </c>
      <c r="R37" s="3">
        <v>5</v>
      </c>
      <c r="S37" s="3">
        <v>25053.9</v>
      </c>
      <c r="T37" s="3">
        <v>15</v>
      </c>
      <c r="U37" s="3">
        <v>106479.07</v>
      </c>
      <c r="V37" s="3">
        <v>52499.91</v>
      </c>
      <c r="W37" s="3">
        <v>53979.16</v>
      </c>
      <c r="X37" s="3">
        <v>50.69</v>
      </c>
      <c r="Y37" s="3">
        <v>29</v>
      </c>
      <c r="Z37" s="3" t="s">
        <v>48</v>
      </c>
      <c r="AA37" s="3" t="s">
        <v>186</v>
      </c>
      <c r="AB37" s="3" t="s">
        <v>101</v>
      </c>
      <c r="AC37" s="3"/>
    </row>
    <row r="38" spans="1:29" x14ac:dyDescent="0.3">
      <c r="A38" s="2" t="s">
        <v>457</v>
      </c>
      <c r="B38" s="2" t="s">
        <v>458</v>
      </c>
      <c r="C38" s="2" t="s">
        <v>459</v>
      </c>
      <c r="D38" s="2" t="s">
        <v>460</v>
      </c>
      <c r="E38" s="2" t="s">
        <v>42</v>
      </c>
      <c r="F38" s="2" t="s">
        <v>461</v>
      </c>
      <c r="G38" s="2" t="s">
        <v>462</v>
      </c>
      <c r="H38" s="2" t="s">
        <v>463</v>
      </c>
      <c r="I38" s="2">
        <v>5</v>
      </c>
      <c r="J38" s="2" t="s">
        <v>39</v>
      </c>
      <c r="K38" s="2" t="s">
        <v>109</v>
      </c>
      <c r="L38" s="2" t="s">
        <v>134</v>
      </c>
      <c r="M38" s="2" t="s">
        <v>464</v>
      </c>
      <c r="N38" s="2" t="s">
        <v>465</v>
      </c>
      <c r="O38" s="2" t="s">
        <v>19</v>
      </c>
      <c r="P38" s="2" t="s">
        <v>447</v>
      </c>
      <c r="Q38" s="2" t="s">
        <v>466</v>
      </c>
      <c r="R38" s="2">
        <v>3</v>
      </c>
      <c r="S38" s="2">
        <v>38711.629999999997</v>
      </c>
      <c r="T38" s="2">
        <v>0</v>
      </c>
      <c r="U38" s="2">
        <v>116134.89</v>
      </c>
      <c r="V38" s="2">
        <v>79344.42</v>
      </c>
      <c r="W38" s="2">
        <v>36790.47</v>
      </c>
      <c r="X38" s="2">
        <v>31.68</v>
      </c>
      <c r="Y38" s="2">
        <v>0</v>
      </c>
      <c r="Z38" s="2" t="s">
        <v>48</v>
      </c>
      <c r="AA38" s="2" t="s">
        <v>275</v>
      </c>
      <c r="AB38" s="2" t="s">
        <v>101</v>
      </c>
      <c r="AC38" s="2"/>
    </row>
    <row r="39" spans="1:29" x14ac:dyDescent="0.3">
      <c r="A39" s="3" t="s">
        <v>467</v>
      </c>
      <c r="B39" s="3" t="s">
        <v>468</v>
      </c>
      <c r="C39" s="3" t="s">
        <v>469</v>
      </c>
      <c r="D39" s="3" t="s">
        <v>470</v>
      </c>
      <c r="E39" s="3" t="s">
        <v>26</v>
      </c>
      <c r="F39" s="3" t="s">
        <v>471</v>
      </c>
      <c r="G39" s="3" t="s">
        <v>472</v>
      </c>
      <c r="H39" s="3" t="s">
        <v>473</v>
      </c>
      <c r="I39" s="3">
        <v>8</v>
      </c>
      <c r="J39" s="3" t="s">
        <v>14</v>
      </c>
      <c r="K39" s="3" t="s">
        <v>183</v>
      </c>
      <c r="L39" s="3" t="s">
        <v>183</v>
      </c>
      <c r="M39" s="3" t="s">
        <v>474</v>
      </c>
      <c r="N39" s="3" t="s">
        <v>475</v>
      </c>
      <c r="O39" s="3" t="s">
        <v>13</v>
      </c>
      <c r="P39" s="3" t="s">
        <v>228</v>
      </c>
      <c r="Q39" s="3" t="s">
        <v>287</v>
      </c>
      <c r="R39" s="3">
        <v>3</v>
      </c>
      <c r="S39" s="3">
        <v>48428.86</v>
      </c>
      <c r="T39" s="3">
        <v>25</v>
      </c>
      <c r="U39" s="3">
        <v>108964.94</v>
      </c>
      <c r="V39" s="3">
        <v>67002.490000000005</v>
      </c>
      <c r="W39" s="3">
        <v>41962.45</v>
      </c>
      <c r="X39" s="3">
        <v>38.51</v>
      </c>
      <c r="Y39" s="3">
        <v>199</v>
      </c>
      <c r="Z39" s="3" t="s">
        <v>43</v>
      </c>
      <c r="AA39" s="3" t="s">
        <v>100</v>
      </c>
      <c r="AB39" s="3" t="s">
        <v>101</v>
      </c>
      <c r="AC39" s="3"/>
    </row>
    <row r="40" spans="1:29" x14ac:dyDescent="0.3">
      <c r="A40" s="2" t="s">
        <v>476</v>
      </c>
      <c r="B40" s="2" t="s">
        <v>477</v>
      </c>
      <c r="C40" s="2" t="s">
        <v>478</v>
      </c>
      <c r="D40" s="2" t="s">
        <v>479</v>
      </c>
      <c r="E40" s="2" t="s">
        <v>42</v>
      </c>
      <c r="F40" s="2" t="s">
        <v>480</v>
      </c>
      <c r="G40" s="2" t="s">
        <v>481</v>
      </c>
      <c r="H40" s="2" t="s">
        <v>482</v>
      </c>
      <c r="I40" s="2">
        <v>3</v>
      </c>
      <c r="J40" s="2" t="s">
        <v>39</v>
      </c>
      <c r="K40" s="2" t="s">
        <v>193</v>
      </c>
      <c r="L40" s="2" t="s">
        <v>193</v>
      </c>
      <c r="M40" s="2" t="s">
        <v>483</v>
      </c>
      <c r="N40" s="2" t="s">
        <v>484</v>
      </c>
      <c r="O40" s="2" t="s">
        <v>13</v>
      </c>
      <c r="P40" s="2" t="s">
        <v>98</v>
      </c>
      <c r="Q40" s="2" t="s">
        <v>152</v>
      </c>
      <c r="R40" s="2">
        <v>4</v>
      </c>
      <c r="S40" s="2">
        <v>6795.1</v>
      </c>
      <c r="T40" s="2">
        <v>20</v>
      </c>
      <c r="U40" s="2">
        <v>21744.32</v>
      </c>
      <c r="V40" s="2">
        <v>10814.27</v>
      </c>
      <c r="W40" s="2">
        <v>10930.05</v>
      </c>
      <c r="X40" s="2">
        <v>50.27</v>
      </c>
      <c r="Y40" s="2">
        <v>149</v>
      </c>
      <c r="Z40" s="2" t="s">
        <v>43</v>
      </c>
      <c r="AA40" s="2" t="s">
        <v>100</v>
      </c>
      <c r="AB40" s="2" t="s">
        <v>101</v>
      </c>
      <c r="AC40" s="2">
        <v>1</v>
      </c>
    </row>
    <row r="41" spans="1:29" x14ac:dyDescent="0.3">
      <c r="A41" s="3" t="s">
        <v>485</v>
      </c>
      <c r="B41" s="3" t="s">
        <v>486</v>
      </c>
      <c r="C41" s="3" t="s">
        <v>487</v>
      </c>
      <c r="D41" s="3" t="s">
        <v>488</v>
      </c>
      <c r="E41" s="3" t="s">
        <v>42</v>
      </c>
      <c r="F41" s="3" t="s">
        <v>489</v>
      </c>
      <c r="G41" s="3" t="s">
        <v>490</v>
      </c>
      <c r="H41" s="3" t="s">
        <v>491</v>
      </c>
      <c r="I41" s="3">
        <v>3</v>
      </c>
      <c r="J41" s="3" t="s">
        <v>39</v>
      </c>
      <c r="K41" s="3" t="s">
        <v>225</v>
      </c>
      <c r="L41" s="3" t="s">
        <v>225</v>
      </c>
      <c r="M41" s="3" t="s">
        <v>492</v>
      </c>
      <c r="N41" s="3" t="s">
        <v>418</v>
      </c>
      <c r="O41" s="3" t="s">
        <v>13</v>
      </c>
      <c r="P41" s="3" t="s">
        <v>419</v>
      </c>
      <c r="Q41" s="3" t="s">
        <v>127</v>
      </c>
      <c r="R41" s="3">
        <v>3</v>
      </c>
      <c r="S41" s="3">
        <v>219.93</v>
      </c>
      <c r="T41" s="3">
        <v>5</v>
      </c>
      <c r="U41" s="3">
        <v>626.79999999999995</v>
      </c>
      <c r="V41" s="3">
        <v>350.28</v>
      </c>
      <c r="W41" s="3">
        <v>276.52</v>
      </c>
      <c r="X41" s="3">
        <v>44.12</v>
      </c>
      <c r="Y41" s="3">
        <v>0</v>
      </c>
      <c r="Z41" s="3" t="s">
        <v>23</v>
      </c>
      <c r="AA41" s="3" t="s">
        <v>100</v>
      </c>
      <c r="AB41" s="3" t="s">
        <v>101</v>
      </c>
      <c r="AC41" s="3"/>
    </row>
    <row r="42" spans="1:29" x14ac:dyDescent="0.3">
      <c r="A42" s="2" t="s">
        <v>493</v>
      </c>
      <c r="B42" s="2" t="s">
        <v>494</v>
      </c>
      <c r="C42" s="2" t="s">
        <v>495</v>
      </c>
      <c r="D42" s="2" t="s">
        <v>496</v>
      </c>
      <c r="E42" s="2" t="s">
        <v>18</v>
      </c>
      <c r="F42" s="2" t="s">
        <v>159</v>
      </c>
      <c r="G42" s="2" t="s">
        <v>406</v>
      </c>
      <c r="H42" s="2" t="s">
        <v>497</v>
      </c>
      <c r="I42" s="2">
        <v>4</v>
      </c>
      <c r="J42" s="2" t="s">
        <v>22</v>
      </c>
      <c r="K42" s="2" t="s">
        <v>443</v>
      </c>
      <c r="L42" s="2" t="s">
        <v>498</v>
      </c>
      <c r="M42" s="2" t="s">
        <v>499</v>
      </c>
      <c r="N42" s="2" t="s">
        <v>438</v>
      </c>
      <c r="O42" s="2" t="s">
        <v>13</v>
      </c>
      <c r="P42" s="2" t="s">
        <v>228</v>
      </c>
      <c r="Q42" s="2" t="s">
        <v>197</v>
      </c>
      <c r="R42" s="2">
        <v>1</v>
      </c>
      <c r="S42" s="2">
        <v>42131.17</v>
      </c>
      <c r="T42" s="2">
        <v>20</v>
      </c>
      <c r="U42" s="2">
        <v>33704.94</v>
      </c>
      <c r="V42" s="2">
        <v>20787.63</v>
      </c>
      <c r="W42" s="2">
        <v>12917.31</v>
      </c>
      <c r="X42" s="2">
        <v>38.32</v>
      </c>
      <c r="Y42" s="2">
        <v>49</v>
      </c>
      <c r="Z42" s="2" t="s">
        <v>30</v>
      </c>
      <c r="AA42" s="2" t="s">
        <v>186</v>
      </c>
      <c r="AB42" s="2" t="s">
        <v>101</v>
      </c>
      <c r="AC42" s="2"/>
    </row>
    <row r="43" spans="1:29" x14ac:dyDescent="0.3">
      <c r="A43" s="3" t="s">
        <v>500</v>
      </c>
      <c r="B43" s="3" t="s">
        <v>501</v>
      </c>
      <c r="C43" s="3" t="s">
        <v>502</v>
      </c>
      <c r="D43" s="3" t="s">
        <v>503</v>
      </c>
      <c r="E43" s="3" t="s">
        <v>26</v>
      </c>
      <c r="F43" s="3" t="s">
        <v>504</v>
      </c>
      <c r="G43" s="3" t="s">
        <v>505</v>
      </c>
      <c r="H43" s="3" t="s">
        <v>506</v>
      </c>
      <c r="I43" s="3">
        <v>6</v>
      </c>
      <c r="J43" s="3" t="s">
        <v>29</v>
      </c>
      <c r="K43" s="3" t="s">
        <v>334</v>
      </c>
      <c r="L43" s="3" t="s">
        <v>335</v>
      </c>
      <c r="M43" s="3" t="s">
        <v>507</v>
      </c>
      <c r="N43" s="3" t="s">
        <v>508</v>
      </c>
      <c r="O43" s="3" t="s">
        <v>19</v>
      </c>
      <c r="P43" s="3" t="s">
        <v>365</v>
      </c>
      <c r="Q43" s="3" t="s">
        <v>509</v>
      </c>
      <c r="R43" s="3">
        <v>4</v>
      </c>
      <c r="S43" s="3">
        <v>9447.9599999999991</v>
      </c>
      <c r="T43" s="3">
        <v>10</v>
      </c>
      <c r="U43" s="3">
        <v>34012.660000000003</v>
      </c>
      <c r="V43" s="3">
        <v>15583.06</v>
      </c>
      <c r="W43" s="3">
        <v>18429.599999999999</v>
      </c>
      <c r="X43" s="3">
        <v>54.18</v>
      </c>
      <c r="Y43" s="3">
        <v>199</v>
      </c>
      <c r="Z43" s="3" t="s">
        <v>23</v>
      </c>
      <c r="AA43" s="3" t="s">
        <v>100</v>
      </c>
      <c r="AB43" s="3" t="s">
        <v>101</v>
      </c>
      <c r="AC43" s="3">
        <v>1</v>
      </c>
    </row>
    <row r="44" spans="1:29" x14ac:dyDescent="0.3">
      <c r="A44" s="2" t="s">
        <v>510</v>
      </c>
      <c r="B44" s="2" t="s">
        <v>511</v>
      </c>
      <c r="C44" s="2" t="s">
        <v>512</v>
      </c>
      <c r="D44" s="2" t="s">
        <v>513</v>
      </c>
      <c r="E44" s="2" t="s">
        <v>42</v>
      </c>
      <c r="F44" s="2" t="s">
        <v>514</v>
      </c>
      <c r="G44" s="2" t="s">
        <v>515</v>
      </c>
      <c r="H44" s="2" t="s">
        <v>516</v>
      </c>
      <c r="I44" s="2">
        <v>8</v>
      </c>
      <c r="J44" s="2" t="s">
        <v>29</v>
      </c>
      <c r="K44" s="2" t="s">
        <v>427</v>
      </c>
      <c r="L44" s="2" t="s">
        <v>428</v>
      </c>
      <c r="M44" s="2" t="s">
        <v>517</v>
      </c>
      <c r="N44" s="2" t="s">
        <v>518</v>
      </c>
      <c r="O44" s="2" t="s">
        <v>19</v>
      </c>
      <c r="P44" s="2" t="s">
        <v>365</v>
      </c>
      <c r="Q44" s="2" t="s">
        <v>218</v>
      </c>
      <c r="R44" s="2">
        <v>4</v>
      </c>
      <c r="S44" s="2">
        <v>21976.36</v>
      </c>
      <c r="T44" s="2">
        <v>15</v>
      </c>
      <c r="U44" s="2">
        <v>74719.62</v>
      </c>
      <c r="V44" s="2">
        <v>50101.16</v>
      </c>
      <c r="W44" s="2">
        <v>24618.46</v>
      </c>
      <c r="X44" s="2">
        <v>32.950000000000003</v>
      </c>
      <c r="Y44" s="2">
        <v>49</v>
      </c>
      <c r="Z44" s="2" t="s">
        <v>30</v>
      </c>
      <c r="AA44" s="2" t="s">
        <v>100</v>
      </c>
      <c r="AB44" s="2" t="s">
        <v>101</v>
      </c>
      <c r="AC44" s="2">
        <v>4</v>
      </c>
    </row>
    <row r="45" spans="1:29" x14ac:dyDescent="0.3">
      <c r="A45" s="3" t="s">
        <v>519</v>
      </c>
      <c r="B45" s="3" t="s">
        <v>520</v>
      </c>
      <c r="C45" s="3" t="s">
        <v>521</v>
      </c>
      <c r="D45" s="3" t="s">
        <v>522</v>
      </c>
      <c r="E45" s="3" t="s">
        <v>33</v>
      </c>
      <c r="F45" s="3" t="s">
        <v>523</v>
      </c>
      <c r="G45" s="3" t="s">
        <v>524</v>
      </c>
      <c r="H45" s="3" t="s">
        <v>525</v>
      </c>
      <c r="I45" s="3">
        <v>8</v>
      </c>
      <c r="J45" s="3" t="s">
        <v>29</v>
      </c>
      <c r="K45" s="3" t="s">
        <v>148</v>
      </c>
      <c r="L45" s="3" t="s">
        <v>148</v>
      </c>
      <c r="M45" s="3" t="s">
        <v>526</v>
      </c>
      <c r="N45" s="3" t="s">
        <v>484</v>
      </c>
      <c r="O45" s="3" t="s">
        <v>13</v>
      </c>
      <c r="P45" s="3" t="s">
        <v>98</v>
      </c>
      <c r="Q45" s="3" t="s">
        <v>138</v>
      </c>
      <c r="R45" s="3">
        <v>1</v>
      </c>
      <c r="S45" s="3">
        <v>10102.629999999999</v>
      </c>
      <c r="T45" s="3">
        <v>15</v>
      </c>
      <c r="U45" s="3">
        <v>8587.24</v>
      </c>
      <c r="V45" s="3">
        <v>4608.3</v>
      </c>
      <c r="W45" s="3">
        <v>3978.94</v>
      </c>
      <c r="X45" s="3">
        <v>46.34</v>
      </c>
      <c r="Y45" s="3">
        <v>99</v>
      </c>
      <c r="Z45" s="3" t="s">
        <v>47</v>
      </c>
      <c r="AA45" s="3" t="s">
        <v>275</v>
      </c>
      <c r="AB45" s="3" t="s">
        <v>101</v>
      </c>
      <c r="AC45" s="3"/>
    </row>
    <row r="46" spans="1:29" x14ac:dyDescent="0.3">
      <c r="A46" s="2" t="s">
        <v>527</v>
      </c>
      <c r="B46" s="2" t="s">
        <v>528</v>
      </c>
      <c r="C46" s="2" t="s">
        <v>377</v>
      </c>
      <c r="D46" s="2" t="s">
        <v>529</v>
      </c>
      <c r="E46" s="2" t="s">
        <v>26</v>
      </c>
      <c r="F46" s="2" t="s">
        <v>106</v>
      </c>
      <c r="G46" s="2" t="s">
        <v>530</v>
      </c>
      <c r="H46" s="2" t="s">
        <v>531</v>
      </c>
      <c r="I46" s="2">
        <v>5</v>
      </c>
      <c r="J46" s="2" t="s">
        <v>39</v>
      </c>
      <c r="K46" s="2" t="s">
        <v>314</v>
      </c>
      <c r="L46" s="2" t="s">
        <v>314</v>
      </c>
      <c r="M46" s="2" t="s">
        <v>532</v>
      </c>
      <c r="N46" s="2" t="s">
        <v>533</v>
      </c>
      <c r="O46" s="2" t="s">
        <v>19</v>
      </c>
      <c r="P46" s="2" t="s">
        <v>297</v>
      </c>
      <c r="Q46" s="2" t="s">
        <v>466</v>
      </c>
      <c r="R46" s="2">
        <v>4</v>
      </c>
      <c r="S46" s="2">
        <v>6215.95</v>
      </c>
      <c r="T46" s="2">
        <v>25</v>
      </c>
      <c r="U46" s="2">
        <v>18647.849999999999</v>
      </c>
      <c r="V46" s="2">
        <v>11707.31</v>
      </c>
      <c r="W46" s="2">
        <v>6940.54</v>
      </c>
      <c r="X46" s="2">
        <v>37.22</v>
      </c>
      <c r="Y46" s="2">
        <v>29</v>
      </c>
      <c r="Z46" s="2" t="s">
        <v>48</v>
      </c>
      <c r="AA46" s="2" t="s">
        <v>100</v>
      </c>
      <c r="AB46" s="2" t="s">
        <v>101</v>
      </c>
      <c r="AC46" s="2">
        <v>1</v>
      </c>
    </row>
    <row r="47" spans="1:29" x14ac:dyDescent="0.3">
      <c r="A47" s="3" t="s">
        <v>534</v>
      </c>
      <c r="B47" s="3" t="s">
        <v>535</v>
      </c>
      <c r="C47" s="3" t="s">
        <v>536</v>
      </c>
      <c r="D47" s="3" t="s">
        <v>537</v>
      </c>
      <c r="E47" s="3" t="s">
        <v>33</v>
      </c>
      <c r="F47" s="3" t="s">
        <v>538</v>
      </c>
      <c r="G47" s="3" t="s">
        <v>539</v>
      </c>
      <c r="H47" s="3" t="s">
        <v>540</v>
      </c>
      <c r="I47" s="3">
        <v>2</v>
      </c>
      <c r="J47" s="3" t="s">
        <v>14</v>
      </c>
      <c r="K47" s="3" t="s">
        <v>171</v>
      </c>
      <c r="L47" s="3" t="s">
        <v>541</v>
      </c>
      <c r="M47" s="3" t="s">
        <v>542</v>
      </c>
      <c r="N47" s="3" t="s">
        <v>456</v>
      </c>
      <c r="O47" s="3" t="s">
        <v>21</v>
      </c>
      <c r="P47" s="3" t="s">
        <v>206</v>
      </c>
      <c r="Q47" s="3" t="s">
        <v>246</v>
      </c>
      <c r="R47" s="3">
        <v>3</v>
      </c>
      <c r="S47" s="3">
        <v>27050.52</v>
      </c>
      <c r="T47" s="3">
        <v>0</v>
      </c>
      <c r="U47" s="3">
        <v>81151.56</v>
      </c>
      <c r="V47" s="3">
        <v>39713.94</v>
      </c>
      <c r="W47" s="3">
        <v>41437.620000000003</v>
      </c>
      <c r="X47" s="3">
        <v>51.06</v>
      </c>
      <c r="Y47" s="3">
        <v>99</v>
      </c>
      <c r="Z47" s="3" t="s">
        <v>23</v>
      </c>
      <c r="AA47" s="3" t="s">
        <v>275</v>
      </c>
      <c r="AB47" s="3" t="s">
        <v>101</v>
      </c>
      <c r="AC47" s="3"/>
    </row>
    <row r="48" spans="1:29" x14ac:dyDescent="0.3">
      <c r="A48" s="2" t="s">
        <v>543</v>
      </c>
      <c r="B48" s="2" t="s">
        <v>544</v>
      </c>
      <c r="C48" s="2" t="s">
        <v>545</v>
      </c>
      <c r="D48" s="2" t="s">
        <v>546</v>
      </c>
      <c r="E48" s="2" t="s">
        <v>42</v>
      </c>
      <c r="F48" s="2" t="s">
        <v>547</v>
      </c>
      <c r="G48" s="2" t="s">
        <v>548</v>
      </c>
      <c r="H48" s="2" t="s">
        <v>549</v>
      </c>
      <c r="I48" s="2">
        <v>8</v>
      </c>
      <c r="J48" s="2" t="s">
        <v>22</v>
      </c>
      <c r="K48" s="2" t="s">
        <v>283</v>
      </c>
      <c r="L48" s="2" t="s">
        <v>284</v>
      </c>
      <c r="M48" s="2" t="s">
        <v>550</v>
      </c>
      <c r="N48" s="2" t="s">
        <v>551</v>
      </c>
      <c r="O48" s="2" t="s">
        <v>13</v>
      </c>
      <c r="P48" s="2" t="s">
        <v>98</v>
      </c>
      <c r="Q48" s="2" t="s">
        <v>114</v>
      </c>
      <c r="R48" s="2">
        <v>4</v>
      </c>
      <c r="S48" s="2">
        <v>27231.66</v>
      </c>
      <c r="T48" s="2">
        <v>0</v>
      </c>
      <c r="U48" s="2">
        <v>108926.64</v>
      </c>
      <c r="V48" s="2">
        <v>58806.21</v>
      </c>
      <c r="W48" s="2">
        <v>50120.43</v>
      </c>
      <c r="X48" s="2">
        <v>46.01</v>
      </c>
      <c r="Y48" s="2">
        <v>29</v>
      </c>
      <c r="Z48" s="2" t="s">
        <v>23</v>
      </c>
      <c r="AA48" s="2" t="s">
        <v>100</v>
      </c>
      <c r="AB48" s="2" t="s">
        <v>101</v>
      </c>
      <c r="AC48" s="2">
        <v>3</v>
      </c>
    </row>
    <row r="49" spans="1:29" x14ac:dyDescent="0.3">
      <c r="A49" s="3" t="s">
        <v>552</v>
      </c>
      <c r="B49" s="3" t="s">
        <v>553</v>
      </c>
      <c r="C49" s="3" t="s">
        <v>554</v>
      </c>
      <c r="D49" s="3" t="s">
        <v>555</v>
      </c>
      <c r="E49" s="3" t="s">
        <v>42</v>
      </c>
      <c r="F49" s="3" t="s">
        <v>556</v>
      </c>
      <c r="G49" s="3" t="s">
        <v>557</v>
      </c>
      <c r="H49" s="3" t="s">
        <v>558</v>
      </c>
      <c r="I49" s="3">
        <v>6</v>
      </c>
      <c r="J49" s="3" t="s">
        <v>29</v>
      </c>
      <c r="K49" s="3" t="s">
        <v>160</v>
      </c>
      <c r="L49" s="3" t="s">
        <v>559</v>
      </c>
      <c r="M49" s="3" t="s">
        <v>560</v>
      </c>
      <c r="N49" s="3" t="s">
        <v>399</v>
      </c>
      <c r="O49" s="3" t="s">
        <v>21</v>
      </c>
      <c r="P49" s="3" t="s">
        <v>196</v>
      </c>
      <c r="Q49" s="3" t="s">
        <v>400</v>
      </c>
      <c r="R49" s="3">
        <v>2</v>
      </c>
      <c r="S49" s="3">
        <v>20549.38</v>
      </c>
      <c r="T49" s="3">
        <v>25</v>
      </c>
      <c r="U49" s="3">
        <v>30824.07</v>
      </c>
      <c r="V49" s="3">
        <v>15216.22</v>
      </c>
      <c r="W49" s="3">
        <v>15607.85</v>
      </c>
      <c r="X49" s="3">
        <v>50.64</v>
      </c>
      <c r="Y49" s="3">
        <v>29</v>
      </c>
      <c r="Z49" s="3" t="s">
        <v>43</v>
      </c>
      <c r="AA49" s="3" t="s">
        <v>100</v>
      </c>
      <c r="AB49" s="3" t="s">
        <v>101</v>
      </c>
      <c r="AC49" s="3">
        <v>5</v>
      </c>
    </row>
    <row r="50" spans="1:29" x14ac:dyDescent="0.3">
      <c r="A50" s="2" t="s">
        <v>561</v>
      </c>
      <c r="B50" s="2" t="s">
        <v>562</v>
      </c>
      <c r="C50" s="2" t="s">
        <v>563</v>
      </c>
      <c r="D50" s="2" t="s">
        <v>564</v>
      </c>
      <c r="E50" s="2" t="s">
        <v>33</v>
      </c>
      <c r="F50" s="2" t="s">
        <v>565</v>
      </c>
      <c r="G50" s="2" t="s">
        <v>566</v>
      </c>
      <c r="H50" s="2" t="s">
        <v>311</v>
      </c>
      <c r="I50" s="2">
        <v>2</v>
      </c>
      <c r="J50" s="2" t="s">
        <v>22</v>
      </c>
      <c r="K50" s="2" t="s">
        <v>443</v>
      </c>
      <c r="L50" s="2" t="s">
        <v>567</v>
      </c>
      <c r="M50" s="2" t="s">
        <v>568</v>
      </c>
      <c r="N50" s="2" t="s">
        <v>195</v>
      </c>
      <c r="O50" s="2" t="s">
        <v>21</v>
      </c>
      <c r="P50" s="2" t="s">
        <v>196</v>
      </c>
      <c r="Q50" s="2" t="s">
        <v>466</v>
      </c>
      <c r="R50" s="2">
        <v>1</v>
      </c>
      <c r="S50" s="2">
        <v>26491.84</v>
      </c>
      <c r="T50" s="2">
        <v>0</v>
      </c>
      <c r="U50" s="2">
        <v>26491.84</v>
      </c>
      <c r="V50" s="2">
        <v>12433.86</v>
      </c>
      <c r="W50" s="2">
        <v>14057.98</v>
      </c>
      <c r="X50" s="2">
        <v>53.07</v>
      </c>
      <c r="Y50" s="2">
        <v>99</v>
      </c>
      <c r="Z50" s="2" t="s">
        <v>40</v>
      </c>
      <c r="AA50" s="2" t="s">
        <v>100</v>
      </c>
      <c r="AB50" s="2" t="s">
        <v>101</v>
      </c>
      <c r="AC50" s="2"/>
    </row>
    <row r="51" spans="1:29" x14ac:dyDescent="0.3">
      <c r="A51" s="3" t="s">
        <v>569</v>
      </c>
      <c r="B51" s="3" t="s">
        <v>570</v>
      </c>
      <c r="C51" s="3" t="s">
        <v>571</v>
      </c>
      <c r="D51" s="3" t="s">
        <v>572</v>
      </c>
      <c r="E51" s="3" t="s">
        <v>42</v>
      </c>
      <c r="F51" s="3" t="s">
        <v>573</v>
      </c>
      <c r="G51" s="3" t="s">
        <v>574</v>
      </c>
      <c r="H51" s="3" t="s">
        <v>575</v>
      </c>
      <c r="I51" s="3">
        <v>4</v>
      </c>
      <c r="J51" s="3" t="s">
        <v>39</v>
      </c>
      <c r="K51" s="3" t="s">
        <v>193</v>
      </c>
      <c r="L51" s="3" t="s">
        <v>193</v>
      </c>
      <c r="M51" s="3" t="s">
        <v>576</v>
      </c>
      <c r="N51" s="3" t="s">
        <v>174</v>
      </c>
      <c r="O51" s="3" t="s">
        <v>27</v>
      </c>
      <c r="P51" s="3" t="s">
        <v>175</v>
      </c>
      <c r="Q51" s="3" t="s">
        <v>207</v>
      </c>
      <c r="R51" s="3">
        <v>2</v>
      </c>
      <c r="S51" s="3">
        <v>20966.45</v>
      </c>
      <c r="T51" s="3">
        <v>0</v>
      </c>
      <c r="U51" s="3">
        <v>41932.9</v>
      </c>
      <c r="V51" s="3">
        <v>26866.41</v>
      </c>
      <c r="W51" s="3">
        <v>15066.49</v>
      </c>
      <c r="X51" s="3">
        <v>35.93</v>
      </c>
      <c r="Y51" s="3">
        <v>149</v>
      </c>
      <c r="Z51" s="3" t="s">
        <v>30</v>
      </c>
      <c r="AA51" s="3" t="s">
        <v>100</v>
      </c>
      <c r="AB51" s="3" t="s">
        <v>101</v>
      </c>
      <c r="AC51" s="3"/>
    </row>
    <row r="52" spans="1:29" x14ac:dyDescent="0.3">
      <c r="A52" s="2" t="s">
        <v>577</v>
      </c>
      <c r="B52" s="2" t="s">
        <v>578</v>
      </c>
      <c r="C52" s="2" t="s">
        <v>478</v>
      </c>
      <c r="D52" s="2" t="s">
        <v>579</v>
      </c>
      <c r="E52" s="2" t="s">
        <v>33</v>
      </c>
      <c r="F52" s="2" t="s">
        <v>580</v>
      </c>
      <c r="G52" s="2" t="s">
        <v>581</v>
      </c>
      <c r="H52" s="2" t="s">
        <v>415</v>
      </c>
      <c r="I52" s="2">
        <v>5</v>
      </c>
      <c r="J52" s="2" t="s">
        <v>29</v>
      </c>
      <c r="K52" s="2" t="s">
        <v>148</v>
      </c>
      <c r="L52" s="2" t="s">
        <v>148</v>
      </c>
      <c r="M52" s="2" t="s">
        <v>582</v>
      </c>
      <c r="N52" s="2" t="s">
        <v>583</v>
      </c>
      <c r="O52" s="2" t="s">
        <v>19</v>
      </c>
      <c r="P52" s="2" t="s">
        <v>447</v>
      </c>
      <c r="Q52" s="2" t="s">
        <v>114</v>
      </c>
      <c r="R52" s="2">
        <v>2</v>
      </c>
      <c r="S52" s="2">
        <v>1357</v>
      </c>
      <c r="T52" s="2">
        <v>0</v>
      </c>
      <c r="U52" s="2">
        <v>2714</v>
      </c>
      <c r="V52" s="2">
        <v>1452.86</v>
      </c>
      <c r="W52" s="2">
        <v>1261.1400000000001</v>
      </c>
      <c r="X52" s="2">
        <v>46.47</v>
      </c>
      <c r="Y52" s="2">
        <v>199</v>
      </c>
      <c r="Z52" s="2" t="s">
        <v>43</v>
      </c>
      <c r="AA52" s="2" t="s">
        <v>186</v>
      </c>
      <c r="AB52" s="2" t="s">
        <v>101</v>
      </c>
      <c r="AC52" s="2"/>
    </row>
    <row r="53" spans="1:29" x14ac:dyDescent="0.3">
      <c r="A53" s="3" t="s">
        <v>584</v>
      </c>
      <c r="B53" s="3" t="s">
        <v>585</v>
      </c>
      <c r="C53" s="3" t="s">
        <v>586</v>
      </c>
      <c r="D53" s="3" t="s">
        <v>587</v>
      </c>
      <c r="E53" s="3" t="s">
        <v>33</v>
      </c>
      <c r="F53" s="3" t="s">
        <v>588</v>
      </c>
      <c r="G53" s="3" t="s">
        <v>589</v>
      </c>
      <c r="H53" s="3" t="s">
        <v>590</v>
      </c>
      <c r="I53" s="3">
        <v>3</v>
      </c>
      <c r="J53" s="3" t="s">
        <v>39</v>
      </c>
      <c r="K53" s="3" t="s">
        <v>193</v>
      </c>
      <c r="L53" s="3" t="s">
        <v>193</v>
      </c>
      <c r="M53" s="3" t="s">
        <v>591</v>
      </c>
      <c r="N53" s="3" t="s">
        <v>592</v>
      </c>
      <c r="O53" s="3" t="s">
        <v>21</v>
      </c>
      <c r="P53" s="3" t="s">
        <v>206</v>
      </c>
      <c r="Q53" s="3" t="s">
        <v>152</v>
      </c>
      <c r="R53" s="3">
        <v>2</v>
      </c>
      <c r="S53" s="3">
        <v>26670.82</v>
      </c>
      <c r="T53" s="3">
        <v>10</v>
      </c>
      <c r="U53" s="3">
        <v>48007.48</v>
      </c>
      <c r="V53" s="3">
        <v>32876.54</v>
      </c>
      <c r="W53" s="3">
        <v>15130.94</v>
      </c>
      <c r="X53" s="3">
        <v>31.52</v>
      </c>
      <c r="Y53" s="3">
        <v>29</v>
      </c>
      <c r="Z53" s="3" t="s">
        <v>43</v>
      </c>
      <c r="AA53" s="3" t="s">
        <v>100</v>
      </c>
      <c r="AB53" s="3" t="s">
        <v>101</v>
      </c>
      <c r="AC53" s="3">
        <v>2</v>
      </c>
    </row>
    <row r="54" spans="1:29" x14ac:dyDescent="0.3">
      <c r="A54" s="2" t="s">
        <v>593</v>
      </c>
      <c r="B54" s="2" t="s">
        <v>594</v>
      </c>
      <c r="C54" s="2" t="s">
        <v>221</v>
      </c>
      <c r="D54" s="2" t="s">
        <v>595</v>
      </c>
      <c r="E54" s="2" t="s">
        <v>42</v>
      </c>
      <c r="F54" s="2" t="s">
        <v>596</v>
      </c>
      <c r="G54" s="2" t="s">
        <v>597</v>
      </c>
      <c r="H54" s="2" t="s">
        <v>598</v>
      </c>
      <c r="I54" s="2">
        <v>6</v>
      </c>
      <c r="J54" s="2" t="s">
        <v>29</v>
      </c>
      <c r="K54" s="2" t="s">
        <v>148</v>
      </c>
      <c r="L54" s="2" t="s">
        <v>148</v>
      </c>
      <c r="M54" s="2" t="s">
        <v>599</v>
      </c>
      <c r="N54" s="2" t="s">
        <v>600</v>
      </c>
      <c r="O54" s="2" t="s">
        <v>27</v>
      </c>
      <c r="P54" s="2" t="s">
        <v>175</v>
      </c>
      <c r="Q54" s="2" t="s">
        <v>138</v>
      </c>
      <c r="R54" s="2">
        <v>1</v>
      </c>
      <c r="S54" s="2">
        <v>25317.7</v>
      </c>
      <c r="T54" s="2">
        <v>15</v>
      </c>
      <c r="U54" s="2">
        <v>21520.04</v>
      </c>
      <c r="V54" s="2">
        <v>13920.3</v>
      </c>
      <c r="W54" s="2">
        <v>7599.74</v>
      </c>
      <c r="X54" s="2">
        <v>35.31</v>
      </c>
      <c r="Y54" s="2">
        <v>49</v>
      </c>
      <c r="Z54" s="2" t="s">
        <v>47</v>
      </c>
      <c r="AA54" s="2" t="s">
        <v>100</v>
      </c>
      <c r="AB54" s="2" t="s">
        <v>101</v>
      </c>
      <c r="AC54" s="2">
        <v>5</v>
      </c>
    </row>
    <row r="55" spans="1:29" x14ac:dyDescent="0.3">
      <c r="A55" s="3" t="s">
        <v>601</v>
      </c>
      <c r="B55" s="3" t="s">
        <v>602</v>
      </c>
      <c r="C55" s="3" t="s">
        <v>603</v>
      </c>
      <c r="D55" s="3" t="s">
        <v>604</v>
      </c>
      <c r="E55" s="3" t="s">
        <v>26</v>
      </c>
      <c r="F55" s="3" t="s">
        <v>605</v>
      </c>
      <c r="G55" s="3" t="s">
        <v>606</v>
      </c>
      <c r="H55" s="3" t="s">
        <v>235</v>
      </c>
      <c r="I55" s="3">
        <v>5</v>
      </c>
      <c r="J55" s="3" t="s">
        <v>39</v>
      </c>
      <c r="K55" s="3" t="s">
        <v>193</v>
      </c>
      <c r="L55" s="3" t="s">
        <v>193</v>
      </c>
      <c r="M55" s="3" t="s">
        <v>607</v>
      </c>
      <c r="N55" s="3" t="s">
        <v>600</v>
      </c>
      <c r="O55" s="3" t="s">
        <v>27</v>
      </c>
      <c r="P55" s="3" t="s">
        <v>175</v>
      </c>
      <c r="Q55" s="3" t="s">
        <v>608</v>
      </c>
      <c r="R55" s="3">
        <v>3</v>
      </c>
      <c r="S55" s="3">
        <v>32433.78</v>
      </c>
      <c r="T55" s="3">
        <v>10</v>
      </c>
      <c r="U55" s="3">
        <v>87571.21</v>
      </c>
      <c r="V55" s="3">
        <v>57612.639999999999</v>
      </c>
      <c r="W55" s="3">
        <v>29958.57</v>
      </c>
      <c r="X55" s="3">
        <v>34.21</v>
      </c>
      <c r="Y55" s="3">
        <v>49</v>
      </c>
      <c r="Z55" s="3" t="s">
        <v>47</v>
      </c>
      <c r="AA55" s="3" t="s">
        <v>100</v>
      </c>
      <c r="AB55" s="3" t="s">
        <v>140</v>
      </c>
      <c r="AC55" s="3"/>
    </row>
    <row r="56" spans="1:29" x14ac:dyDescent="0.3">
      <c r="A56" s="2" t="s">
        <v>609</v>
      </c>
      <c r="B56" s="2" t="s">
        <v>610</v>
      </c>
      <c r="C56" s="2" t="s">
        <v>117</v>
      </c>
      <c r="D56" s="2" t="s">
        <v>611</v>
      </c>
      <c r="E56" s="2" t="s">
        <v>18</v>
      </c>
      <c r="F56" s="2" t="s">
        <v>169</v>
      </c>
      <c r="G56" s="2" t="s">
        <v>612</v>
      </c>
      <c r="H56" s="2" t="s">
        <v>613</v>
      </c>
      <c r="I56" s="2">
        <v>5</v>
      </c>
      <c r="J56" s="2" t="s">
        <v>29</v>
      </c>
      <c r="K56" s="2" t="s">
        <v>334</v>
      </c>
      <c r="L56" s="2" t="s">
        <v>614</v>
      </c>
      <c r="M56" s="2" t="s">
        <v>615</v>
      </c>
      <c r="N56" s="2" t="s">
        <v>616</v>
      </c>
      <c r="O56" s="2" t="s">
        <v>21</v>
      </c>
      <c r="P56" s="2" t="s">
        <v>206</v>
      </c>
      <c r="Q56" s="2" t="s">
        <v>114</v>
      </c>
      <c r="R56" s="2">
        <v>5</v>
      </c>
      <c r="S56" s="2">
        <v>168.12</v>
      </c>
      <c r="T56" s="2">
        <v>5</v>
      </c>
      <c r="U56" s="2">
        <v>798.57</v>
      </c>
      <c r="V56" s="2">
        <v>401.18</v>
      </c>
      <c r="W56" s="2">
        <v>397.39</v>
      </c>
      <c r="X56" s="2">
        <v>49.76</v>
      </c>
      <c r="Y56" s="2">
        <v>0</v>
      </c>
      <c r="Z56" s="2" t="s">
        <v>15</v>
      </c>
      <c r="AA56" s="2" t="s">
        <v>100</v>
      </c>
      <c r="AB56" s="2" t="s">
        <v>101</v>
      </c>
      <c r="AC56" s="2"/>
    </row>
    <row r="57" spans="1:29" x14ac:dyDescent="0.3">
      <c r="A57" s="3" t="s">
        <v>617</v>
      </c>
      <c r="B57" s="3" t="s">
        <v>618</v>
      </c>
      <c r="C57" s="3" t="s">
        <v>619</v>
      </c>
      <c r="D57" s="3" t="s">
        <v>620</v>
      </c>
      <c r="E57" s="3" t="s">
        <v>18</v>
      </c>
      <c r="F57" s="3" t="s">
        <v>588</v>
      </c>
      <c r="G57" s="3" t="s">
        <v>589</v>
      </c>
      <c r="H57" s="3" t="s">
        <v>621</v>
      </c>
      <c r="I57" s="3">
        <v>5</v>
      </c>
      <c r="J57" s="3" t="s">
        <v>29</v>
      </c>
      <c r="K57" s="3" t="s">
        <v>427</v>
      </c>
      <c r="L57" s="3" t="s">
        <v>428</v>
      </c>
      <c r="M57" s="3" t="s">
        <v>622</v>
      </c>
      <c r="N57" s="3" t="s">
        <v>623</v>
      </c>
      <c r="O57" s="3" t="s">
        <v>19</v>
      </c>
      <c r="P57" s="3" t="s">
        <v>297</v>
      </c>
      <c r="Q57" s="3" t="s">
        <v>509</v>
      </c>
      <c r="R57" s="3">
        <v>2</v>
      </c>
      <c r="S57" s="3">
        <v>40482.14</v>
      </c>
      <c r="T57" s="3">
        <v>15</v>
      </c>
      <c r="U57" s="3">
        <v>68819.64</v>
      </c>
      <c r="V57" s="3">
        <v>31907.51</v>
      </c>
      <c r="W57" s="3">
        <v>36912.129999999997</v>
      </c>
      <c r="X57" s="3">
        <v>53.64</v>
      </c>
      <c r="Y57" s="3">
        <v>149</v>
      </c>
      <c r="Z57" s="3" t="s">
        <v>48</v>
      </c>
      <c r="AA57" s="3" t="s">
        <v>186</v>
      </c>
      <c r="AB57" s="3" t="s">
        <v>101</v>
      </c>
      <c r="AC57" s="3"/>
    </row>
    <row r="58" spans="1:29" x14ac:dyDescent="0.3">
      <c r="A58" s="2" t="s">
        <v>624</v>
      </c>
      <c r="B58" s="2" t="s">
        <v>625</v>
      </c>
      <c r="C58" s="2" t="s">
        <v>554</v>
      </c>
      <c r="D58" s="2" t="s">
        <v>626</v>
      </c>
      <c r="E58" s="2" t="s">
        <v>18</v>
      </c>
      <c r="F58" s="2" t="s">
        <v>627</v>
      </c>
      <c r="G58" s="2" t="s">
        <v>628</v>
      </c>
      <c r="H58" s="2" t="s">
        <v>629</v>
      </c>
      <c r="I58" s="2">
        <v>5</v>
      </c>
      <c r="J58" s="2" t="s">
        <v>14</v>
      </c>
      <c r="K58" s="2" t="s">
        <v>171</v>
      </c>
      <c r="L58" s="2" t="s">
        <v>541</v>
      </c>
      <c r="M58" s="2" t="s">
        <v>630</v>
      </c>
      <c r="N58" s="2" t="s">
        <v>631</v>
      </c>
      <c r="O58" s="2" t="s">
        <v>19</v>
      </c>
      <c r="P58" s="2" t="s">
        <v>297</v>
      </c>
      <c r="Q58" s="2" t="s">
        <v>400</v>
      </c>
      <c r="R58" s="2">
        <v>1</v>
      </c>
      <c r="S58" s="2">
        <v>23794.17</v>
      </c>
      <c r="T58" s="2">
        <v>25</v>
      </c>
      <c r="U58" s="2">
        <v>17845.63</v>
      </c>
      <c r="V58" s="2">
        <v>10033.16</v>
      </c>
      <c r="W58" s="2">
        <v>7812.47</v>
      </c>
      <c r="X58" s="2">
        <v>43.78</v>
      </c>
      <c r="Y58" s="2">
        <v>149</v>
      </c>
      <c r="Z58" s="2" t="s">
        <v>43</v>
      </c>
      <c r="AA58" s="2" t="s">
        <v>275</v>
      </c>
      <c r="AB58" s="2" t="s">
        <v>101</v>
      </c>
      <c r="AC58" s="2"/>
    </row>
    <row r="59" spans="1:29" x14ac:dyDescent="0.3">
      <c r="A59" s="3" t="s">
        <v>632</v>
      </c>
      <c r="B59" s="3" t="s">
        <v>633</v>
      </c>
      <c r="C59" s="3" t="s">
        <v>478</v>
      </c>
      <c r="D59" s="3" t="s">
        <v>634</v>
      </c>
      <c r="E59" s="3" t="s">
        <v>18</v>
      </c>
      <c r="F59" s="3" t="s">
        <v>635</v>
      </c>
      <c r="G59" s="3" t="s">
        <v>636</v>
      </c>
      <c r="H59" s="3" t="s">
        <v>637</v>
      </c>
      <c r="I59" s="3">
        <v>5</v>
      </c>
      <c r="J59" s="3" t="s">
        <v>22</v>
      </c>
      <c r="K59" s="3" t="s">
        <v>283</v>
      </c>
      <c r="L59" s="3" t="s">
        <v>284</v>
      </c>
      <c r="M59" s="3" t="s">
        <v>638</v>
      </c>
      <c r="N59" s="3" t="s">
        <v>639</v>
      </c>
      <c r="O59" s="3" t="s">
        <v>27</v>
      </c>
      <c r="P59" s="3" t="s">
        <v>175</v>
      </c>
      <c r="Q59" s="3" t="s">
        <v>608</v>
      </c>
      <c r="R59" s="3">
        <v>3</v>
      </c>
      <c r="S59" s="3">
        <v>7907.02</v>
      </c>
      <c r="T59" s="3">
        <v>15</v>
      </c>
      <c r="U59" s="3">
        <v>20162.900000000001</v>
      </c>
      <c r="V59" s="3">
        <v>14102.66</v>
      </c>
      <c r="W59" s="3">
        <v>6060.24</v>
      </c>
      <c r="X59" s="3">
        <v>30.06</v>
      </c>
      <c r="Y59" s="3">
        <v>49</v>
      </c>
      <c r="Z59" s="3" t="s">
        <v>43</v>
      </c>
      <c r="AA59" s="3" t="s">
        <v>186</v>
      </c>
      <c r="AB59" s="3" t="s">
        <v>101</v>
      </c>
      <c r="AC59" s="3"/>
    </row>
    <row r="60" spans="1:29" x14ac:dyDescent="0.3">
      <c r="A60" s="2" t="s">
        <v>640</v>
      </c>
      <c r="B60" s="2" t="s">
        <v>641</v>
      </c>
      <c r="C60" s="2" t="s">
        <v>642</v>
      </c>
      <c r="D60" s="2" t="s">
        <v>643</v>
      </c>
      <c r="E60" s="2" t="s">
        <v>18</v>
      </c>
      <c r="F60" s="2" t="s">
        <v>644</v>
      </c>
      <c r="G60" s="2" t="s">
        <v>645</v>
      </c>
      <c r="H60" s="2" t="s">
        <v>646</v>
      </c>
      <c r="I60" s="2">
        <v>4</v>
      </c>
      <c r="J60" s="2" t="s">
        <v>29</v>
      </c>
      <c r="K60" s="2" t="s">
        <v>148</v>
      </c>
      <c r="L60" s="2" t="s">
        <v>148</v>
      </c>
      <c r="M60" s="2" t="s">
        <v>647</v>
      </c>
      <c r="N60" s="2" t="s">
        <v>648</v>
      </c>
      <c r="O60" s="2" t="s">
        <v>27</v>
      </c>
      <c r="P60" s="2" t="s">
        <v>113</v>
      </c>
      <c r="Q60" s="2" t="s">
        <v>246</v>
      </c>
      <c r="R60" s="2">
        <v>4</v>
      </c>
      <c r="S60" s="2">
        <v>16360.34</v>
      </c>
      <c r="T60" s="2">
        <v>15</v>
      </c>
      <c r="U60" s="2">
        <v>55625.16</v>
      </c>
      <c r="V60" s="2">
        <v>25333.119999999999</v>
      </c>
      <c r="W60" s="2">
        <v>30292.04</v>
      </c>
      <c r="X60" s="2">
        <v>54.46</v>
      </c>
      <c r="Y60" s="2">
        <v>49</v>
      </c>
      <c r="Z60" s="2" t="s">
        <v>47</v>
      </c>
      <c r="AA60" s="2" t="s">
        <v>275</v>
      </c>
      <c r="AB60" s="2" t="s">
        <v>101</v>
      </c>
      <c r="AC60" s="2"/>
    </row>
    <row r="61" spans="1:29" x14ac:dyDescent="0.3">
      <c r="A61" s="3" t="s">
        <v>649</v>
      </c>
      <c r="B61" s="3" t="s">
        <v>650</v>
      </c>
      <c r="C61" s="3" t="s">
        <v>651</v>
      </c>
      <c r="D61" s="3" t="s">
        <v>652</v>
      </c>
      <c r="E61" s="3" t="s">
        <v>18</v>
      </c>
      <c r="F61" s="3" t="s">
        <v>653</v>
      </c>
      <c r="G61" s="3" t="s">
        <v>654</v>
      </c>
      <c r="H61" s="3" t="s">
        <v>655</v>
      </c>
      <c r="I61" s="3">
        <v>5</v>
      </c>
      <c r="J61" s="3" t="s">
        <v>22</v>
      </c>
      <c r="K61" s="3" t="s">
        <v>254</v>
      </c>
      <c r="L61" s="3" t="s">
        <v>254</v>
      </c>
      <c r="M61" s="3" t="s">
        <v>656</v>
      </c>
      <c r="N61" s="3" t="s">
        <v>533</v>
      </c>
      <c r="O61" s="3" t="s">
        <v>19</v>
      </c>
      <c r="P61" s="3" t="s">
        <v>297</v>
      </c>
      <c r="Q61" s="3" t="s">
        <v>99</v>
      </c>
      <c r="R61" s="3">
        <v>4</v>
      </c>
      <c r="S61" s="3">
        <v>43193.97</v>
      </c>
      <c r="T61" s="3">
        <v>20</v>
      </c>
      <c r="U61" s="3">
        <v>138220.70000000001</v>
      </c>
      <c r="V61" s="3">
        <v>94334.53</v>
      </c>
      <c r="W61" s="3">
        <v>43886.17</v>
      </c>
      <c r="X61" s="3">
        <v>31.75</v>
      </c>
      <c r="Y61" s="3">
        <v>99</v>
      </c>
      <c r="Z61" s="3" t="s">
        <v>40</v>
      </c>
      <c r="AA61" s="3" t="s">
        <v>139</v>
      </c>
      <c r="AB61" s="3" t="s">
        <v>140</v>
      </c>
      <c r="AC61" s="3"/>
    </row>
    <row r="62" spans="1:29" x14ac:dyDescent="0.3">
      <c r="A62" s="2" t="s">
        <v>657</v>
      </c>
      <c r="B62" s="2" t="s">
        <v>658</v>
      </c>
      <c r="C62" s="2" t="s">
        <v>512</v>
      </c>
      <c r="D62" s="2" t="s">
        <v>659</v>
      </c>
      <c r="E62" s="2" t="s">
        <v>26</v>
      </c>
      <c r="F62" s="2" t="s">
        <v>660</v>
      </c>
      <c r="G62" s="2" t="s">
        <v>661</v>
      </c>
      <c r="H62" s="2" t="s">
        <v>662</v>
      </c>
      <c r="I62" s="2">
        <v>8</v>
      </c>
      <c r="J62" s="2" t="s">
        <v>29</v>
      </c>
      <c r="K62" s="2" t="s">
        <v>334</v>
      </c>
      <c r="L62" s="2" t="s">
        <v>335</v>
      </c>
      <c r="M62" s="2" t="s">
        <v>663</v>
      </c>
      <c r="N62" s="2" t="s">
        <v>354</v>
      </c>
      <c r="O62" s="2" t="s">
        <v>21</v>
      </c>
      <c r="P62" s="2" t="s">
        <v>196</v>
      </c>
      <c r="Q62" s="2" t="s">
        <v>466</v>
      </c>
      <c r="R62" s="2">
        <v>1</v>
      </c>
      <c r="S62" s="2">
        <v>12940.01</v>
      </c>
      <c r="T62" s="2">
        <v>25</v>
      </c>
      <c r="U62" s="2">
        <v>9705.01</v>
      </c>
      <c r="V62" s="2">
        <v>5005.59</v>
      </c>
      <c r="W62" s="2">
        <v>4699.42</v>
      </c>
      <c r="X62" s="2">
        <v>48.42</v>
      </c>
      <c r="Y62" s="2">
        <v>29</v>
      </c>
      <c r="Z62" s="2" t="s">
        <v>48</v>
      </c>
      <c r="AA62" s="2" t="s">
        <v>100</v>
      </c>
      <c r="AB62" s="2" t="s">
        <v>101</v>
      </c>
      <c r="AC62" s="2">
        <v>3</v>
      </c>
    </row>
    <row r="63" spans="1:29" x14ac:dyDescent="0.3">
      <c r="A63" s="3" t="s">
        <v>664</v>
      </c>
      <c r="B63" s="3" t="s">
        <v>665</v>
      </c>
      <c r="C63" s="3" t="s">
        <v>666</v>
      </c>
      <c r="D63" s="3" t="s">
        <v>667</v>
      </c>
      <c r="E63" s="3" t="s">
        <v>42</v>
      </c>
      <c r="F63" s="3" t="s">
        <v>668</v>
      </c>
      <c r="G63" s="3" t="s">
        <v>669</v>
      </c>
      <c r="H63" s="3" t="s">
        <v>670</v>
      </c>
      <c r="I63" s="3">
        <v>7</v>
      </c>
      <c r="J63" s="3" t="s">
        <v>39</v>
      </c>
      <c r="K63" s="3" t="s">
        <v>225</v>
      </c>
      <c r="L63" s="3" t="s">
        <v>225</v>
      </c>
      <c r="M63" s="3" t="s">
        <v>671</v>
      </c>
      <c r="N63" s="3" t="s">
        <v>316</v>
      </c>
      <c r="O63" s="3" t="s">
        <v>28</v>
      </c>
      <c r="P63" s="3" t="s">
        <v>137</v>
      </c>
      <c r="Q63" s="3" t="s">
        <v>246</v>
      </c>
      <c r="R63" s="3">
        <v>5</v>
      </c>
      <c r="S63" s="3">
        <v>16092.76</v>
      </c>
      <c r="T63" s="3">
        <v>10</v>
      </c>
      <c r="U63" s="3">
        <v>72417.42</v>
      </c>
      <c r="V63" s="3">
        <v>44439.93</v>
      </c>
      <c r="W63" s="3">
        <v>27977.49</v>
      </c>
      <c r="X63" s="3">
        <v>38.630000000000003</v>
      </c>
      <c r="Y63" s="3">
        <v>149</v>
      </c>
      <c r="Z63" s="3" t="s">
        <v>48</v>
      </c>
      <c r="AA63" s="3" t="s">
        <v>672</v>
      </c>
      <c r="AB63" s="3" t="s">
        <v>101</v>
      </c>
      <c r="AC63" s="3"/>
    </row>
    <row r="64" spans="1:29" x14ac:dyDescent="0.3">
      <c r="A64" s="2" t="s">
        <v>673</v>
      </c>
      <c r="B64" s="2" t="s">
        <v>674</v>
      </c>
      <c r="C64" s="2" t="s">
        <v>260</v>
      </c>
      <c r="D64" s="2" t="s">
        <v>675</v>
      </c>
      <c r="E64" s="2" t="s">
        <v>33</v>
      </c>
      <c r="F64" s="2" t="s">
        <v>397</v>
      </c>
      <c r="G64" s="2" t="s">
        <v>676</v>
      </c>
      <c r="H64" s="2" t="s">
        <v>93</v>
      </c>
      <c r="I64" s="2">
        <v>6</v>
      </c>
      <c r="J64" s="2" t="s">
        <v>39</v>
      </c>
      <c r="K64" s="2" t="s">
        <v>109</v>
      </c>
      <c r="L64" s="2" t="s">
        <v>134</v>
      </c>
      <c r="M64" s="2" t="s">
        <v>677</v>
      </c>
      <c r="N64" s="2" t="s">
        <v>205</v>
      </c>
      <c r="O64" s="2" t="s">
        <v>21</v>
      </c>
      <c r="P64" s="2" t="s">
        <v>206</v>
      </c>
      <c r="Q64" s="2" t="s">
        <v>466</v>
      </c>
      <c r="R64" s="2">
        <v>1</v>
      </c>
      <c r="S64" s="2">
        <v>33621.550000000003</v>
      </c>
      <c r="T64" s="2">
        <v>15</v>
      </c>
      <c r="U64" s="2">
        <v>28578.32</v>
      </c>
      <c r="V64" s="2">
        <v>14383.59</v>
      </c>
      <c r="W64" s="2">
        <v>14194.73</v>
      </c>
      <c r="X64" s="2">
        <v>49.67</v>
      </c>
      <c r="Y64" s="2">
        <v>29</v>
      </c>
      <c r="Z64" s="2" t="s">
        <v>15</v>
      </c>
      <c r="AA64" s="2" t="s">
        <v>100</v>
      </c>
      <c r="AB64" s="2" t="s">
        <v>101</v>
      </c>
      <c r="AC64" s="2"/>
    </row>
    <row r="65" spans="1:29" x14ac:dyDescent="0.3">
      <c r="A65" s="3" t="s">
        <v>678</v>
      </c>
      <c r="B65" s="3" t="s">
        <v>679</v>
      </c>
      <c r="C65" s="3" t="s">
        <v>680</v>
      </c>
      <c r="D65" s="3" t="s">
        <v>681</v>
      </c>
      <c r="E65" s="3" t="s">
        <v>33</v>
      </c>
      <c r="F65" s="3" t="s">
        <v>682</v>
      </c>
      <c r="G65" s="3" t="s">
        <v>683</v>
      </c>
      <c r="H65" s="3" t="s">
        <v>684</v>
      </c>
      <c r="I65" s="3">
        <v>8</v>
      </c>
      <c r="J65" s="3" t="s">
        <v>39</v>
      </c>
      <c r="K65" s="3" t="s">
        <v>225</v>
      </c>
      <c r="L65" s="3" t="s">
        <v>225</v>
      </c>
      <c r="M65" s="3" t="s">
        <v>685</v>
      </c>
      <c r="N65" s="3" t="s">
        <v>686</v>
      </c>
      <c r="O65" s="3" t="s">
        <v>13</v>
      </c>
      <c r="P65" s="3" t="s">
        <v>228</v>
      </c>
      <c r="Q65" s="3" t="s">
        <v>466</v>
      </c>
      <c r="R65" s="3">
        <v>5</v>
      </c>
      <c r="S65" s="3">
        <v>3238.06</v>
      </c>
      <c r="T65" s="3">
        <v>30</v>
      </c>
      <c r="U65" s="3">
        <v>11333.21</v>
      </c>
      <c r="V65" s="3">
        <v>7514.16</v>
      </c>
      <c r="W65" s="3">
        <v>3819.05</v>
      </c>
      <c r="X65" s="3">
        <v>33.700000000000003</v>
      </c>
      <c r="Y65" s="3">
        <v>199</v>
      </c>
      <c r="Z65" s="3" t="s">
        <v>48</v>
      </c>
      <c r="AA65" s="3" t="s">
        <v>100</v>
      </c>
      <c r="AB65" s="3" t="s">
        <v>101</v>
      </c>
      <c r="AC65" s="3">
        <v>4</v>
      </c>
    </row>
    <row r="66" spans="1:29" x14ac:dyDescent="0.3">
      <c r="A66" s="2" t="s">
        <v>687</v>
      </c>
      <c r="B66" s="2" t="s">
        <v>688</v>
      </c>
      <c r="C66" s="2" t="s">
        <v>689</v>
      </c>
      <c r="D66" s="2" t="s">
        <v>690</v>
      </c>
      <c r="E66" s="2" t="s">
        <v>18</v>
      </c>
      <c r="F66" s="2" t="s">
        <v>682</v>
      </c>
      <c r="G66" s="2" t="s">
        <v>683</v>
      </c>
      <c r="H66" s="2" t="s">
        <v>691</v>
      </c>
      <c r="I66" s="2">
        <v>7</v>
      </c>
      <c r="J66" s="2" t="s">
        <v>39</v>
      </c>
      <c r="K66" s="2" t="s">
        <v>225</v>
      </c>
      <c r="L66" s="2" t="s">
        <v>225</v>
      </c>
      <c r="M66" s="2" t="s">
        <v>692</v>
      </c>
      <c r="N66" s="2" t="s">
        <v>551</v>
      </c>
      <c r="O66" s="2" t="s">
        <v>13</v>
      </c>
      <c r="P66" s="2" t="s">
        <v>98</v>
      </c>
      <c r="Q66" s="2" t="s">
        <v>287</v>
      </c>
      <c r="R66" s="2">
        <v>1</v>
      </c>
      <c r="S66" s="2">
        <v>41818.980000000003</v>
      </c>
      <c r="T66" s="2">
        <v>10</v>
      </c>
      <c r="U66" s="2">
        <v>37637.08</v>
      </c>
      <c r="V66" s="2">
        <v>25203.05</v>
      </c>
      <c r="W66" s="2">
        <v>12434.03</v>
      </c>
      <c r="X66" s="2">
        <v>33.04</v>
      </c>
      <c r="Y66" s="2">
        <v>99</v>
      </c>
      <c r="Z66" s="2" t="s">
        <v>47</v>
      </c>
      <c r="AA66" s="2" t="s">
        <v>100</v>
      </c>
      <c r="AB66" s="2" t="s">
        <v>101</v>
      </c>
      <c r="AC66" s="2">
        <v>1</v>
      </c>
    </row>
    <row r="67" spans="1:29" x14ac:dyDescent="0.3">
      <c r="A67" s="3" t="s">
        <v>693</v>
      </c>
      <c r="B67" s="3" t="s">
        <v>694</v>
      </c>
      <c r="C67" s="3" t="s">
        <v>695</v>
      </c>
      <c r="D67" s="3" t="s">
        <v>696</v>
      </c>
      <c r="E67" s="3" t="s">
        <v>33</v>
      </c>
      <c r="F67" s="3" t="s">
        <v>653</v>
      </c>
      <c r="G67" s="3" t="s">
        <v>654</v>
      </c>
      <c r="H67" s="3" t="s">
        <v>668</v>
      </c>
      <c r="I67" s="3">
        <v>7</v>
      </c>
      <c r="J67" s="3" t="s">
        <v>14</v>
      </c>
      <c r="K67" s="3" t="s">
        <v>95</v>
      </c>
      <c r="L67" s="3" t="s">
        <v>95</v>
      </c>
      <c r="M67" s="3" t="s">
        <v>697</v>
      </c>
      <c r="N67" s="3" t="s">
        <v>374</v>
      </c>
      <c r="O67" s="3" t="s">
        <v>21</v>
      </c>
      <c r="P67" s="3" t="s">
        <v>196</v>
      </c>
      <c r="Q67" s="3" t="s">
        <v>287</v>
      </c>
      <c r="R67" s="3">
        <v>4</v>
      </c>
      <c r="S67" s="3">
        <v>2787.97</v>
      </c>
      <c r="T67" s="3">
        <v>20</v>
      </c>
      <c r="U67" s="3">
        <v>8921.5</v>
      </c>
      <c r="V67" s="3">
        <v>5813.9</v>
      </c>
      <c r="W67" s="3">
        <v>3107.6</v>
      </c>
      <c r="X67" s="3">
        <v>34.83</v>
      </c>
      <c r="Y67" s="3">
        <v>149</v>
      </c>
      <c r="Z67" s="3" t="s">
        <v>48</v>
      </c>
      <c r="AA67" s="3" t="s">
        <v>186</v>
      </c>
      <c r="AB67" s="3" t="s">
        <v>101</v>
      </c>
      <c r="AC67" s="3"/>
    </row>
    <row r="68" spans="1:29" x14ac:dyDescent="0.3">
      <c r="A68" s="2" t="s">
        <v>698</v>
      </c>
      <c r="B68" s="2" t="s">
        <v>699</v>
      </c>
      <c r="C68" s="2" t="s">
        <v>642</v>
      </c>
      <c r="D68" s="2" t="s">
        <v>700</v>
      </c>
      <c r="E68" s="2" t="s">
        <v>18</v>
      </c>
      <c r="F68" s="2" t="s">
        <v>558</v>
      </c>
      <c r="G68" s="2" t="s">
        <v>701</v>
      </c>
      <c r="H68" s="2" t="s">
        <v>702</v>
      </c>
      <c r="I68" s="2">
        <v>5</v>
      </c>
      <c r="J68" s="2" t="s">
        <v>39</v>
      </c>
      <c r="K68" s="2" t="s">
        <v>225</v>
      </c>
      <c r="L68" s="2" t="s">
        <v>225</v>
      </c>
      <c r="M68" s="2" t="s">
        <v>703</v>
      </c>
      <c r="N68" s="2" t="s">
        <v>704</v>
      </c>
      <c r="O68" s="2" t="s">
        <v>13</v>
      </c>
      <c r="P68" s="2" t="s">
        <v>419</v>
      </c>
      <c r="Q68" s="2" t="s">
        <v>355</v>
      </c>
      <c r="R68" s="2">
        <v>2</v>
      </c>
      <c r="S68" s="2">
        <v>4972.55</v>
      </c>
      <c r="T68" s="2">
        <v>15</v>
      </c>
      <c r="U68" s="2">
        <v>8453.34</v>
      </c>
      <c r="V68" s="2">
        <v>5393.36</v>
      </c>
      <c r="W68" s="2">
        <v>3059.98</v>
      </c>
      <c r="X68" s="2">
        <v>36.200000000000003</v>
      </c>
      <c r="Y68" s="2">
        <v>49</v>
      </c>
      <c r="Z68" s="2" t="s">
        <v>23</v>
      </c>
      <c r="AA68" s="2" t="s">
        <v>100</v>
      </c>
      <c r="AB68" s="2" t="s">
        <v>101</v>
      </c>
      <c r="AC68" s="2"/>
    </row>
    <row r="69" spans="1:29" x14ac:dyDescent="0.3">
      <c r="A69" s="3" t="s">
        <v>705</v>
      </c>
      <c r="B69" s="3" t="s">
        <v>706</v>
      </c>
      <c r="C69" s="3" t="s">
        <v>707</v>
      </c>
      <c r="D69" s="3" t="s">
        <v>708</v>
      </c>
      <c r="E69" s="3" t="s">
        <v>18</v>
      </c>
      <c r="F69" s="3" t="s">
        <v>709</v>
      </c>
      <c r="G69" s="3" t="s">
        <v>710</v>
      </c>
      <c r="H69" s="3" t="s">
        <v>711</v>
      </c>
      <c r="I69" s="3">
        <v>8</v>
      </c>
      <c r="J69" s="3" t="s">
        <v>14</v>
      </c>
      <c r="K69" s="3" t="s">
        <v>712</v>
      </c>
      <c r="L69" s="3" t="s">
        <v>712</v>
      </c>
      <c r="M69" s="3" t="s">
        <v>713</v>
      </c>
      <c r="N69" s="3" t="s">
        <v>274</v>
      </c>
      <c r="O69" s="3" t="s">
        <v>21</v>
      </c>
      <c r="P69" s="3" t="s">
        <v>126</v>
      </c>
      <c r="Q69" s="3" t="s">
        <v>152</v>
      </c>
      <c r="R69" s="3">
        <v>5</v>
      </c>
      <c r="S69" s="3">
        <v>29951.15</v>
      </c>
      <c r="T69" s="3">
        <v>25</v>
      </c>
      <c r="U69" s="3">
        <v>112316.81</v>
      </c>
      <c r="V69" s="3">
        <v>51820.53</v>
      </c>
      <c r="W69" s="3">
        <v>60496.28</v>
      </c>
      <c r="X69" s="3">
        <v>53.86</v>
      </c>
      <c r="Y69" s="3">
        <v>99</v>
      </c>
      <c r="Z69" s="3" t="s">
        <v>48</v>
      </c>
      <c r="AA69" s="3" t="s">
        <v>100</v>
      </c>
      <c r="AB69" s="3" t="s">
        <v>101</v>
      </c>
      <c r="AC69" s="3"/>
    </row>
    <row r="70" spans="1:29" x14ac:dyDescent="0.3">
      <c r="A70" s="2" t="s">
        <v>714</v>
      </c>
      <c r="B70" s="2" t="s">
        <v>715</v>
      </c>
      <c r="C70" s="2" t="s">
        <v>716</v>
      </c>
      <c r="D70" s="2" t="s">
        <v>717</v>
      </c>
      <c r="E70" s="2" t="s">
        <v>33</v>
      </c>
      <c r="F70" s="2" t="s">
        <v>718</v>
      </c>
      <c r="G70" s="2" t="s">
        <v>719</v>
      </c>
      <c r="H70" s="2" t="s">
        <v>720</v>
      </c>
      <c r="I70" s="2">
        <v>5</v>
      </c>
      <c r="J70" s="2" t="s">
        <v>14</v>
      </c>
      <c r="K70" s="2" t="s">
        <v>183</v>
      </c>
      <c r="L70" s="2" t="s">
        <v>183</v>
      </c>
      <c r="M70" s="2" t="s">
        <v>721</v>
      </c>
      <c r="N70" s="2" t="s">
        <v>722</v>
      </c>
      <c r="O70" s="2" t="s">
        <v>27</v>
      </c>
      <c r="P70" s="2" t="s">
        <v>175</v>
      </c>
      <c r="Q70" s="2" t="s">
        <v>138</v>
      </c>
      <c r="R70" s="2">
        <v>2</v>
      </c>
      <c r="S70" s="2">
        <v>13409.86</v>
      </c>
      <c r="T70" s="2">
        <v>5</v>
      </c>
      <c r="U70" s="2">
        <v>25478.73</v>
      </c>
      <c r="V70" s="2">
        <v>13829.34</v>
      </c>
      <c r="W70" s="2">
        <v>11649.39</v>
      </c>
      <c r="X70" s="2">
        <v>45.72</v>
      </c>
      <c r="Y70" s="2">
        <v>199</v>
      </c>
      <c r="Z70" s="2" t="s">
        <v>40</v>
      </c>
      <c r="AA70" s="2" t="s">
        <v>186</v>
      </c>
      <c r="AB70" s="2" t="s">
        <v>101</v>
      </c>
      <c r="AC70" s="2"/>
    </row>
    <row r="71" spans="1:29" x14ac:dyDescent="0.3">
      <c r="A71" s="3" t="s">
        <v>723</v>
      </c>
      <c r="B71" s="3" t="s">
        <v>724</v>
      </c>
      <c r="C71" s="3" t="s">
        <v>725</v>
      </c>
      <c r="D71" s="3" t="s">
        <v>726</v>
      </c>
      <c r="E71" s="3" t="s">
        <v>33</v>
      </c>
      <c r="F71" s="3" t="s">
        <v>727</v>
      </c>
      <c r="G71" s="3" t="s">
        <v>728</v>
      </c>
      <c r="H71" s="3" t="s">
        <v>729</v>
      </c>
      <c r="I71" s="3">
        <v>4</v>
      </c>
      <c r="J71" s="3" t="s">
        <v>14</v>
      </c>
      <c r="K71" s="3" t="s">
        <v>95</v>
      </c>
      <c r="L71" s="3" t="s">
        <v>95</v>
      </c>
      <c r="M71" s="3" t="s">
        <v>730</v>
      </c>
      <c r="N71" s="3" t="s">
        <v>174</v>
      </c>
      <c r="O71" s="3" t="s">
        <v>27</v>
      </c>
      <c r="P71" s="3" t="s">
        <v>175</v>
      </c>
      <c r="Q71" s="3" t="s">
        <v>287</v>
      </c>
      <c r="R71" s="3">
        <v>1</v>
      </c>
      <c r="S71" s="3">
        <v>39768.379999999997</v>
      </c>
      <c r="T71" s="3">
        <v>5</v>
      </c>
      <c r="U71" s="3">
        <v>37779.96</v>
      </c>
      <c r="V71" s="3">
        <v>21475.72</v>
      </c>
      <c r="W71" s="3">
        <v>16304.24</v>
      </c>
      <c r="X71" s="3">
        <v>43.16</v>
      </c>
      <c r="Y71" s="3">
        <v>0</v>
      </c>
      <c r="Z71" s="3" t="s">
        <v>15</v>
      </c>
      <c r="AA71" s="3" t="s">
        <v>100</v>
      </c>
      <c r="AB71" s="3" t="s">
        <v>101</v>
      </c>
      <c r="AC71" s="3">
        <v>5</v>
      </c>
    </row>
    <row r="72" spans="1:29" x14ac:dyDescent="0.3">
      <c r="A72" s="2" t="s">
        <v>731</v>
      </c>
      <c r="B72" s="2" t="s">
        <v>732</v>
      </c>
      <c r="C72" s="2" t="s">
        <v>733</v>
      </c>
      <c r="D72" s="2" t="s">
        <v>734</v>
      </c>
      <c r="E72" s="2" t="s">
        <v>18</v>
      </c>
      <c r="F72" s="2" t="s">
        <v>735</v>
      </c>
      <c r="G72" s="2" t="s">
        <v>736</v>
      </c>
      <c r="H72" s="2" t="s">
        <v>737</v>
      </c>
      <c r="I72" s="2">
        <v>5</v>
      </c>
      <c r="J72" s="2" t="s">
        <v>22</v>
      </c>
      <c r="K72" s="2" t="s">
        <v>738</v>
      </c>
      <c r="L72" s="2" t="s">
        <v>738</v>
      </c>
      <c r="M72" s="2" t="s">
        <v>739</v>
      </c>
      <c r="N72" s="2" t="s">
        <v>740</v>
      </c>
      <c r="O72" s="2" t="s">
        <v>21</v>
      </c>
      <c r="P72" s="2" t="s">
        <v>126</v>
      </c>
      <c r="Q72" s="2" t="s">
        <v>152</v>
      </c>
      <c r="R72" s="2">
        <v>5</v>
      </c>
      <c r="S72" s="2">
        <v>7700.4</v>
      </c>
      <c r="T72" s="2">
        <v>0</v>
      </c>
      <c r="U72" s="2">
        <v>38502</v>
      </c>
      <c r="V72" s="2">
        <v>22433.55</v>
      </c>
      <c r="W72" s="2">
        <v>16068.45</v>
      </c>
      <c r="X72" s="2">
        <v>41.73</v>
      </c>
      <c r="Y72" s="2">
        <v>99</v>
      </c>
      <c r="Z72" s="2" t="s">
        <v>43</v>
      </c>
      <c r="AA72" s="2" t="s">
        <v>100</v>
      </c>
      <c r="AB72" s="2" t="s">
        <v>101</v>
      </c>
      <c r="AC72" s="2">
        <v>4</v>
      </c>
    </row>
    <row r="73" spans="1:29" x14ac:dyDescent="0.3">
      <c r="A73" s="3" t="s">
        <v>741</v>
      </c>
      <c r="B73" s="3" t="s">
        <v>742</v>
      </c>
      <c r="C73" s="3" t="s">
        <v>743</v>
      </c>
      <c r="D73" s="3" t="s">
        <v>744</v>
      </c>
      <c r="E73" s="3" t="s">
        <v>26</v>
      </c>
      <c r="F73" s="3" t="s">
        <v>745</v>
      </c>
      <c r="G73" s="3" t="s">
        <v>746</v>
      </c>
      <c r="H73" s="3" t="s">
        <v>747</v>
      </c>
      <c r="I73" s="3">
        <v>6</v>
      </c>
      <c r="J73" s="3" t="s">
        <v>22</v>
      </c>
      <c r="K73" s="3" t="s">
        <v>283</v>
      </c>
      <c r="L73" s="3" t="s">
        <v>748</v>
      </c>
      <c r="M73" s="3" t="s">
        <v>749</v>
      </c>
      <c r="N73" s="3" t="s">
        <v>750</v>
      </c>
      <c r="O73" s="3" t="s">
        <v>13</v>
      </c>
      <c r="P73" s="3" t="s">
        <v>419</v>
      </c>
      <c r="Q73" s="3" t="s">
        <v>355</v>
      </c>
      <c r="R73" s="3">
        <v>4</v>
      </c>
      <c r="S73" s="3">
        <v>8916.2099999999991</v>
      </c>
      <c r="T73" s="3">
        <v>15</v>
      </c>
      <c r="U73" s="3">
        <v>30315.11</v>
      </c>
      <c r="V73" s="3">
        <v>17528.189999999999</v>
      </c>
      <c r="W73" s="3">
        <v>12786.92</v>
      </c>
      <c r="X73" s="3">
        <v>42.18</v>
      </c>
      <c r="Y73" s="3">
        <v>149</v>
      </c>
      <c r="Z73" s="3" t="s">
        <v>40</v>
      </c>
      <c r="AA73" s="3" t="s">
        <v>139</v>
      </c>
      <c r="AB73" s="3" t="s">
        <v>140</v>
      </c>
      <c r="AC73" s="3"/>
    </row>
    <row r="74" spans="1:29" x14ac:dyDescent="0.3">
      <c r="A74" s="2" t="s">
        <v>751</v>
      </c>
      <c r="B74" s="2" t="s">
        <v>752</v>
      </c>
      <c r="C74" s="2" t="s">
        <v>339</v>
      </c>
      <c r="D74" s="2" t="s">
        <v>753</v>
      </c>
      <c r="E74" s="2" t="s">
        <v>26</v>
      </c>
      <c r="F74" s="2" t="s">
        <v>754</v>
      </c>
      <c r="G74" s="2" t="s">
        <v>621</v>
      </c>
      <c r="H74" s="2" t="s">
        <v>755</v>
      </c>
      <c r="I74" s="2">
        <v>2</v>
      </c>
      <c r="J74" s="2" t="s">
        <v>22</v>
      </c>
      <c r="K74" s="2" t="s">
        <v>443</v>
      </c>
      <c r="L74" s="2" t="s">
        <v>498</v>
      </c>
      <c r="M74" s="2" t="s">
        <v>756</v>
      </c>
      <c r="N74" s="2" t="s">
        <v>374</v>
      </c>
      <c r="O74" s="2" t="s">
        <v>21</v>
      </c>
      <c r="P74" s="2" t="s">
        <v>196</v>
      </c>
      <c r="Q74" s="2" t="s">
        <v>197</v>
      </c>
      <c r="R74" s="2">
        <v>5</v>
      </c>
      <c r="S74" s="2">
        <v>7020.24</v>
      </c>
      <c r="T74" s="2">
        <v>20</v>
      </c>
      <c r="U74" s="2">
        <v>28080.959999999999</v>
      </c>
      <c r="V74" s="2">
        <v>13679.08</v>
      </c>
      <c r="W74" s="2">
        <v>14401.88</v>
      </c>
      <c r="X74" s="2">
        <v>51.29</v>
      </c>
      <c r="Y74" s="2">
        <v>29</v>
      </c>
      <c r="Z74" s="2" t="s">
        <v>40</v>
      </c>
      <c r="AA74" s="2" t="s">
        <v>100</v>
      </c>
      <c r="AB74" s="2" t="s">
        <v>101</v>
      </c>
      <c r="AC74" s="2">
        <v>2</v>
      </c>
    </row>
    <row r="75" spans="1:29" x14ac:dyDescent="0.3">
      <c r="A75" s="3" t="s">
        <v>757</v>
      </c>
      <c r="B75" s="3" t="s">
        <v>758</v>
      </c>
      <c r="C75" s="3" t="s">
        <v>759</v>
      </c>
      <c r="D75" s="3" t="s">
        <v>760</v>
      </c>
      <c r="E75" s="3" t="s">
        <v>42</v>
      </c>
      <c r="F75" s="3" t="s">
        <v>761</v>
      </c>
      <c r="G75" s="3" t="s">
        <v>762</v>
      </c>
      <c r="H75" s="3" t="s">
        <v>763</v>
      </c>
      <c r="I75" s="3">
        <v>7</v>
      </c>
      <c r="J75" s="3" t="s">
        <v>14</v>
      </c>
      <c r="K75" s="3" t="s">
        <v>712</v>
      </c>
      <c r="L75" s="3" t="s">
        <v>712</v>
      </c>
      <c r="M75" s="3" t="s">
        <v>764</v>
      </c>
      <c r="N75" s="3" t="s">
        <v>765</v>
      </c>
      <c r="O75" s="3" t="s">
        <v>27</v>
      </c>
      <c r="P75" s="3" t="s">
        <v>113</v>
      </c>
      <c r="Q75" s="3" t="s">
        <v>99</v>
      </c>
      <c r="R75" s="3">
        <v>1</v>
      </c>
      <c r="S75" s="3">
        <v>47900.77</v>
      </c>
      <c r="T75" s="3">
        <v>10</v>
      </c>
      <c r="U75" s="3">
        <v>43110.69</v>
      </c>
      <c r="V75" s="3">
        <v>20390.59</v>
      </c>
      <c r="W75" s="3">
        <v>22720.1</v>
      </c>
      <c r="X75" s="3">
        <v>52.7</v>
      </c>
      <c r="Y75" s="3">
        <v>49</v>
      </c>
      <c r="Z75" s="3" t="s">
        <v>30</v>
      </c>
      <c r="AA75" s="3" t="s">
        <v>186</v>
      </c>
      <c r="AB75" s="3" t="s">
        <v>101</v>
      </c>
      <c r="AC75" s="3"/>
    </row>
    <row r="76" spans="1:29" x14ac:dyDescent="0.3">
      <c r="A76" s="2" t="s">
        <v>766</v>
      </c>
      <c r="B76" s="2" t="s">
        <v>767</v>
      </c>
      <c r="C76" s="2" t="s">
        <v>768</v>
      </c>
      <c r="D76" s="2" t="s">
        <v>769</v>
      </c>
      <c r="E76" s="2" t="s">
        <v>33</v>
      </c>
      <c r="F76" s="2" t="s">
        <v>133</v>
      </c>
      <c r="G76" s="2" t="s">
        <v>264</v>
      </c>
      <c r="H76" s="2" t="s">
        <v>770</v>
      </c>
      <c r="I76" s="2">
        <v>2</v>
      </c>
      <c r="J76" s="2" t="s">
        <v>29</v>
      </c>
      <c r="K76" s="2" t="s">
        <v>334</v>
      </c>
      <c r="L76" s="2" t="s">
        <v>614</v>
      </c>
      <c r="M76" s="2" t="s">
        <v>771</v>
      </c>
      <c r="N76" s="2" t="s">
        <v>551</v>
      </c>
      <c r="O76" s="2" t="s">
        <v>13</v>
      </c>
      <c r="P76" s="2" t="s">
        <v>98</v>
      </c>
      <c r="Q76" s="2" t="s">
        <v>400</v>
      </c>
      <c r="R76" s="2">
        <v>5</v>
      </c>
      <c r="S76" s="2">
        <v>12668.9</v>
      </c>
      <c r="T76" s="2">
        <v>0</v>
      </c>
      <c r="U76" s="2">
        <v>63344.5</v>
      </c>
      <c r="V76" s="2">
        <v>35461.629999999997</v>
      </c>
      <c r="W76" s="2">
        <v>27882.87</v>
      </c>
      <c r="X76" s="2">
        <v>44.02</v>
      </c>
      <c r="Y76" s="2">
        <v>29</v>
      </c>
      <c r="Z76" s="2" t="s">
        <v>40</v>
      </c>
      <c r="AA76" s="2" t="s">
        <v>100</v>
      </c>
      <c r="AB76" s="2" t="s">
        <v>101</v>
      </c>
      <c r="AC76" s="2">
        <v>5</v>
      </c>
    </row>
    <row r="77" spans="1:29" x14ac:dyDescent="0.3">
      <c r="A77" s="3" t="s">
        <v>772</v>
      </c>
      <c r="B77" s="3" t="s">
        <v>773</v>
      </c>
      <c r="C77" s="3" t="s">
        <v>774</v>
      </c>
      <c r="D77" s="3" t="s">
        <v>775</v>
      </c>
      <c r="E77" s="3" t="s">
        <v>26</v>
      </c>
      <c r="F77" s="3" t="s">
        <v>776</v>
      </c>
      <c r="G77" s="3" t="s">
        <v>777</v>
      </c>
      <c r="H77" s="3" t="s">
        <v>778</v>
      </c>
      <c r="I77" s="3">
        <v>6</v>
      </c>
      <c r="J77" s="3" t="s">
        <v>14</v>
      </c>
      <c r="K77" s="3" t="s">
        <v>215</v>
      </c>
      <c r="L77" s="3" t="s">
        <v>215</v>
      </c>
      <c r="M77" s="3" t="s">
        <v>779</v>
      </c>
      <c r="N77" s="3" t="s">
        <v>686</v>
      </c>
      <c r="O77" s="3" t="s">
        <v>13</v>
      </c>
      <c r="P77" s="3" t="s">
        <v>228</v>
      </c>
      <c r="Q77" s="3" t="s">
        <v>127</v>
      </c>
      <c r="R77" s="3">
        <v>5</v>
      </c>
      <c r="S77" s="3">
        <v>18238.599999999999</v>
      </c>
      <c r="T77" s="3">
        <v>25</v>
      </c>
      <c r="U77" s="3">
        <v>68394.75</v>
      </c>
      <c r="V77" s="3">
        <v>45283.93</v>
      </c>
      <c r="W77" s="3">
        <v>23110.82</v>
      </c>
      <c r="X77" s="3">
        <v>33.79</v>
      </c>
      <c r="Y77" s="3">
        <v>199</v>
      </c>
      <c r="Z77" s="3" t="s">
        <v>23</v>
      </c>
      <c r="AA77" s="3" t="s">
        <v>672</v>
      </c>
      <c r="AB77" s="3" t="s">
        <v>101</v>
      </c>
      <c r="AC77" s="3"/>
    </row>
    <row r="78" spans="1:29" x14ac:dyDescent="0.3">
      <c r="A78" s="2" t="s">
        <v>780</v>
      </c>
      <c r="B78" s="2" t="s">
        <v>781</v>
      </c>
      <c r="C78" s="2" t="s">
        <v>782</v>
      </c>
      <c r="D78" s="2" t="s">
        <v>783</v>
      </c>
      <c r="E78" s="2" t="s">
        <v>18</v>
      </c>
      <c r="F78" s="2" t="s">
        <v>784</v>
      </c>
      <c r="G78" s="2" t="s">
        <v>785</v>
      </c>
      <c r="H78" s="2" t="s">
        <v>786</v>
      </c>
      <c r="I78" s="2">
        <v>3</v>
      </c>
      <c r="J78" s="2" t="s">
        <v>39</v>
      </c>
      <c r="K78" s="2" t="s">
        <v>193</v>
      </c>
      <c r="L78" s="2" t="s">
        <v>193</v>
      </c>
      <c r="M78" s="2" t="s">
        <v>787</v>
      </c>
      <c r="N78" s="2" t="s">
        <v>788</v>
      </c>
      <c r="O78" s="2" t="s">
        <v>27</v>
      </c>
      <c r="P78" s="2" t="s">
        <v>113</v>
      </c>
      <c r="Q78" s="2" t="s">
        <v>207</v>
      </c>
      <c r="R78" s="2">
        <v>1</v>
      </c>
      <c r="S78" s="2">
        <v>21142.66</v>
      </c>
      <c r="T78" s="2">
        <v>25</v>
      </c>
      <c r="U78" s="2">
        <v>15856.99</v>
      </c>
      <c r="V78" s="2">
        <v>10247.09</v>
      </c>
      <c r="W78" s="2">
        <v>5609.9</v>
      </c>
      <c r="X78" s="2">
        <v>35.380000000000003</v>
      </c>
      <c r="Y78" s="2">
        <v>0</v>
      </c>
      <c r="Z78" s="2" t="s">
        <v>47</v>
      </c>
      <c r="AA78" s="2" t="s">
        <v>100</v>
      </c>
      <c r="AB78" s="2" t="s">
        <v>101</v>
      </c>
      <c r="AC78" s="2">
        <v>1</v>
      </c>
    </row>
    <row r="79" spans="1:29" x14ac:dyDescent="0.3">
      <c r="A79" s="3" t="s">
        <v>789</v>
      </c>
      <c r="B79" s="3" t="s">
        <v>790</v>
      </c>
      <c r="C79" s="3" t="s">
        <v>791</v>
      </c>
      <c r="D79" s="3" t="s">
        <v>792</v>
      </c>
      <c r="E79" s="3" t="s">
        <v>42</v>
      </c>
      <c r="F79" s="3" t="s">
        <v>793</v>
      </c>
      <c r="G79" s="3" t="s">
        <v>794</v>
      </c>
      <c r="H79" s="3" t="s">
        <v>795</v>
      </c>
      <c r="I79" s="3">
        <v>3</v>
      </c>
      <c r="J79" s="3" t="s">
        <v>14</v>
      </c>
      <c r="K79" s="3" t="s">
        <v>95</v>
      </c>
      <c r="L79" s="3" t="s">
        <v>95</v>
      </c>
      <c r="M79" s="3" t="s">
        <v>796</v>
      </c>
      <c r="N79" s="3" t="s">
        <v>616</v>
      </c>
      <c r="O79" s="3" t="s">
        <v>21</v>
      </c>
      <c r="P79" s="3" t="s">
        <v>206</v>
      </c>
      <c r="Q79" s="3" t="s">
        <v>246</v>
      </c>
      <c r="R79" s="3">
        <v>5</v>
      </c>
      <c r="S79" s="3">
        <v>13982.02</v>
      </c>
      <c r="T79" s="3">
        <v>20</v>
      </c>
      <c r="U79" s="3">
        <v>55928.08</v>
      </c>
      <c r="V79" s="3">
        <v>36804.67</v>
      </c>
      <c r="W79" s="3">
        <v>19123.41</v>
      </c>
      <c r="X79" s="3">
        <v>34.19</v>
      </c>
      <c r="Y79" s="3">
        <v>49</v>
      </c>
      <c r="Z79" s="3" t="s">
        <v>23</v>
      </c>
      <c r="AA79" s="3" t="s">
        <v>100</v>
      </c>
      <c r="AB79" s="3" t="s">
        <v>101</v>
      </c>
      <c r="AC79" s="3">
        <v>1</v>
      </c>
    </row>
    <row r="80" spans="1:29" x14ac:dyDescent="0.3">
      <c r="A80" s="2" t="s">
        <v>797</v>
      </c>
      <c r="B80" s="2" t="s">
        <v>798</v>
      </c>
      <c r="C80" s="2" t="s">
        <v>799</v>
      </c>
      <c r="D80" s="2" t="s">
        <v>800</v>
      </c>
      <c r="E80" s="2" t="s">
        <v>42</v>
      </c>
      <c r="F80" s="2" t="s">
        <v>801</v>
      </c>
      <c r="G80" s="2" t="s">
        <v>802</v>
      </c>
      <c r="H80" s="2" t="s">
        <v>803</v>
      </c>
      <c r="I80" s="2">
        <v>3</v>
      </c>
      <c r="J80" s="2" t="s">
        <v>14</v>
      </c>
      <c r="K80" s="2" t="s">
        <v>712</v>
      </c>
      <c r="L80" s="2" t="s">
        <v>712</v>
      </c>
      <c r="M80" s="2" t="s">
        <v>804</v>
      </c>
      <c r="N80" s="2" t="s">
        <v>805</v>
      </c>
      <c r="O80" s="2" t="s">
        <v>28</v>
      </c>
      <c r="P80" s="2" t="s">
        <v>151</v>
      </c>
      <c r="Q80" s="2" t="s">
        <v>114</v>
      </c>
      <c r="R80" s="2">
        <v>1</v>
      </c>
      <c r="S80" s="2">
        <v>12465.16</v>
      </c>
      <c r="T80" s="2">
        <v>0</v>
      </c>
      <c r="U80" s="2">
        <v>12465.16</v>
      </c>
      <c r="V80" s="2">
        <v>8675.69</v>
      </c>
      <c r="W80" s="2">
        <v>3789.47</v>
      </c>
      <c r="X80" s="2">
        <v>30.4</v>
      </c>
      <c r="Y80" s="2">
        <v>49</v>
      </c>
      <c r="Z80" s="2" t="s">
        <v>48</v>
      </c>
      <c r="AA80" s="2" t="s">
        <v>100</v>
      </c>
      <c r="AB80" s="2" t="s">
        <v>101</v>
      </c>
      <c r="AC80" s="2">
        <v>3</v>
      </c>
    </row>
    <row r="81" spans="1:29" x14ac:dyDescent="0.3">
      <c r="A81" s="3" t="s">
        <v>806</v>
      </c>
      <c r="B81" s="3" t="s">
        <v>807</v>
      </c>
      <c r="C81" s="3" t="s">
        <v>536</v>
      </c>
      <c r="D81" s="3" t="s">
        <v>808</v>
      </c>
      <c r="E81" s="3" t="s">
        <v>33</v>
      </c>
      <c r="F81" s="3" t="s">
        <v>809</v>
      </c>
      <c r="G81" s="3" t="s">
        <v>810</v>
      </c>
      <c r="H81" s="3" t="s">
        <v>811</v>
      </c>
      <c r="I81" s="3">
        <v>7</v>
      </c>
      <c r="J81" s="3" t="s">
        <v>22</v>
      </c>
      <c r="K81" s="3" t="s">
        <v>122</v>
      </c>
      <c r="L81" s="3" t="s">
        <v>812</v>
      </c>
      <c r="M81" s="3" t="s">
        <v>813</v>
      </c>
      <c r="N81" s="3" t="s">
        <v>508</v>
      </c>
      <c r="O81" s="3" t="s">
        <v>19</v>
      </c>
      <c r="P81" s="3" t="s">
        <v>365</v>
      </c>
      <c r="Q81" s="3" t="s">
        <v>197</v>
      </c>
      <c r="R81" s="3">
        <v>1</v>
      </c>
      <c r="S81" s="3">
        <v>31248.52</v>
      </c>
      <c r="T81" s="3">
        <v>0</v>
      </c>
      <c r="U81" s="3">
        <v>31248.52</v>
      </c>
      <c r="V81" s="3">
        <v>21291.24</v>
      </c>
      <c r="W81" s="3">
        <v>9957.2800000000007</v>
      </c>
      <c r="X81" s="3">
        <v>31.86</v>
      </c>
      <c r="Y81" s="3">
        <v>149</v>
      </c>
      <c r="Z81" s="3" t="s">
        <v>47</v>
      </c>
      <c r="AA81" s="3" t="s">
        <v>100</v>
      </c>
      <c r="AB81" s="3" t="s">
        <v>101</v>
      </c>
      <c r="AC81" s="3"/>
    </row>
    <row r="82" spans="1:29" x14ac:dyDescent="0.3">
      <c r="A82" s="2" t="s">
        <v>814</v>
      </c>
      <c r="B82" s="2" t="s">
        <v>815</v>
      </c>
      <c r="C82" s="2" t="s">
        <v>816</v>
      </c>
      <c r="D82" s="2" t="s">
        <v>817</v>
      </c>
      <c r="E82" s="2" t="s">
        <v>26</v>
      </c>
      <c r="F82" s="2" t="s">
        <v>818</v>
      </c>
      <c r="G82" s="2" t="s">
        <v>819</v>
      </c>
      <c r="H82" s="2" t="s">
        <v>820</v>
      </c>
      <c r="I82" s="2">
        <v>4</v>
      </c>
      <c r="J82" s="2" t="s">
        <v>29</v>
      </c>
      <c r="K82" s="2" t="s">
        <v>148</v>
      </c>
      <c r="L82" s="2" t="s">
        <v>148</v>
      </c>
      <c r="M82" s="2" t="s">
        <v>821</v>
      </c>
      <c r="N82" s="2" t="s">
        <v>592</v>
      </c>
      <c r="O82" s="2" t="s">
        <v>21</v>
      </c>
      <c r="P82" s="2" t="s">
        <v>206</v>
      </c>
      <c r="Q82" s="2" t="s">
        <v>152</v>
      </c>
      <c r="R82" s="2">
        <v>1</v>
      </c>
      <c r="S82" s="2">
        <v>33573.61</v>
      </c>
      <c r="T82" s="2">
        <v>20</v>
      </c>
      <c r="U82" s="2">
        <v>26858.89</v>
      </c>
      <c r="V82" s="2">
        <v>13876.53</v>
      </c>
      <c r="W82" s="2">
        <v>12982.36</v>
      </c>
      <c r="X82" s="2">
        <v>48.34</v>
      </c>
      <c r="Y82" s="2">
        <v>29</v>
      </c>
      <c r="Z82" s="2" t="s">
        <v>30</v>
      </c>
      <c r="AA82" s="2" t="s">
        <v>100</v>
      </c>
      <c r="AB82" s="2" t="s">
        <v>101</v>
      </c>
      <c r="AC82" s="2"/>
    </row>
    <row r="83" spans="1:29" x14ac:dyDescent="0.3">
      <c r="A83" s="3" t="s">
        <v>822</v>
      </c>
      <c r="B83" s="3" t="s">
        <v>823</v>
      </c>
      <c r="C83" s="3" t="s">
        <v>495</v>
      </c>
      <c r="D83" s="3" t="s">
        <v>824</v>
      </c>
      <c r="E83" s="3" t="s">
        <v>33</v>
      </c>
      <c r="F83" s="3" t="s">
        <v>763</v>
      </c>
      <c r="G83" s="3" t="s">
        <v>825</v>
      </c>
      <c r="H83" s="3" t="s">
        <v>826</v>
      </c>
      <c r="I83" s="3">
        <v>7</v>
      </c>
      <c r="J83" s="3" t="s">
        <v>14</v>
      </c>
      <c r="K83" s="3" t="s">
        <v>215</v>
      </c>
      <c r="L83" s="3" t="s">
        <v>215</v>
      </c>
      <c r="M83" s="3" t="s">
        <v>827</v>
      </c>
      <c r="N83" s="3" t="s">
        <v>364</v>
      </c>
      <c r="O83" s="3" t="s">
        <v>19</v>
      </c>
      <c r="P83" s="3" t="s">
        <v>365</v>
      </c>
      <c r="Q83" s="3" t="s">
        <v>99</v>
      </c>
      <c r="R83" s="3">
        <v>1</v>
      </c>
      <c r="S83" s="3">
        <v>33373.449999999997</v>
      </c>
      <c r="T83" s="3">
        <v>30</v>
      </c>
      <c r="U83" s="3">
        <v>23361.41</v>
      </c>
      <c r="V83" s="3">
        <v>13498.07</v>
      </c>
      <c r="W83" s="3">
        <v>9863.34</v>
      </c>
      <c r="X83" s="3">
        <v>42.22</v>
      </c>
      <c r="Y83" s="3">
        <v>199</v>
      </c>
      <c r="Z83" s="3" t="s">
        <v>47</v>
      </c>
      <c r="AA83" s="3" t="s">
        <v>186</v>
      </c>
      <c r="AB83" s="3" t="s">
        <v>101</v>
      </c>
      <c r="AC83" s="3"/>
    </row>
    <row r="84" spans="1:29" x14ac:dyDescent="0.3">
      <c r="A84" s="2" t="s">
        <v>828</v>
      </c>
      <c r="B84" s="2" t="s">
        <v>829</v>
      </c>
      <c r="C84" s="2" t="s">
        <v>680</v>
      </c>
      <c r="D84" s="2" t="s">
        <v>830</v>
      </c>
      <c r="E84" s="2" t="s">
        <v>42</v>
      </c>
      <c r="F84" s="2" t="s">
        <v>831</v>
      </c>
      <c r="G84" s="2" t="s">
        <v>832</v>
      </c>
      <c r="H84" s="2" t="s">
        <v>833</v>
      </c>
      <c r="I84" s="2">
        <v>8</v>
      </c>
      <c r="J84" s="2" t="s">
        <v>29</v>
      </c>
      <c r="K84" s="2" t="s">
        <v>834</v>
      </c>
      <c r="L84" s="2" t="s">
        <v>835</v>
      </c>
      <c r="M84" s="2" t="s">
        <v>836</v>
      </c>
      <c r="N84" s="2" t="s">
        <v>837</v>
      </c>
      <c r="O84" s="2" t="s">
        <v>27</v>
      </c>
      <c r="P84" s="2" t="s">
        <v>257</v>
      </c>
      <c r="Q84" s="2" t="s">
        <v>138</v>
      </c>
      <c r="R84" s="2">
        <v>4</v>
      </c>
      <c r="S84" s="2">
        <v>3554.04</v>
      </c>
      <c r="T84" s="2">
        <v>10</v>
      </c>
      <c r="U84" s="2">
        <v>12794.54</v>
      </c>
      <c r="V84" s="2">
        <v>7120.7</v>
      </c>
      <c r="W84" s="2">
        <v>5673.84</v>
      </c>
      <c r="X84" s="2">
        <v>44.35</v>
      </c>
      <c r="Y84" s="2">
        <v>49</v>
      </c>
      <c r="Z84" s="2" t="s">
        <v>43</v>
      </c>
      <c r="AA84" s="2" t="s">
        <v>672</v>
      </c>
      <c r="AB84" s="2" t="s">
        <v>101</v>
      </c>
      <c r="AC84" s="2"/>
    </row>
    <row r="85" spans="1:29" x14ac:dyDescent="0.3">
      <c r="A85" s="3" t="s">
        <v>838</v>
      </c>
      <c r="B85" s="3" t="s">
        <v>839</v>
      </c>
      <c r="C85" s="3" t="s">
        <v>840</v>
      </c>
      <c r="D85" s="3" t="s">
        <v>841</v>
      </c>
      <c r="E85" s="3" t="s">
        <v>18</v>
      </c>
      <c r="F85" s="3" t="s">
        <v>92</v>
      </c>
      <c r="G85" s="3" t="s">
        <v>842</v>
      </c>
      <c r="H85" s="3" t="s">
        <v>843</v>
      </c>
      <c r="I85" s="3">
        <v>6</v>
      </c>
      <c r="J85" s="3" t="s">
        <v>39</v>
      </c>
      <c r="K85" s="3" t="s">
        <v>109</v>
      </c>
      <c r="L85" s="3" t="s">
        <v>344</v>
      </c>
      <c r="M85" s="3" t="s">
        <v>844</v>
      </c>
      <c r="N85" s="3" t="s">
        <v>788</v>
      </c>
      <c r="O85" s="3" t="s">
        <v>27</v>
      </c>
      <c r="P85" s="3" t="s">
        <v>113</v>
      </c>
      <c r="Q85" s="3" t="s">
        <v>466</v>
      </c>
      <c r="R85" s="3">
        <v>1</v>
      </c>
      <c r="S85" s="3">
        <v>28674.880000000001</v>
      </c>
      <c r="T85" s="3">
        <v>0</v>
      </c>
      <c r="U85" s="3">
        <v>28674.880000000001</v>
      </c>
      <c r="V85" s="3">
        <v>18055.38</v>
      </c>
      <c r="W85" s="3">
        <v>10619.5</v>
      </c>
      <c r="X85" s="3">
        <v>37.03</v>
      </c>
      <c r="Y85" s="3">
        <v>199</v>
      </c>
      <c r="Z85" s="3" t="s">
        <v>23</v>
      </c>
      <c r="AA85" s="3" t="s">
        <v>100</v>
      </c>
      <c r="AB85" s="3" t="s">
        <v>101</v>
      </c>
      <c r="AC85" s="3">
        <v>1</v>
      </c>
    </row>
    <row r="86" spans="1:29" x14ac:dyDescent="0.3">
      <c r="A86" s="2" t="s">
        <v>845</v>
      </c>
      <c r="B86" s="2" t="s">
        <v>846</v>
      </c>
      <c r="C86" s="2" t="s">
        <v>847</v>
      </c>
      <c r="D86" s="2" t="s">
        <v>848</v>
      </c>
      <c r="E86" s="2" t="s">
        <v>33</v>
      </c>
      <c r="F86" s="2" t="s">
        <v>755</v>
      </c>
      <c r="G86" s="2" t="s">
        <v>849</v>
      </c>
      <c r="H86" s="2" t="s">
        <v>850</v>
      </c>
      <c r="I86" s="2">
        <v>5</v>
      </c>
      <c r="J86" s="2" t="s">
        <v>14</v>
      </c>
      <c r="K86" s="2" t="s">
        <v>171</v>
      </c>
      <c r="L86" s="2" t="s">
        <v>407</v>
      </c>
      <c r="M86" s="2" t="s">
        <v>851</v>
      </c>
      <c r="N86" s="2" t="s">
        <v>852</v>
      </c>
      <c r="O86" s="2" t="s">
        <v>27</v>
      </c>
      <c r="P86" s="2" t="s">
        <v>175</v>
      </c>
      <c r="Q86" s="2" t="s">
        <v>466</v>
      </c>
      <c r="R86" s="2">
        <v>4</v>
      </c>
      <c r="S86" s="2">
        <v>470.64</v>
      </c>
      <c r="T86" s="2">
        <v>5</v>
      </c>
      <c r="U86" s="2">
        <v>1788.43</v>
      </c>
      <c r="V86" s="2">
        <v>1021.93</v>
      </c>
      <c r="W86" s="2">
        <v>766.5</v>
      </c>
      <c r="X86" s="2">
        <v>42.86</v>
      </c>
      <c r="Y86" s="2">
        <v>199</v>
      </c>
      <c r="Z86" s="2" t="s">
        <v>23</v>
      </c>
      <c r="AA86" s="2" t="s">
        <v>100</v>
      </c>
      <c r="AB86" s="2" t="s">
        <v>101</v>
      </c>
      <c r="AC86" s="2"/>
    </row>
    <row r="87" spans="1:29" x14ac:dyDescent="0.3">
      <c r="A87" s="3" t="s">
        <v>853</v>
      </c>
      <c r="B87" s="3" t="s">
        <v>854</v>
      </c>
      <c r="C87" s="3" t="s">
        <v>855</v>
      </c>
      <c r="D87" s="3" t="s">
        <v>856</v>
      </c>
      <c r="E87" s="3" t="s">
        <v>42</v>
      </c>
      <c r="F87" s="3" t="s">
        <v>857</v>
      </c>
      <c r="G87" s="3" t="s">
        <v>858</v>
      </c>
      <c r="H87" s="3" t="s">
        <v>859</v>
      </c>
      <c r="I87" s="3">
        <v>4</v>
      </c>
      <c r="J87" s="3" t="s">
        <v>22</v>
      </c>
      <c r="K87" s="3" t="s">
        <v>254</v>
      </c>
      <c r="L87" s="3" t="s">
        <v>254</v>
      </c>
      <c r="M87" s="3" t="s">
        <v>860</v>
      </c>
      <c r="N87" s="3" t="s">
        <v>195</v>
      </c>
      <c r="O87" s="3" t="s">
        <v>21</v>
      </c>
      <c r="P87" s="3" t="s">
        <v>196</v>
      </c>
      <c r="Q87" s="3" t="s">
        <v>127</v>
      </c>
      <c r="R87" s="3">
        <v>3</v>
      </c>
      <c r="S87" s="3">
        <v>22465.86</v>
      </c>
      <c r="T87" s="3">
        <v>25</v>
      </c>
      <c r="U87" s="3">
        <v>50548.18</v>
      </c>
      <c r="V87" s="3">
        <v>26519.71</v>
      </c>
      <c r="W87" s="3">
        <v>24028.47</v>
      </c>
      <c r="X87" s="3">
        <v>47.54</v>
      </c>
      <c r="Y87" s="3">
        <v>49</v>
      </c>
      <c r="Z87" s="3" t="s">
        <v>30</v>
      </c>
      <c r="AA87" s="3" t="s">
        <v>275</v>
      </c>
      <c r="AB87" s="3" t="s">
        <v>101</v>
      </c>
      <c r="AC87" s="3"/>
    </row>
    <row r="88" spans="1:29" x14ac:dyDescent="0.3">
      <c r="A88" s="2" t="s">
        <v>861</v>
      </c>
      <c r="B88" s="2" t="s">
        <v>862</v>
      </c>
      <c r="C88" s="2" t="s">
        <v>863</v>
      </c>
      <c r="D88" s="2" t="s">
        <v>864</v>
      </c>
      <c r="E88" s="2" t="s">
        <v>33</v>
      </c>
      <c r="F88" s="2" t="s">
        <v>865</v>
      </c>
      <c r="G88" s="2" t="s">
        <v>866</v>
      </c>
      <c r="H88" s="2" t="s">
        <v>573</v>
      </c>
      <c r="I88" s="2">
        <v>7</v>
      </c>
      <c r="J88" s="2" t="s">
        <v>29</v>
      </c>
      <c r="K88" s="2" t="s">
        <v>148</v>
      </c>
      <c r="L88" s="2" t="s">
        <v>148</v>
      </c>
      <c r="M88" s="2" t="s">
        <v>867</v>
      </c>
      <c r="N88" s="2" t="s">
        <v>551</v>
      </c>
      <c r="O88" s="2" t="s">
        <v>13</v>
      </c>
      <c r="P88" s="2" t="s">
        <v>98</v>
      </c>
      <c r="Q88" s="2" t="s">
        <v>246</v>
      </c>
      <c r="R88" s="2">
        <v>4</v>
      </c>
      <c r="S88" s="2">
        <v>31232.37</v>
      </c>
      <c r="T88" s="2">
        <v>0</v>
      </c>
      <c r="U88" s="2">
        <v>124929.48</v>
      </c>
      <c r="V88" s="2">
        <v>60259.29</v>
      </c>
      <c r="W88" s="2">
        <v>64670.19</v>
      </c>
      <c r="X88" s="2">
        <v>51.77</v>
      </c>
      <c r="Y88" s="2">
        <v>99</v>
      </c>
      <c r="Z88" s="2" t="s">
        <v>15</v>
      </c>
      <c r="AA88" s="2" t="s">
        <v>100</v>
      </c>
      <c r="AB88" s="2" t="s">
        <v>101</v>
      </c>
      <c r="AC88" s="2"/>
    </row>
    <row r="89" spans="1:29" x14ac:dyDescent="0.3">
      <c r="A89" s="3" t="s">
        <v>868</v>
      </c>
      <c r="B89" s="3" t="s">
        <v>869</v>
      </c>
      <c r="C89" s="3" t="s">
        <v>870</v>
      </c>
      <c r="D89" s="3" t="s">
        <v>871</v>
      </c>
      <c r="E89" s="3" t="s">
        <v>33</v>
      </c>
      <c r="F89" s="3" t="s">
        <v>872</v>
      </c>
      <c r="G89" s="3" t="s">
        <v>873</v>
      </c>
      <c r="H89" s="3" t="s">
        <v>874</v>
      </c>
      <c r="I89" s="3">
        <v>5</v>
      </c>
      <c r="J89" s="3" t="s">
        <v>22</v>
      </c>
      <c r="K89" s="3" t="s">
        <v>122</v>
      </c>
      <c r="L89" s="3" t="s">
        <v>812</v>
      </c>
      <c r="M89" s="3" t="s">
        <v>875</v>
      </c>
      <c r="N89" s="3" t="s">
        <v>837</v>
      </c>
      <c r="O89" s="3" t="s">
        <v>27</v>
      </c>
      <c r="P89" s="3" t="s">
        <v>257</v>
      </c>
      <c r="Q89" s="3" t="s">
        <v>287</v>
      </c>
      <c r="R89" s="3">
        <v>3</v>
      </c>
      <c r="S89" s="3">
        <v>21799.99</v>
      </c>
      <c r="T89" s="3">
        <v>25</v>
      </c>
      <c r="U89" s="3">
        <v>49049.98</v>
      </c>
      <c r="V89" s="3">
        <v>27550.13</v>
      </c>
      <c r="W89" s="3">
        <v>21499.85</v>
      </c>
      <c r="X89" s="3">
        <v>43.83</v>
      </c>
      <c r="Y89" s="3">
        <v>199</v>
      </c>
      <c r="Z89" s="3" t="s">
        <v>48</v>
      </c>
      <c r="AA89" s="3" t="s">
        <v>100</v>
      </c>
      <c r="AB89" s="3" t="s">
        <v>101</v>
      </c>
      <c r="AC89" s="3">
        <v>2</v>
      </c>
    </row>
    <row r="90" spans="1:29" x14ac:dyDescent="0.3">
      <c r="A90" s="2" t="s">
        <v>876</v>
      </c>
      <c r="B90" s="2" t="s">
        <v>877</v>
      </c>
      <c r="C90" s="2" t="s">
        <v>666</v>
      </c>
      <c r="D90" s="2" t="s">
        <v>878</v>
      </c>
      <c r="E90" s="2" t="s">
        <v>18</v>
      </c>
      <c r="F90" s="2" t="s">
        <v>879</v>
      </c>
      <c r="G90" s="2" t="s">
        <v>702</v>
      </c>
      <c r="H90" s="2" t="s">
        <v>880</v>
      </c>
      <c r="I90" s="2">
        <v>7</v>
      </c>
      <c r="J90" s="2" t="s">
        <v>14</v>
      </c>
      <c r="K90" s="2" t="s">
        <v>183</v>
      </c>
      <c r="L90" s="2" t="s">
        <v>183</v>
      </c>
      <c r="M90" s="2" t="s">
        <v>881</v>
      </c>
      <c r="N90" s="2" t="s">
        <v>174</v>
      </c>
      <c r="O90" s="2" t="s">
        <v>27</v>
      </c>
      <c r="P90" s="2" t="s">
        <v>175</v>
      </c>
      <c r="Q90" s="2" t="s">
        <v>114</v>
      </c>
      <c r="R90" s="2">
        <v>2</v>
      </c>
      <c r="S90" s="2">
        <v>2472.7399999999998</v>
      </c>
      <c r="T90" s="2">
        <v>25</v>
      </c>
      <c r="U90" s="2">
        <v>3709.11</v>
      </c>
      <c r="V90" s="2">
        <v>2034.04</v>
      </c>
      <c r="W90" s="2">
        <v>1675.07</v>
      </c>
      <c r="X90" s="2">
        <v>45.16</v>
      </c>
      <c r="Y90" s="2">
        <v>99</v>
      </c>
      <c r="Z90" s="2" t="s">
        <v>40</v>
      </c>
      <c r="AA90" s="2" t="s">
        <v>100</v>
      </c>
      <c r="AB90" s="2" t="s">
        <v>101</v>
      </c>
      <c r="AC90" s="2">
        <v>1</v>
      </c>
    </row>
    <row r="91" spans="1:29" x14ac:dyDescent="0.3">
      <c r="A91" s="3" t="s">
        <v>882</v>
      </c>
      <c r="B91" s="3" t="s">
        <v>883</v>
      </c>
      <c r="C91" s="3" t="s">
        <v>422</v>
      </c>
      <c r="D91" s="3" t="s">
        <v>884</v>
      </c>
      <c r="E91" s="3" t="s">
        <v>18</v>
      </c>
      <c r="F91" s="3" t="s">
        <v>885</v>
      </c>
      <c r="G91" s="3" t="s">
        <v>886</v>
      </c>
      <c r="H91" s="3" t="s">
        <v>887</v>
      </c>
      <c r="I91" s="3">
        <v>4</v>
      </c>
      <c r="J91" s="3" t="s">
        <v>22</v>
      </c>
      <c r="K91" s="3" t="s">
        <v>738</v>
      </c>
      <c r="L91" s="3" t="s">
        <v>738</v>
      </c>
      <c r="M91" s="3" t="s">
        <v>888</v>
      </c>
      <c r="N91" s="3" t="s">
        <v>889</v>
      </c>
      <c r="O91" s="3" t="s">
        <v>27</v>
      </c>
      <c r="P91" s="3" t="s">
        <v>257</v>
      </c>
      <c r="Q91" s="3" t="s">
        <v>400</v>
      </c>
      <c r="R91" s="3">
        <v>5</v>
      </c>
      <c r="S91" s="3">
        <v>3654.44</v>
      </c>
      <c r="T91" s="3">
        <v>10</v>
      </c>
      <c r="U91" s="3">
        <v>16444.98</v>
      </c>
      <c r="V91" s="3">
        <v>10621.11</v>
      </c>
      <c r="W91" s="3">
        <v>5823.87</v>
      </c>
      <c r="X91" s="3">
        <v>35.409999999999997</v>
      </c>
      <c r="Y91" s="3">
        <v>49</v>
      </c>
      <c r="Z91" s="3" t="s">
        <v>43</v>
      </c>
      <c r="AA91" s="3" t="s">
        <v>100</v>
      </c>
      <c r="AB91" s="3" t="s">
        <v>140</v>
      </c>
      <c r="AC91" s="3"/>
    </row>
    <row r="92" spans="1:29" x14ac:dyDescent="0.3">
      <c r="A92" s="2" t="s">
        <v>890</v>
      </c>
      <c r="B92" s="2" t="s">
        <v>891</v>
      </c>
      <c r="C92" s="2" t="s">
        <v>863</v>
      </c>
      <c r="D92" s="2" t="s">
        <v>892</v>
      </c>
      <c r="E92" s="2" t="s">
        <v>33</v>
      </c>
      <c r="F92" s="2" t="s">
        <v>893</v>
      </c>
      <c r="G92" s="2" t="s">
        <v>894</v>
      </c>
      <c r="H92" s="2" t="s">
        <v>380</v>
      </c>
      <c r="I92" s="2">
        <v>3</v>
      </c>
      <c r="J92" s="2" t="s">
        <v>39</v>
      </c>
      <c r="K92" s="2" t="s">
        <v>225</v>
      </c>
      <c r="L92" s="2" t="s">
        <v>225</v>
      </c>
      <c r="M92" s="2" t="s">
        <v>895</v>
      </c>
      <c r="N92" s="2" t="s">
        <v>97</v>
      </c>
      <c r="O92" s="2" t="s">
        <v>13</v>
      </c>
      <c r="P92" s="2" t="s">
        <v>98</v>
      </c>
      <c r="Q92" s="2" t="s">
        <v>246</v>
      </c>
      <c r="R92" s="2">
        <v>5</v>
      </c>
      <c r="S92" s="2">
        <v>39607.14</v>
      </c>
      <c r="T92" s="2">
        <v>10</v>
      </c>
      <c r="U92" s="2">
        <v>178232.13</v>
      </c>
      <c r="V92" s="2">
        <v>112811.89</v>
      </c>
      <c r="W92" s="2">
        <v>65420.24</v>
      </c>
      <c r="X92" s="2">
        <v>36.71</v>
      </c>
      <c r="Y92" s="2">
        <v>149</v>
      </c>
      <c r="Z92" s="2" t="s">
        <v>47</v>
      </c>
      <c r="AA92" s="2" t="s">
        <v>100</v>
      </c>
      <c r="AB92" s="2" t="s">
        <v>140</v>
      </c>
      <c r="AC92" s="2">
        <v>4</v>
      </c>
    </row>
    <row r="93" spans="1:29" x14ac:dyDescent="0.3">
      <c r="A93" s="3" t="s">
        <v>896</v>
      </c>
      <c r="B93" s="3" t="s">
        <v>897</v>
      </c>
      <c r="C93" s="3" t="s">
        <v>716</v>
      </c>
      <c r="D93" s="3" t="s">
        <v>898</v>
      </c>
      <c r="E93" s="3" t="s">
        <v>33</v>
      </c>
      <c r="F93" s="3" t="s">
        <v>872</v>
      </c>
      <c r="G93" s="3" t="s">
        <v>899</v>
      </c>
      <c r="H93" s="3" t="s">
        <v>900</v>
      </c>
      <c r="I93" s="3">
        <v>6</v>
      </c>
      <c r="J93" s="3" t="s">
        <v>29</v>
      </c>
      <c r="K93" s="3" t="s">
        <v>834</v>
      </c>
      <c r="L93" s="3" t="s">
        <v>901</v>
      </c>
      <c r="M93" s="3" t="s">
        <v>902</v>
      </c>
      <c r="N93" s="3" t="s">
        <v>648</v>
      </c>
      <c r="O93" s="3" t="s">
        <v>27</v>
      </c>
      <c r="P93" s="3" t="s">
        <v>113</v>
      </c>
      <c r="Q93" s="3" t="s">
        <v>138</v>
      </c>
      <c r="R93" s="3">
        <v>5</v>
      </c>
      <c r="S93" s="3">
        <v>2024.16</v>
      </c>
      <c r="T93" s="3">
        <v>15</v>
      </c>
      <c r="U93" s="3">
        <v>8602.68</v>
      </c>
      <c r="V93" s="3">
        <v>5166.8500000000004</v>
      </c>
      <c r="W93" s="3">
        <v>3435.83</v>
      </c>
      <c r="X93" s="3">
        <v>39.94</v>
      </c>
      <c r="Y93" s="3">
        <v>199</v>
      </c>
      <c r="Z93" s="3" t="s">
        <v>15</v>
      </c>
      <c r="AA93" s="3" t="s">
        <v>100</v>
      </c>
      <c r="AB93" s="3" t="s">
        <v>101</v>
      </c>
      <c r="AC93" s="3">
        <v>2</v>
      </c>
    </row>
    <row r="94" spans="1:29" x14ac:dyDescent="0.3">
      <c r="A94" s="2" t="s">
        <v>903</v>
      </c>
      <c r="B94" s="2" t="s">
        <v>904</v>
      </c>
      <c r="C94" s="2" t="s">
        <v>603</v>
      </c>
      <c r="D94" s="2" t="s">
        <v>905</v>
      </c>
      <c r="E94" s="2" t="s">
        <v>26</v>
      </c>
      <c r="F94" s="2" t="s">
        <v>906</v>
      </c>
      <c r="G94" s="2" t="s">
        <v>907</v>
      </c>
      <c r="H94" s="2" t="s">
        <v>908</v>
      </c>
      <c r="I94" s="2">
        <v>2</v>
      </c>
      <c r="J94" s="2" t="s">
        <v>22</v>
      </c>
      <c r="K94" s="2" t="s">
        <v>738</v>
      </c>
      <c r="L94" s="2" t="s">
        <v>738</v>
      </c>
      <c r="M94" s="2" t="s">
        <v>909</v>
      </c>
      <c r="N94" s="2" t="s">
        <v>286</v>
      </c>
      <c r="O94" s="2" t="s">
        <v>28</v>
      </c>
      <c r="P94" s="2" t="s">
        <v>137</v>
      </c>
      <c r="Q94" s="2" t="s">
        <v>138</v>
      </c>
      <c r="R94" s="2">
        <v>1</v>
      </c>
      <c r="S94" s="2">
        <v>16943.009999999998</v>
      </c>
      <c r="T94" s="2">
        <v>0</v>
      </c>
      <c r="U94" s="2">
        <v>16943.009999999998</v>
      </c>
      <c r="V94" s="2">
        <v>9484.66</v>
      </c>
      <c r="W94" s="2">
        <v>7458.35</v>
      </c>
      <c r="X94" s="2">
        <v>44.02</v>
      </c>
      <c r="Y94" s="2">
        <v>0</v>
      </c>
      <c r="Z94" s="2" t="s">
        <v>40</v>
      </c>
      <c r="AA94" s="2" t="s">
        <v>100</v>
      </c>
      <c r="AB94" s="2" t="s">
        <v>101</v>
      </c>
      <c r="AC94" s="2">
        <v>5</v>
      </c>
    </row>
    <row r="95" spans="1:29" x14ac:dyDescent="0.3">
      <c r="A95" s="3" t="s">
        <v>910</v>
      </c>
      <c r="B95" s="3" t="s">
        <v>911</v>
      </c>
      <c r="C95" s="3" t="s">
        <v>912</v>
      </c>
      <c r="D95" s="3" t="s">
        <v>913</v>
      </c>
      <c r="E95" s="3" t="s">
        <v>33</v>
      </c>
      <c r="F95" s="3" t="s">
        <v>819</v>
      </c>
      <c r="G95" s="3" t="s">
        <v>914</v>
      </c>
      <c r="H95" s="3" t="s">
        <v>820</v>
      </c>
      <c r="I95" s="3">
        <v>2</v>
      </c>
      <c r="J95" s="3" t="s">
        <v>22</v>
      </c>
      <c r="K95" s="3" t="s">
        <v>283</v>
      </c>
      <c r="L95" s="3" t="s">
        <v>748</v>
      </c>
      <c r="M95" s="3" t="s">
        <v>915</v>
      </c>
      <c r="N95" s="3" t="s">
        <v>533</v>
      </c>
      <c r="O95" s="3" t="s">
        <v>19</v>
      </c>
      <c r="P95" s="3" t="s">
        <v>297</v>
      </c>
      <c r="Q95" s="3" t="s">
        <v>466</v>
      </c>
      <c r="R95" s="3">
        <v>5</v>
      </c>
      <c r="S95" s="3">
        <v>22955.4</v>
      </c>
      <c r="T95" s="3">
        <v>15</v>
      </c>
      <c r="U95" s="3">
        <v>97560.45</v>
      </c>
      <c r="V95" s="3">
        <v>45314.65</v>
      </c>
      <c r="W95" s="3">
        <v>52245.8</v>
      </c>
      <c r="X95" s="3">
        <v>53.55</v>
      </c>
      <c r="Y95" s="3">
        <v>49</v>
      </c>
      <c r="Z95" s="3" t="s">
        <v>43</v>
      </c>
      <c r="AA95" s="3" t="s">
        <v>100</v>
      </c>
      <c r="AB95" s="3" t="s">
        <v>101</v>
      </c>
      <c r="AC95" s="3">
        <v>3</v>
      </c>
    </row>
    <row r="96" spans="1:29" x14ac:dyDescent="0.3">
      <c r="A96" s="2" t="s">
        <v>916</v>
      </c>
      <c r="B96" s="2" t="s">
        <v>917</v>
      </c>
      <c r="C96" s="2" t="s">
        <v>918</v>
      </c>
      <c r="D96" s="2" t="s">
        <v>919</v>
      </c>
      <c r="E96" s="2" t="s">
        <v>42</v>
      </c>
      <c r="F96" s="2" t="s">
        <v>920</v>
      </c>
      <c r="G96" s="2" t="s">
        <v>921</v>
      </c>
      <c r="H96" s="2" t="s">
        <v>922</v>
      </c>
      <c r="I96" s="2">
        <v>7</v>
      </c>
      <c r="J96" s="2" t="s">
        <v>29</v>
      </c>
      <c r="K96" s="2" t="s">
        <v>834</v>
      </c>
      <c r="L96" s="2" t="s">
        <v>835</v>
      </c>
      <c r="M96" s="2" t="s">
        <v>923</v>
      </c>
      <c r="N96" s="2" t="s">
        <v>924</v>
      </c>
      <c r="O96" s="2" t="s">
        <v>13</v>
      </c>
      <c r="P96" s="2" t="s">
        <v>228</v>
      </c>
      <c r="Q96" s="2" t="s">
        <v>138</v>
      </c>
      <c r="R96" s="2">
        <v>2</v>
      </c>
      <c r="S96" s="2">
        <v>25449</v>
      </c>
      <c r="T96" s="2">
        <v>30</v>
      </c>
      <c r="U96" s="2">
        <v>35628.6</v>
      </c>
      <c r="V96" s="2">
        <v>16632.419999999998</v>
      </c>
      <c r="W96" s="2">
        <v>18996.18</v>
      </c>
      <c r="X96" s="2">
        <v>53.32</v>
      </c>
      <c r="Y96" s="2">
        <v>0</v>
      </c>
      <c r="Z96" s="2" t="s">
        <v>43</v>
      </c>
      <c r="AA96" s="2" t="s">
        <v>100</v>
      </c>
      <c r="AB96" s="2" t="s">
        <v>101</v>
      </c>
      <c r="AC96" s="2">
        <v>5</v>
      </c>
    </row>
    <row r="97" spans="1:29" x14ac:dyDescent="0.3">
      <c r="A97" s="3" t="s">
        <v>925</v>
      </c>
      <c r="B97" s="3" t="s">
        <v>926</v>
      </c>
      <c r="C97" s="3" t="s">
        <v>155</v>
      </c>
      <c r="D97" s="3" t="s">
        <v>927</v>
      </c>
      <c r="E97" s="3" t="s">
        <v>26</v>
      </c>
      <c r="F97" s="3" t="s">
        <v>820</v>
      </c>
      <c r="G97" s="3" t="s">
        <v>928</v>
      </c>
      <c r="H97" s="3" t="s">
        <v>929</v>
      </c>
      <c r="I97" s="3">
        <v>4</v>
      </c>
      <c r="J97" s="3" t="s">
        <v>14</v>
      </c>
      <c r="K97" s="3" t="s">
        <v>215</v>
      </c>
      <c r="L97" s="3" t="s">
        <v>215</v>
      </c>
      <c r="M97" s="3" t="s">
        <v>930</v>
      </c>
      <c r="N97" s="3" t="s">
        <v>931</v>
      </c>
      <c r="O97" s="3" t="s">
        <v>13</v>
      </c>
      <c r="P97" s="3" t="s">
        <v>419</v>
      </c>
      <c r="Q97" s="3" t="s">
        <v>218</v>
      </c>
      <c r="R97" s="3">
        <v>5</v>
      </c>
      <c r="S97" s="3">
        <v>49623.05</v>
      </c>
      <c r="T97" s="3">
        <v>0</v>
      </c>
      <c r="U97" s="3">
        <v>248115.25</v>
      </c>
      <c r="V97" s="3">
        <v>166799.84</v>
      </c>
      <c r="W97" s="3">
        <v>81315.41</v>
      </c>
      <c r="X97" s="3">
        <v>32.770000000000003</v>
      </c>
      <c r="Y97" s="3">
        <v>149</v>
      </c>
      <c r="Z97" s="3" t="s">
        <v>43</v>
      </c>
      <c r="AA97" s="3" t="s">
        <v>275</v>
      </c>
      <c r="AB97" s="3" t="s">
        <v>101</v>
      </c>
      <c r="AC97" s="3"/>
    </row>
    <row r="98" spans="1:29" x14ac:dyDescent="0.3">
      <c r="A98" s="2" t="s">
        <v>932</v>
      </c>
      <c r="B98" s="2" t="s">
        <v>933</v>
      </c>
      <c r="C98" s="2" t="s">
        <v>934</v>
      </c>
      <c r="D98" s="2" t="s">
        <v>935</v>
      </c>
      <c r="E98" s="2" t="s">
        <v>33</v>
      </c>
      <c r="F98" s="2" t="s">
        <v>936</v>
      </c>
      <c r="G98" s="2" t="s">
        <v>937</v>
      </c>
      <c r="H98" s="2" t="s">
        <v>938</v>
      </c>
      <c r="I98" s="2">
        <v>8</v>
      </c>
      <c r="J98" s="2" t="s">
        <v>14</v>
      </c>
      <c r="K98" s="2" t="s">
        <v>215</v>
      </c>
      <c r="L98" s="2" t="s">
        <v>215</v>
      </c>
      <c r="M98" s="2" t="s">
        <v>939</v>
      </c>
      <c r="N98" s="2" t="s">
        <v>316</v>
      </c>
      <c r="O98" s="2" t="s">
        <v>28</v>
      </c>
      <c r="P98" s="2" t="s">
        <v>137</v>
      </c>
      <c r="Q98" s="2" t="s">
        <v>355</v>
      </c>
      <c r="R98" s="2">
        <v>2</v>
      </c>
      <c r="S98" s="2">
        <v>23947.01</v>
      </c>
      <c r="T98" s="2">
        <v>25</v>
      </c>
      <c r="U98" s="2">
        <v>35920.51</v>
      </c>
      <c r="V98" s="2">
        <v>21898.94</v>
      </c>
      <c r="W98" s="2">
        <v>14021.57</v>
      </c>
      <c r="X98" s="2">
        <v>39.03</v>
      </c>
      <c r="Y98" s="2">
        <v>99</v>
      </c>
      <c r="Z98" s="2" t="s">
        <v>23</v>
      </c>
      <c r="AA98" s="2" t="s">
        <v>100</v>
      </c>
      <c r="AB98" s="2" t="s">
        <v>101</v>
      </c>
      <c r="AC98" s="2"/>
    </row>
    <row r="99" spans="1:29" x14ac:dyDescent="0.3">
      <c r="A99" s="3" t="s">
        <v>940</v>
      </c>
      <c r="B99" s="3" t="s">
        <v>941</v>
      </c>
      <c r="C99" s="3" t="s">
        <v>707</v>
      </c>
      <c r="D99" s="3" t="s">
        <v>942</v>
      </c>
      <c r="E99" s="3" t="s">
        <v>18</v>
      </c>
      <c r="F99" s="3" t="s">
        <v>894</v>
      </c>
      <c r="G99" s="3" t="s">
        <v>803</v>
      </c>
      <c r="H99" s="3" t="s">
        <v>381</v>
      </c>
      <c r="I99" s="3">
        <v>8</v>
      </c>
      <c r="J99" s="3" t="s">
        <v>14</v>
      </c>
      <c r="K99" s="3" t="s">
        <v>171</v>
      </c>
      <c r="L99" s="3" t="s">
        <v>541</v>
      </c>
      <c r="M99" s="3" t="s">
        <v>943</v>
      </c>
      <c r="N99" s="3" t="s">
        <v>306</v>
      </c>
      <c r="O99" s="3" t="s">
        <v>21</v>
      </c>
      <c r="P99" s="3" t="s">
        <v>126</v>
      </c>
      <c r="Q99" s="3" t="s">
        <v>466</v>
      </c>
      <c r="R99" s="3">
        <v>4</v>
      </c>
      <c r="S99" s="3">
        <v>6383.49</v>
      </c>
      <c r="T99" s="3">
        <v>20</v>
      </c>
      <c r="U99" s="3">
        <v>20427.169999999998</v>
      </c>
      <c r="V99" s="3">
        <v>12111.52</v>
      </c>
      <c r="W99" s="3">
        <v>8315.65</v>
      </c>
      <c r="X99" s="3">
        <v>40.71</v>
      </c>
      <c r="Y99" s="3">
        <v>49</v>
      </c>
      <c r="Z99" s="3" t="s">
        <v>23</v>
      </c>
      <c r="AA99" s="3" t="s">
        <v>100</v>
      </c>
      <c r="AB99" s="3" t="s">
        <v>101</v>
      </c>
      <c r="AC99" s="3">
        <v>5</v>
      </c>
    </row>
    <row r="100" spans="1:29" x14ac:dyDescent="0.3">
      <c r="A100" s="2" t="s">
        <v>944</v>
      </c>
      <c r="B100" s="2" t="s">
        <v>945</v>
      </c>
      <c r="C100" s="2" t="s">
        <v>104</v>
      </c>
      <c r="D100" s="2" t="s">
        <v>946</v>
      </c>
      <c r="E100" s="2" t="s">
        <v>33</v>
      </c>
      <c r="F100" s="2" t="s">
        <v>565</v>
      </c>
      <c r="G100" s="2" t="s">
        <v>947</v>
      </c>
      <c r="H100" s="2" t="s">
        <v>948</v>
      </c>
      <c r="I100" s="2">
        <v>6</v>
      </c>
      <c r="J100" s="2" t="s">
        <v>14</v>
      </c>
      <c r="K100" s="2" t="s">
        <v>95</v>
      </c>
      <c r="L100" s="2" t="s">
        <v>95</v>
      </c>
      <c r="M100" s="2" t="s">
        <v>949</v>
      </c>
      <c r="N100" s="2" t="s">
        <v>438</v>
      </c>
      <c r="O100" s="2" t="s">
        <v>13</v>
      </c>
      <c r="P100" s="2" t="s">
        <v>228</v>
      </c>
      <c r="Q100" s="2" t="s">
        <v>114</v>
      </c>
      <c r="R100" s="2">
        <v>5</v>
      </c>
      <c r="S100" s="2">
        <v>10569.21</v>
      </c>
      <c r="T100" s="2">
        <v>15</v>
      </c>
      <c r="U100" s="2">
        <v>44919.14</v>
      </c>
      <c r="V100" s="2">
        <v>25101.13</v>
      </c>
      <c r="W100" s="2">
        <v>19818.009999999998</v>
      </c>
      <c r="X100" s="2">
        <v>44.12</v>
      </c>
      <c r="Y100" s="2">
        <v>149</v>
      </c>
      <c r="Z100" s="2" t="s">
        <v>43</v>
      </c>
      <c r="AA100" s="2" t="s">
        <v>186</v>
      </c>
      <c r="AB100" s="2" t="s">
        <v>101</v>
      </c>
      <c r="AC100" s="2"/>
    </row>
    <row r="101" spans="1:29" x14ac:dyDescent="0.3">
      <c r="A101" s="3" t="s">
        <v>950</v>
      </c>
      <c r="B101" s="3" t="s">
        <v>951</v>
      </c>
      <c r="C101" s="3" t="s">
        <v>952</v>
      </c>
      <c r="D101" s="3" t="s">
        <v>953</v>
      </c>
      <c r="E101" s="3" t="s">
        <v>18</v>
      </c>
      <c r="F101" s="3" t="s">
        <v>108</v>
      </c>
      <c r="G101" s="3" t="s">
        <v>954</v>
      </c>
      <c r="H101" s="3" t="s">
        <v>955</v>
      </c>
      <c r="I101" s="3">
        <v>2</v>
      </c>
      <c r="J101" s="3" t="s">
        <v>39</v>
      </c>
      <c r="K101" s="3" t="s">
        <v>324</v>
      </c>
      <c r="L101" s="3" t="s">
        <v>325</v>
      </c>
      <c r="M101" s="3" t="s">
        <v>956</v>
      </c>
      <c r="N101" s="3" t="s">
        <v>150</v>
      </c>
      <c r="O101" s="3" t="s">
        <v>28</v>
      </c>
      <c r="P101" s="3" t="s">
        <v>151</v>
      </c>
      <c r="Q101" s="3" t="s">
        <v>400</v>
      </c>
      <c r="R101" s="3">
        <v>3</v>
      </c>
      <c r="S101" s="3">
        <v>42793.279999999999</v>
      </c>
      <c r="T101" s="3">
        <v>30</v>
      </c>
      <c r="U101" s="3">
        <v>89865.89</v>
      </c>
      <c r="V101" s="3">
        <v>50444.71</v>
      </c>
      <c r="W101" s="3">
        <v>39421.18</v>
      </c>
      <c r="X101" s="3">
        <v>43.87</v>
      </c>
      <c r="Y101" s="3">
        <v>99</v>
      </c>
      <c r="Z101" s="3" t="s">
        <v>48</v>
      </c>
      <c r="AA101" s="3" t="s">
        <v>100</v>
      </c>
      <c r="AB101" s="3" t="s">
        <v>101</v>
      </c>
      <c r="AC101" s="3">
        <v>1</v>
      </c>
    </row>
    <row r="102" spans="1:29" x14ac:dyDescent="0.3">
      <c r="A102" s="2" t="s">
        <v>957</v>
      </c>
      <c r="B102" s="2" t="s">
        <v>958</v>
      </c>
      <c r="C102" s="2" t="s">
        <v>210</v>
      </c>
      <c r="D102" s="2" t="s">
        <v>959</v>
      </c>
      <c r="E102" s="2" t="s">
        <v>33</v>
      </c>
      <c r="F102" s="2" t="s">
        <v>960</v>
      </c>
      <c r="G102" s="2" t="s">
        <v>961</v>
      </c>
      <c r="H102" s="2" t="s">
        <v>962</v>
      </c>
      <c r="I102" s="2">
        <v>5</v>
      </c>
      <c r="J102" s="2" t="s">
        <v>14</v>
      </c>
      <c r="K102" s="2" t="s">
        <v>183</v>
      </c>
      <c r="L102" s="2" t="s">
        <v>183</v>
      </c>
      <c r="M102" s="2" t="s">
        <v>963</v>
      </c>
      <c r="N102" s="2" t="s">
        <v>964</v>
      </c>
      <c r="O102" s="2" t="s">
        <v>13</v>
      </c>
      <c r="P102" s="2" t="s">
        <v>98</v>
      </c>
      <c r="Q102" s="2" t="s">
        <v>400</v>
      </c>
      <c r="R102" s="2">
        <v>5</v>
      </c>
      <c r="S102" s="2">
        <v>34613.980000000003</v>
      </c>
      <c r="T102" s="2">
        <v>20</v>
      </c>
      <c r="U102" s="2">
        <v>138455.92000000001</v>
      </c>
      <c r="V102" s="2">
        <v>73406.17</v>
      </c>
      <c r="W102" s="2">
        <v>65049.75</v>
      </c>
      <c r="X102" s="2">
        <v>46.98</v>
      </c>
      <c r="Y102" s="2">
        <v>49</v>
      </c>
      <c r="Z102" s="2" t="s">
        <v>43</v>
      </c>
      <c r="AA102" s="2" t="s">
        <v>139</v>
      </c>
      <c r="AB102" s="2" t="s">
        <v>140</v>
      </c>
      <c r="AC102" s="2"/>
    </row>
    <row r="103" spans="1:29" x14ac:dyDescent="0.3">
      <c r="A103" s="3" t="s">
        <v>965</v>
      </c>
      <c r="B103" s="3" t="s">
        <v>966</v>
      </c>
      <c r="C103" s="3" t="s">
        <v>967</v>
      </c>
      <c r="D103" s="3" t="s">
        <v>968</v>
      </c>
      <c r="E103" s="3" t="s">
        <v>18</v>
      </c>
      <c r="F103" s="3" t="s">
        <v>826</v>
      </c>
      <c r="G103" s="3" t="s">
        <v>504</v>
      </c>
      <c r="H103" s="3" t="s">
        <v>969</v>
      </c>
      <c r="I103" s="3">
        <v>7</v>
      </c>
      <c r="J103" s="3" t="s">
        <v>14</v>
      </c>
      <c r="K103" s="3" t="s">
        <v>183</v>
      </c>
      <c r="L103" s="3" t="s">
        <v>183</v>
      </c>
      <c r="M103" s="3" t="s">
        <v>970</v>
      </c>
      <c r="N103" s="3" t="s">
        <v>97</v>
      </c>
      <c r="O103" s="3" t="s">
        <v>13</v>
      </c>
      <c r="P103" s="3" t="s">
        <v>98</v>
      </c>
      <c r="Q103" s="3" t="s">
        <v>246</v>
      </c>
      <c r="R103" s="3">
        <v>4</v>
      </c>
      <c r="S103" s="3">
        <v>10565.56</v>
      </c>
      <c r="T103" s="3">
        <v>30</v>
      </c>
      <c r="U103" s="3">
        <v>29583.57</v>
      </c>
      <c r="V103" s="3">
        <v>15814.37</v>
      </c>
      <c r="W103" s="3">
        <v>13769.2</v>
      </c>
      <c r="X103" s="3">
        <v>46.54</v>
      </c>
      <c r="Y103" s="3">
        <v>49</v>
      </c>
      <c r="Z103" s="3" t="s">
        <v>47</v>
      </c>
      <c r="AA103" s="3" t="s">
        <v>275</v>
      </c>
      <c r="AB103" s="3" t="s">
        <v>101</v>
      </c>
      <c r="AC103" s="3"/>
    </row>
    <row r="104" spans="1:29" x14ac:dyDescent="0.3">
      <c r="A104" s="2" t="s">
        <v>971</v>
      </c>
      <c r="B104" s="2" t="s">
        <v>972</v>
      </c>
      <c r="C104" s="2" t="s">
        <v>973</v>
      </c>
      <c r="D104" s="2" t="s">
        <v>974</v>
      </c>
      <c r="E104" s="2" t="s">
        <v>42</v>
      </c>
      <c r="F104" s="2" t="s">
        <v>566</v>
      </c>
      <c r="G104" s="2" t="s">
        <v>907</v>
      </c>
      <c r="H104" s="2" t="s">
        <v>975</v>
      </c>
      <c r="I104" s="2">
        <v>7</v>
      </c>
      <c r="J104" s="2" t="s">
        <v>29</v>
      </c>
      <c r="K104" s="2" t="s">
        <v>160</v>
      </c>
      <c r="L104" s="2" t="s">
        <v>976</v>
      </c>
      <c r="M104" s="2" t="s">
        <v>977</v>
      </c>
      <c r="N104" s="2" t="s">
        <v>327</v>
      </c>
      <c r="O104" s="2" t="s">
        <v>27</v>
      </c>
      <c r="P104" s="2" t="s">
        <v>113</v>
      </c>
      <c r="Q104" s="2" t="s">
        <v>608</v>
      </c>
      <c r="R104" s="2">
        <v>2</v>
      </c>
      <c r="S104" s="2">
        <v>23766.39</v>
      </c>
      <c r="T104" s="2">
        <v>20</v>
      </c>
      <c r="U104" s="2">
        <v>38026.22</v>
      </c>
      <c r="V104" s="2">
        <v>20220.3</v>
      </c>
      <c r="W104" s="2">
        <v>17805.919999999998</v>
      </c>
      <c r="X104" s="2">
        <v>46.83</v>
      </c>
      <c r="Y104" s="2">
        <v>149</v>
      </c>
      <c r="Z104" s="2" t="s">
        <v>47</v>
      </c>
      <c r="AA104" s="2" t="s">
        <v>100</v>
      </c>
      <c r="AB104" s="2" t="s">
        <v>101</v>
      </c>
      <c r="AC104" s="2">
        <v>3</v>
      </c>
    </row>
    <row r="105" spans="1:29" x14ac:dyDescent="0.3">
      <c r="A105" s="3" t="s">
        <v>978</v>
      </c>
      <c r="B105" s="3" t="s">
        <v>979</v>
      </c>
      <c r="C105" s="3" t="s">
        <v>980</v>
      </c>
      <c r="D105" s="3" t="s">
        <v>981</v>
      </c>
      <c r="E105" s="3" t="s">
        <v>26</v>
      </c>
      <c r="F105" s="3" t="s">
        <v>982</v>
      </c>
      <c r="G105" s="3" t="s">
        <v>983</v>
      </c>
      <c r="H105" s="3" t="s">
        <v>984</v>
      </c>
      <c r="I105" s="3">
        <v>4</v>
      </c>
      <c r="J105" s="3" t="s">
        <v>22</v>
      </c>
      <c r="K105" s="3" t="s">
        <v>443</v>
      </c>
      <c r="L105" s="3" t="s">
        <v>567</v>
      </c>
      <c r="M105" s="3" t="s">
        <v>985</v>
      </c>
      <c r="N105" s="3" t="s">
        <v>837</v>
      </c>
      <c r="O105" s="3" t="s">
        <v>27</v>
      </c>
      <c r="P105" s="3" t="s">
        <v>257</v>
      </c>
      <c r="Q105" s="3" t="s">
        <v>287</v>
      </c>
      <c r="R105" s="3">
        <v>5</v>
      </c>
      <c r="S105" s="3">
        <v>8665.34</v>
      </c>
      <c r="T105" s="3">
        <v>30</v>
      </c>
      <c r="U105" s="3">
        <v>30328.69</v>
      </c>
      <c r="V105" s="3">
        <v>18197.72</v>
      </c>
      <c r="W105" s="3">
        <v>12130.97</v>
      </c>
      <c r="X105" s="3">
        <v>40</v>
      </c>
      <c r="Y105" s="3">
        <v>49</v>
      </c>
      <c r="Z105" s="3" t="s">
        <v>47</v>
      </c>
      <c r="AA105" s="3" t="s">
        <v>100</v>
      </c>
      <c r="AB105" s="3" t="s">
        <v>101</v>
      </c>
      <c r="AC105" s="3"/>
    </row>
    <row r="106" spans="1:29" x14ac:dyDescent="0.3">
      <c r="A106" s="2" t="s">
        <v>986</v>
      </c>
      <c r="B106" s="2" t="s">
        <v>987</v>
      </c>
      <c r="C106" s="2" t="s">
        <v>495</v>
      </c>
      <c r="D106" s="2" t="s">
        <v>988</v>
      </c>
      <c r="E106" s="2" t="s">
        <v>26</v>
      </c>
      <c r="F106" s="2" t="s">
        <v>989</v>
      </c>
      <c r="G106" s="2" t="s">
        <v>990</v>
      </c>
      <c r="H106" s="2" t="s">
        <v>991</v>
      </c>
      <c r="I106" s="2">
        <v>3</v>
      </c>
      <c r="J106" s="2" t="s">
        <v>39</v>
      </c>
      <c r="K106" s="2" t="s">
        <v>193</v>
      </c>
      <c r="L106" s="2" t="s">
        <v>193</v>
      </c>
      <c r="M106" s="2" t="s">
        <v>992</v>
      </c>
      <c r="N106" s="2" t="s">
        <v>518</v>
      </c>
      <c r="O106" s="2" t="s">
        <v>19</v>
      </c>
      <c r="P106" s="2" t="s">
        <v>365</v>
      </c>
      <c r="Q106" s="2" t="s">
        <v>466</v>
      </c>
      <c r="R106" s="2">
        <v>4</v>
      </c>
      <c r="S106" s="2">
        <v>49687.83</v>
      </c>
      <c r="T106" s="2">
        <v>20</v>
      </c>
      <c r="U106" s="2">
        <v>159001.06</v>
      </c>
      <c r="V106" s="2">
        <v>111101.03</v>
      </c>
      <c r="W106" s="2">
        <v>47900.03</v>
      </c>
      <c r="X106" s="2">
        <v>30.13</v>
      </c>
      <c r="Y106" s="2">
        <v>149</v>
      </c>
      <c r="Z106" s="2" t="s">
        <v>15</v>
      </c>
      <c r="AA106" s="2" t="s">
        <v>275</v>
      </c>
      <c r="AB106" s="2" t="s">
        <v>101</v>
      </c>
      <c r="AC106" s="2"/>
    </row>
    <row r="107" spans="1:29" x14ac:dyDescent="0.3">
      <c r="A107" s="3" t="s">
        <v>993</v>
      </c>
      <c r="B107" s="3" t="s">
        <v>994</v>
      </c>
      <c r="C107" s="3" t="s">
        <v>995</v>
      </c>
      <c r="D107" s="3" t="s">
        <v>996</v>
      </c>
      <c r="E107" s="3" t="s">
        <v>33</v>
      </c>
      <c r="F107" s="3" t="s">
        <v>997</v>
      </c>
      <c r="G107" s="3" t="s">
        <v>998</v>
      </c>
      <c r="H107" s="3" t="s">
        <v>999</v>
      </c>
      <c r="I107" s="3">
        <v>3</v>
      </c>
      <c r="J107" s="3" t="s">
        <v>29</v>
      </c>
      <c r="K107" s="3" t="s">
        <v>834</v>
      </c>
      <c r="L107" s="3" t="s">
        <v>1000</v>
      </c>
      <c r="M107" s="3" t="s">
        <v>1001</v>
      </c>
      <c r="N107" s="3" t="s">
        <v>374</v>
      </c>
      <c r="O107" s="3" t="s">
        <v>21</v>
      </c>
      <c r="P107" s="3" t="s">
        <v>196</v>
      </c>
      <c r="Q107" s="3" t="s">
        <v>466</v>
      </c>
      <c r="R107" s="3">
        <v>3</v>
      </c>
      <c r="S107" s="3">
        <v>21383.23</v>
      </c>
      <c r="T107" s="3">
        <v>15</v>
      </c>
      <c r="U107" s="3">
        <v>54527.24</v>
      </c>
      <c r="V107" s="3">
        <v>31764.33</v>
      </c>
      <c r="W107" s="3">
        <v>22762.91</v>
      </c>
      <c r="X107" s="3">
        <v>41.75</v>
      </c>
      <c r="Y107" s="3">
        <v>99</v>
      </c>
      <c r="Z107" s="3" t="s">
        <v>43</v>
      </c>
      <c r="AA107" s="3" t="s">
        <v>100</v>
      </c>
      <c r="AB107" s="3" t="s">
        <v>101</v>
      </c>
      <c r="AC107" s="3"/>
    </row>
    <row r="108" spans="1:29" x14ac:dyDescent="0.3">
      <c r="A108" s="2" t="s">
        <v>1002</v>
      </c>
      <c r="B108" s="2" t="s">
        <v>1003</v>
      </c>
      <c r="C108" s="2" t="s">
        <v>967</v>
      </c>
      <c r="D108" s="2" t="s">
        <v>1004</v>
      </c>
      <c r="E108" s="2" t="s">
        <v>26</v>
      </c>
      <c r="F108" s="2" t="s">
        <v>1005</v>
      </c>
      <c r="G108" s="2" t="s">
        <v>1006</v>
      </c>
      <c r="H108" s="2" t="s">
        <v>1007</v>
      </c>
      <c r="I108" s="2">
        <v>6</v>
      </c>
      <c r="J108" s="2" t="s">
        <v>22</v>
      </c>
      <c r="K108" s="2" t="s">
        <v>443</v>
      </c>
      <c r="L108" s="2" t="s">
        <v>444</v>
      </c>
      <c r="M108" s="2" t="s">
        <v>1008</v>
      </c>
      <c r="N108" s="2" t="s">
        <v>639</v>
      </c>
      <c r="O108" s="2" t="s">
        <v>27</v>
      </c>
      <c r="P108" s="2" t="s">
        <v>175</v>
      </c>
      <c r="Q108" s="2" t="s">
        <v>509</v>
      </c>
      <c r="R108" s="2">
        <v>4</v>
      </c>
      <c r="S108" s="2">
        <v>28732.2</v>
      </c>
      <c r="T108" s="2">
        <v>25</v>
      </c>
      <c r="U108" s="2">
        <v>86196.6</v>
      </c>
      <c r="V108" s="2">
        <v>42572.29</v>
      </c>
      <c r="W108" s="2">
        <v>43624.31</v>
      </c>
      <c r="X108" s="2">
        <v>50.61</v>
      </c>
      <c r="Y108" s="2">
        <v>49</v>
      </c>
      <c r="Z108" s="2" t="s">
        <v>40</v>
      </c>
      <c r="AA108" s="2" t="s">
        <v>100</v>
      </c>
      <c r="AB108" s="2" t="s">
        <v>101</v>
      </c>
      <c r="AC108" s="2">
        <v>4</v>
      </c>
    </row>
    <row r="109" spans="1:29" x14ac:dyDescent="0.3">
      <c r="A109" s="3" t="s">
        <v>1009</v>
      </c>
      <c r="B109" s="3" t="s">
        <v>1010</v>
      </c>
      <c r="C109" s="3" t="s">
        <v>1011</v>
      </c>
      <c r="D109" s="3" t="s">
        <v>1012</v>
      </c>
      <c r="E109" s="3" t="s">
        <v>26</v>
      </c>
      <c r="F109" s="3" t="s">
        <v>1013</v>
      </c>
      <c r="G109" s="3" t="s">
        <v>1014</v>
      </c>
      <c r="H109" s="3" t="s">
        <v>1015</v>
      </c>
      <c r="I109" s="3">
        <v>4</v>
      </c>
      <c r="J109" s="3" t="s">
        <v>14</v>
      </c>
      <c r="K109" s="3" t="s">
        <v>712</v>
      </c>
      <c r="L109" s="3" t="s">
        <v>712</v>
      </c>
      <c r="M109" s="3" t="s">
        <v>1016</v>
      </c>
      <c r="N109" s="3" t="s">
        <v>205</v>
      </c>
      <c r="O109" s="3" t="s">
        <v>21</v>
      </c>
      <c r="P109" s="3" t="s">
        <v>206</v>
      </c>
      <c r="Q109" s="3" t="s">
        <v>466</v>
      </c>
      <c r="R109" s="3">
        <v>5</v>
      </c>
      <c r="S109" s="3">
        <v>7826.7</v>
      </c>
      <c r="T109" s="3">
        <v>15</v>
      </c>
      <c r="U109" s="3">
        <v>33263.47</v>
      </c>
      <c r="V109" s="3">
        <v>23230.35</v>
      </c>
      <c r="W109" s="3">
        <v>10033.120000000001</v>
      </c>
      <c r="X109" s="3">
        <v>30.16</v>
      </c>
      <c r="Y109" s="3">
        <v>0</v>
      </c>
      <c r="Z109" s="3" t="s">
        <v>40</v>
      </c>
      <c r="AA109" s="3" t="s">
        <v>100</v>
      </c>
      <c r="AB109" s="3" t="s">
        <v>101</v>
      </c>
      <c r="AC109" s="3"/>
    </row>
    <row r="110" spans="1:29" x14ac:dyDescent="0.3">
      <c r="A110" s="2" t="s">
        <v>1017</v>
      </c>
      <c r="B110" s="2" t="s">
        <v>1018</v>
      </c>
      <c r="C110" s="2" t="s">
        <v>1019</v>
      </c>
      <c r="D110" s="2" t="s">
        <v>1020</v>
      </c>
      <c r="E110" s="2" t="s">
        <v>42</v>
      </c>
      <c r="F110" s="2" t="s">
        <v>506</v>
      </c>
      <c r="G110" s="2" t="s">
        <v>489</v>
      </c>
      <c r="H110" s="2" t="s">
        <v>1021</v>
      </c>
      <c r="I110" s="2">
        <v>7</v>
      </c>
      <c r="J110" s="2" t="s">
        <v>22</v>
      </c>
      <c r="K110" s="2" t="s">
        <v>738</v>
      </c>
      <c r="L110" s="2" t="s">
        <v>738</v>
      </c>
      <c r="M110" s="2" t="s">
        <v>1022</v>
      </c>
      <c r="N110" s="2" t="s">
        <v>889</v>
      </c>
      <c r="O110" s="2" t="s">
        <v>27</v>
      </c>
      <c r="P110" s="2" t="s">
        <v>257</v>
      </c>
      <c r="Q110" s="2" t="s">
        <v>608</v>
      </c>
      <c r="R110" s="2">
        <v>5</v>
      </c>
      <c r="S110" s="2">
        <v>12727.71</v>
      </c>
      <c r="T110" s="2">
        <v>5</v>
      </c>
      <c r="U110" s="2">
        <v>60456.62</v>
      </c>
      <c r="V110" s="2">
        <v>35880.370000000003</v>
      </c>
      <c r="W110" s="2">
        <v>24576.25</v>
      </c>
      <c r="X110" s="2">
        <v>40.65</v>
      </c>
      <c r="Y110" s="2">
        <v>49</v>
      </c>
      <c r="Z110" s="2" t="s">
        <v>47</v>
      </c>
      <c r="AA110" s="2" t="s">
        <v>100</v>
      </c>
      <c r="AB110" s="2" t="s">
        <v>101</v>
      </c>
      <c r="AC110" s="2">
        <v>4</v>
      </c>
    </row>
    <row r="111" spans="1:29" x14ac:dyDescent="0.3">
      <c r="A111" s="3" t="s">
        <v>1023</v>
      </c>
      <c r="B111" s="3" t="s">
        <v>1024</v>
      </c>
      <c r="C111" s="3" t="s">
        <v>278</v>
      </c>
      <c r="D111" s="3" t="s">
        <v>1025</v>
      </c>
      <c r="E111" s="3" t="s">
        <v>26</v>
      </c>
      <c r="F111" s="3" t="s">
        <v>1026</v>
      </c>
      <c r="G111" s="3" t="s">
        <v>1027</v>
      </c>
      <c r="H111" s="3" t="s">
        <v>262</v>
      </c>
      <c r="I111" s="3">
        <v>7</v>
      </c>
      <c r="J111" s="3" t="s">
        <v>39</v>
      </c>
      <c r="K111" s="3" t="s">
        <v>324</v>
      </c>
      <c r="L111" s="3" t="s">
        <v>1028</v>
      </c>
      <c r="M111" s="3" t="s">
        <v>1029</v>
      </c>
      <c r="N111" s="3" t="s">
        <v>266</v>
      </c>
      <c r="O111" s="3" t="s">
        <v>28</v>
      </c>
      <c r="P111" s="3" t="s">
        <v>151</v>
      </c>
      <c r="Q111" s="3" t="s">
        <v>99</v>
      </c>
      <c r="R111" s="3">
        <v>2</v>
      </c>
      <c r="S111" s="3">
        <v>535.95000000000005</v>
      </c>
      <c r="T111" s="3">
        <v>25</v>
      </c>
      <c r="U111" s="3">
        <v>803.93</v>
      </c>
      <c r="V111" s="3">
        <v>397.81</v>
      </c>
      <c r="W111" s="3">
        <v>406.12</v>
      </c>
      <c r="X111" s="3">
        <v>50.52</v>
      </c>
      <c r="Y111" s="3">
        <v>99</v>
      </c>
      <c r="Z111" s="3" t="s">
        <v>48</v>
      </c>
      <c r="AA111" s="3" t="s">
        <v>186</v>
      </c>
      <c r="AB111" s="3" t="s">
        <v>101</v>
      </c>
      <c r="AC111" s="3"/>
    </row>
    <row r="112" spans="1:29" x14ac:dyDescent="0.3">
      <c r="A112" s="2" t="s">
        <v>1030</v>
      </c>
      <c r="B112" s="2" t="s">
        <v>1031</v>
      </c>
      <c r="C112" s="2" t="s">
        <v>260</v>
      </c>
      <c r="D112" s="2" t="s">
        <v>1032</v>
      </c>
      <c r="E112" s="2" t="s">
        <v>42</v>
      </c>
      <c r="F112" s="2" t="s">
        <v>1033</v>
      </c>
      <c r="G112" s="2" t="s">
        <v>1034</v>
      </c>
      <c r="H112" s="2" t="s">
        <v>556</v>
      </c>
      <c r="I112" s="2">
        <v>8</v>
      </c>
      <c r="J112" s="2" t="s">
        <v>14</v>
      </c>
      <c r="K112" s="2" t="s">
        <v>183</v>
      </c>
      <c r="L112" s="2" t="s">
        <v>183</v>
      </c>
      <c r="M112" s="2" t="s">
        <v>1035</v>
      </c>
      <c r="N112" s="2" t="s">
        <v>518</v>
      </c>
      <c r="O112" s="2" t="s">
        <v>19</v>
      </c>
      <c r="P112" s="2" t="s">
        <v>365</v>
      </c>
      <c r="Q112" s="2" t="s">
        <v>114</v>
      </c>
      <c r="R112" s="2">
        <v>5</v>
      </c>
      <c r="S112" s="2">
        <v>7327.21</v>
      </c>
      <c r="T112" s="2">
        <v>30</v>
      </c>
      <c r="U112" s="2">
        <v>25645.24</v>
      </c>
      <c r="V112" s="2">
        <v>16938.05</v>
      </c>
      <c r="W112" s="2">
        <v>8707.19</v>
      </c>
      <c r="X112" s="2">
        <v>33.950000000000003</v>
      </c>
      <c r="Y112" s="2">
        <v>199</v>
      </c>
      <c r="Z112" s="2" t="s">
        <v>43</v>
      </c>
      <c r="AA112" s="2" t="s">
        <v>186</v>
      </c>
      <c r="AB112" s="2" t="s">
        <v>101</v>
      </c>
      <c r="AC112" s="2"/>
    </row>
    <row r="113" spans="1:29" x14ac:dyDescent="0.3">
      <c r="A113" s="3" t="s">
        <v>1036</v>
      </c>
      <c r="B113" s="3" t="s">
        <v>1037</v>
      </c>
      <c r="C113" s="3" t="s">
        <v>1038</v>
      </c>
      <c r="D113" s="3" t="s">
        <v>1039</v>
      </c>
      <c r="E113" s="3" t="s">
        <v>42</v>
      </c>
      <c r="F113" s="3" t="s">
        <v>243</v>
      </c>
      <c r="G113" s="3" t="s">
        <v>1040</v>
      </c>
      <c r="H113" s="3" t="s">
        <v>1041</v>
      </c>
      <c r="I113" s="3">
        <v>4</v>
      </c>
      <c r="J113" s="3" t="s">
        <v>39</v>
      </c>
      <c r="K113" s="3" t="s">
        <v>193</v>
      </c>
      <c r="L113" s="3" t="s">
        <v>193</v>
      </c>
      <c r="M113" s="3" t="s">
        <v>1042</v>
      </c>
      <c r="N113" s="3" t="s">
        <v>185</v>
      </c>
      <c r="O113" s="3" t="s">
        <v>28</v>
      </c>
      <c r="P113" s="3" t="s">
        <v>151</v>
      </c>
      <c r="Q113" s="3" t="s">
        <v>466</v>
      </c>
      <c r="R113" s="3">
        <v>2</v>
      </c>
      <c r="S113" s="3">
        <v>42758.76</v>
      </c>
      <c r="T113" s="3">
        <v>15</v>
      </c>
      <c r="U113" s="3">
        <v>72689.89</v>
      </c>
      <c r="V113" s="3">
        <v>40750.74</v>
      </c>
      <c r="W113" s="3">
        <v>31939.15</v>
      </c>
      <c r="X113" s="3">
        <v>43.94</v>
      </c>
      <c r="Y113" s="3">
        <v>149</v>
      </c>
      <c r="Z113" s="3" t="s">
        <v>43</v>
      </c>
      <c r="AA113" s="3" t="s">
        <v>100</v>
      </c>
      <c r="AB113" s="3" t="s">
        <v>101</v>
      </c>
      <c r="AC113" s="3"/>
    </row>
    <row r="114" spans="1:29" x14ac:dyDescent="0.3">
      <c r="A114" s="2" t="s">
        <v>1043</v>
      </c>
      <c r="B114" s="2" t="s">
        <v>1044</v>
      </c>
      <c r="C114" s="2" t="s">
        <v>1045</v>
      </c>
      <c r="D114" s="2" t="s">
        <v>1046</v>
      </c>
      <c r="E114" s="2" t="s">
        <v>18</v>
      </c>
      <c r="F114" s="2" t="s">
        <v>1047</v>
      </c>
      <c r="G114" s="2" t="s">
        <v>1048</v>
      </c>
      <c r="H114" s="2" t="s">
        <v>1049</v>
      </c>
      <c r="I114" s="2">
        <v>3</v>
      </c>
      <c r="J114" s="2" t="s">
        <v>29</v>
      </c>
      <c r="K114" s="2" t="s">
        <v>148</v>
      </c>
      <c r="L114" s="2" t="s">
        <v>148</v>
      </c>
      <c r="M114" s="2" t="s">
        <v>1050</v>
      </c>
      <c r="N114" s="2" t="s">
        <v>1051</v>
      </c>
      <c r="O114" s="2" t="s">
        <v>28</v>
      </c>
      <c r="P114" s="2" t="s">
        <v>151</v>
      </c>
      <c r="Q114" s="2" t="s">
        <v>509</v>
      </c>
      <c r="R114" s="2">
        <v>3</v>
      </c>
      <c r="S114" s="2">
        <v>5061.58</v>
      </c>
      <c r="T114" s="2">
        <v>10</v>
      </c>
      <c r="U114" s="2">
        <v>13666.27</v>
      </c>
      <c r="V114" s="2">
        <v>7810.54</v>
      </c>
      <c r="W114" s="2">
        <v>5855.73</v>
      </c>
      <c r="X114" s="2">
        <v>42.85</v>
      </c>
      <c r="Y114" s="2">
        <v>0</v>
      </c>
      <c r="Z114" s="2" t="s">
        <v>15</v>
      </c>
      <c r="AA114" s="2" t="s">
        <v>100</v>
      </c>
      <c r="AB114" s="2" t="s">
        <v>140</v>
      </c>
      <c r="AC114" s="2">
        <v>3</v>
      </c>
    </row>
    <row r="115" spans="1:29" x14ac:dyDescent="0.3">
      <c r="A115" s="3" t="s">
        <v>1052</v>
      </c>
      <c r="B115" s="3" t="s">
        <v>1053</v>
      </c>
      <c r="C115" s="3" t="s">
        <v>1054</v>
      </c>
      <c r="D115" s="3" t="s">
        <v>1055</v>
      </c>
      <c r="E115" s="3" t="s">
        <v>18</v>
      </c>
      <c r="F115" s="3" t="s">
        <v>1056</v>
      </c>
      <c r="G115" s="3" t="s">
        <v>1057</v>
      </c>
      <c r="H115" s="3" t="s">
        <v>1058</v>
      </c>
      <c r="I115" s="3">
        <v>4</v>
      </c>
      <c r="J115" s="3" t="s">
        <v>14</v>
      </c>
      <c r="K115" s="3" t="s">
        <v>95</v>
      </c>
      <c r="L115" s="3" t="s">
        <v>95</v>
      </c>
      <c r="M115" s="3" t="s">
        <v>1059</v>
      </c>
      <c r="N115" s="3" t="s">
        <v>788</v>
      </c>
      <c r="O115" s="3" t="s">
        <v>27</v>
      </c>
      <c r="P115" s="3" t="s">
        <v>113</v>
      </c>
      <c r="Q115" s="3" t="s">
        <v>246</v>
      </c>
      <c r="R115" s="3">
        <v>3</v>
      </c>
      <c r="S115" s="3">
        <v>21918.25</v>
      </c>
      <c r="T115" s="3">
        <v>0</v>
      </c>
      <c r="U115" s="3">
        <v>65754.75</v>
      </c>
      <c r="V115" s="3">
        <v>34375.03</v>
      </c>
      <c r="W115" s="3">
        <v>31379.72</v>
      </c>
      <c r="X115" s="3">
        <v>47.72</v>
      </c>
      <c r="Y115" s="3">
        <v>99</v>
      </c>
      <c r="Z115" s="3" t="s">
        <v>30</v>
      </c>
      <c r="AA115" s="3" t="s">
        <v>100</v>
      </c>
      <c r="AB115" s="3" t="s">
        <v>101</v>
      </c>
      <c r="AC115" s="3"/>
    </row>
    <row r="116" spans="1:29" x14ac:dyDescent="0.3">
      <c r="A116" s="2" t="s">
        <v>1060</v>
      </c>
      <c r="B116" s="2" t="s">
        <v>1061</v>
      </c>
      <c r="C116" s="2" t="s">
        <v>166</v>
      </c>
      <c r="D116" s="2" t="s">
        <v>1062</v>
      </c>
      <c r="E116" s="2" t="s">
        <v>18</v>
      </c>
      <c r="F116" s="2" t="s">
        <v>121</v>
      </c>
      <c r="G116" s="2" t="s">
        <v>1063</v>
      </c>
      <c r="H116" s="2" t="s">
        <v>1064</v>
      </c>
      <c r="I116" s="2">
        <v>7</v>
      </c>
      <c r="J116" s="2" t="s">
        <v>14</v>
      </c>
      <c r="K116" s="2" t="s">
        <v>183</v>
      </c>
      <c r="L116" s="2" t="s">
        <v>183</v>
      </c>
      <c r="M116" s="2" t="s">
        <v>1065</v>
      </c>
      <c r="N116" s="2" t="s">
        <v>648</v>
      </c>
      <c r="O116" s="2" t="s">
        <v>27</v>
      </c>
      <c r="P116" s="2" t="s">
        <v>113</v>
      </c>
      <c r="Q116" s="2" t="s">
        <v>127</v>
      </c>
      <c r="R116" s="2">
        <v>2</v>
      </c>
      <c r="S116" s="2">
        <v>23883.62</v>
      </c>
      <c r="T116" s="2">
        <v>25</v>
      </c>
      <c r="U116" s="2">
        <v>35825.43</v>
      </c>
      <c r="V116" s="2">
        <v>16536.32</v>
      </c>
      <c r="W116" s="2">
        <v>19289.11</v>
      </c>
      <c r="X116" s="2">
        <v>53.84</v>
      </c>
      <c r="Y116" s="2">
        <v>199</v>
      </c>
      <c r="Z116" s="2" t="s">
        <v>47</v>
      </c>
      <c r="AA116" s="2" t="s">
        <v>100</v>
      </c>
      <c r="AB116" s="2" t="s">
        <v>101</v>
      </c>
      <c r="AC116" s="2">
        <v>2</v>
      </c>
    </row>
    <row r="117" spans="1:29" x14ac:dyDescent="0.3">
      <c r="A117" s="3" t="s">
        <v>1066</v>
      </c>
      <c r="B117" s="3" t="s">
        <v>1067</v>
      </c>
      <c r="C117" s="3" t="s">
        <v>1068</v>
      </c>
      <c r="D117" s="3" t="s">
        <v>1069</v>
      </c>
      <c r="E117" s="3" t="s">
        <v>26</v>
      </c>
      <c r="F117" s="3" t="s">
        <v>1070</v>
      </c>
      <c r="G117" s="3" t="s">
        <v>1071</v>
      </c>
      <c r="H117" s="3" t="s">
        <v>1072</v>
      </c>
      <c r="I117" s="3">
        <v>8</v>
      </c>
      <c r="J117" s="3" t="s">
        <v>29</v>
      </c>
      <c r="K117" s="3" t="s">
        <v>334</v>
      </c>
      <c r="L117" s="3" t="s">
        <v>1073</v>
      </c>
      <c r="M117" s="3" t="s">
        <v>1074</v>
      </c>
      <c r="N117" s="3" t="s">
        <v>306</v>
      </c>
      <c r="O117" s="3" t="s">
        <v>21</v>
      </c>
      <c r="P117" s="3" t="s">
        <v>126</v>
      </c>
      <c r="Q117" s="3" t="s">
        <v>138</v>
      </c>
      <c r="R117" s="3">
        <v>4</v>
      </c>
      <c r="S117" s="3">
        <v>10693.07</v>
      </c>
      <c r="T117" s="3">
        <v>30</v>
      </c>
      <c r="U117" s="3">
        <v>29940.6</v>
      </c>
      <c r="V117" s="3">
        <v>17931.16</v>
      </c>
      <c r="W117" s="3">
        <v>12009.44</v>
      </c>
      <c r="X117" s="3">
        <v>40.11</v>
      </c>
      <c r="Y117" s="3">
        <v>199</v>
      </c>
      <c r="Z117" s="3" t="s">
        <v>40</v>
      </c>
      <c r="AA117" s="3" t="s">
        <v>275</v>
      </c>
      <c r="AB117" s="3" t="s">
        <v>140</v>
      </c>
      <c r="AC117" s="3"/>
    </row>
    <row r="118" spans="1:29" x14ac:dyDescent="0.3">
      <c r="A118" s="2" t="s">
        <v>1075</v>
      </c>
      <c r="B118" s="2" t="s">
        <v>1076</v>
      </c>
      <c r="C118" s="2" t="s">
        <v>1077</v>
      </c>
      <c r="D118" s="2" t="s">
        <v>1078</v>
      </c>
      <c r="E118" s="2" t="s">
        <v>18</v>
      </c>
      <c r="F118" s="2" t="s">
        <v>1079</v>
      </c>
      <c r="G118" s="2" t="s">
        <v>1080</v>
      </c>
      <c r="H118" s="2" t="s">
        <v>709</v>
      </c>
      <c r="I118" s="2">
        <v>2</v>
      </c>
      <c r="J118" s="2" t="s">
        <v>29</v>
      </c>
      <c r="K118" s="2" t="s">
        <v>427</v>
      </c>
      <c r="L118" s="2" t="s">
        <v>1081</v>
      </c>
      <c r="M118" s="2" t="s">
        <v>1082</v>
      </c>
      <c r="N118" s="2" t="s">
        <v>686</v>
      </c>
      <c r="O118" s="2" t="s">
        <v>13</v>
      </c>
      <c r="P118" s="2" t="s">
        <v>228</v>
      </c>
      <c r="Q118" s="2" t="s">
        <v>246</v>
      </c>
      <c r="R118" s="2">
        <v>1</v>
      </c>
      <c r="S118" s="2">
        <v>10475.370000000001</v>
      </c>
      <c r="T118" s="2">
        <v>15</v>
      </c>
      <c r="U118" s="2">
        <v>8904.06</v>
      </c>
      <c r="V118" s="2">
        <v>4751.74</v>
      </c>
      <c r="W118" s="2">
        <v>4152.32</v>
      </c>
      <c r="X118" s="2">
        <v>46.63</v>
      </c>
      <c r="Y118" s="2">
        <v>199</v>
      </c>
      <c r="Z118" s="2" t="s">
        <v>30</v>
      </c>
      <c r="AA118" s="2" t="s">
        <v>100</v>
      </c>
      <c r="AB118" s="2" t="s">
        <v>101</v>
      </c>
      <c r="AC118" s="2">
        <v>1</v>
      </c>
    </row>
    <row r="119" spans="1:29" x14ac:dyDescent="0.3">
      <c r="A119" s="3" t="s">
        <v>1083</v>
      </c>
      <c r="B119" s="3" t="s">
        <v>1084</v>
      </c>
      <c r="C119" s="3" t="s">
        <v>1085</v>
      </c>
      <c r="D119" s="3" t="s">
        <v>1086</v>
      </c>
      <c r="E119" s="3" t="s">
        <v>26</v>
      </c>
      <c r="F119" s="3" t="s">
        <v>990</v>
      </c>
      <c r="G119" s="3" t="s">
        <v>991</v>
      </c>
      <c r="H119" s="3" t="s">
        <v>1087</v>
      </c>
      <c r="I119" s="3">
        <v>4</v>
      </c>
      <c r="J119" s="3" t="s">
        <v>39</v>
      </c>
      <c r="K119" s="3" t="s">
        <v>109</v>
      </c>
      <c r="L119" s="3" t="s">
        <v>110</v>
      </c>
      <c r="M119" s="3" t="s">
        <v>1088</v>
      </c>
      <c r="N119" s="3" t="s">
        <v>136</v>
      </c>
      <c r="O119" s="3" t="s">
        <v>28</v>
      </c>
      <c r="P119" s="3" t="s">
        <v>137</v>
      </c>
      <c r="Q119" s="3" t="s">
        <v>287</v>
      </c>
      <c r="R119" s="3">
        <v>3</v>
      </c>
      <c r="S119" s="3">
        <v>2676.95</v>
      </c>
      <c r="T119" s="3">
        <v>10</v>
      </c>
      <c r="U119" s="3">
        <v>7227.76</v>
      </c>
      <c r="V119" s="3">
        <v>4601.12</v>
      </c>
      <c r="W119" s="3">
        <v>2626.64</v>
      </c>
      <c r="X119" s="3">
        <v>36.340000000000003</v>
      </c>
      <c r="Y119" s="3">
        <v>0</v>
      </c>
      <c r="Z119" s="3" t="s">
        <v>43</v>
      </c>
      <c r="AA119" s="3" t="s">
        <v>100</v>
      </c>
      <c r="AB119" s="3" t="s">
        <v>101</v>
      </c>
      <c r="AC119" s="3">
        <v>1</v>
      </c>
    </row>
    <row r="120" spans="1:29" x14ac:dyDescent="0.3">
      <c r="A120" s="2" t="s">
        <v>1089</v>
      </c>
      <c r="B120" s="2" t="s">
        <v>1090</v>
      </c>
      <c r="C120" s="2" t="s">
        <v>1091</v>
      </c>
      <c r="D120" s="2" t="s">
        <v>1092</v>
      </c>
      <c r="E120" s="2" t="s">
        <v>33</v>
      </c>
      <c r="F120" s="2" t="s">
        <v>612</v>
      </c>
      <c r="G120" s="2" t="s">
        <v>1093</v>
      </c>
      <c r="H120" s="2" t="s">
        <v>613</v>
      </c>
      <c r="I120" s="2">
        <v>4</v>
      </c>
      <c r="J120" s="2" t="s">
        <v>14</v>
      </c>
      <c r="K120" s="2" t="s">
        <v>712</v>
      </c>
      <c r="L120" s="2" t="s">
        <v>712</v>
      </c>
      <c r="M120" s="2" t="s">
        <v>1094</v>
      </c>
      <c r="N120" s="2" t="s">
        <v>150</v>
      </c>
      <c r="O120" s="2" t="s">
        <v>28</v>
      </c>
      <c r="P120" s="2" t="s">
        <v>151</v>
      </c>
      <c r="Q120" s="2" t="s">
        <v>400</v>
      </c>
      <c r="R120" s="2">
        <v>3</v>
      </c>
      <c r="S120" s="2">
        <v>12870.59</v>
      </c>
      <c r="T120" s="2">
        <v>20</v>
      </c>
      <c r="U120" s="2">
        <v>30889.42</v>
      </c>
      <c r="V120" s="2">
        <v>20407.71</v>
      </c>
      <c r="W120" s="2">
        <v>10481.709999999999</v>
      </c>
      <c r="X120" s="2">
        <v>33.93</v>
      </c>
      <c r="Y120" s="2">
        <v>49</v>
      </c>
      <c r="Z120" s="2" t="s">
        <v>48</v>
      </c>
      <c r="AA120" s="2" t="s">
        <v>100</v>
      </c>
      <c r="AB120" s="2" t="s">
        <v>140</v>
      </c>
      <c r="AC120" s="2">
        <v>1</v>
      </c>
    </row>
    <row r="121" spans="1:29" x14ac:dyDescent="0.3">
      <c r="A121" s="3" t="s">
        <v>1095</v>
      </c>
      <c r="B121" s="3" t="s">
        <v>1096</v>
      </c>
      <c r="C121" s="3" t="s">
        <v>1097</v>
      </c>
      <c r="D121" s="3" t="s">
        <v>1098</v>
      </c>
      <c r="E121" s="3" t="s">
        <v>18</v>
      </c>
      <c r="F121" s="3" t="s">
        <v>1099</v>
      </c>
      <c r="G121" s="3" t="s">
        <v>1100</v>
      </c>
      <c r="H121" s="3" t="s">
        <v>1101</v>
      </c>
      <c r="I121" s="3">
        <v>5</v>
      </c>
      <c r="J121" s="3" t="s">
        <v>39</v>
      </c>
      <c r="K121" s="3" t="s">
        <v>193</v>
      </c>
      <c r="L121" s="3" t="s">
        <v>193</v>
      </c>
      <c r="M121" s="3" t="s">
        <v>1102</v>
      </c>
      <c r="N121" s="3" t="s">
        <v>266</v>
      </c>
      <c r="O121" s="3" t="s">
        <v>28</v>
      </c>
      <c r="P121" s="3" t="s">
        <v>151</v>
      </c>
      <c r="Q121" s="3" t="s">
        <v>355</v>
      </c>
      <c r="R121" s="3">
        <v>4</v>
      </c>
      <c r="S121" s="3">
        <v>16908.599999999999</v>
      </c>
      <c r="T121" s="3">
        <v>10</v>
      </c>
      <c r="U121" s="3">
        <v>60870.96</v>
      </c>
      <c r="V121" s="3">
        <v>40780.65</v>
      </c>
      <c r="W121" s="3">
        <v>20090.310000000001</v>
      </c>
      <c r="X121" s="3">
        <v>33</v>
      </c>
      <c r="Y121" s="3">
        <v>199</v>
      </c>
      <c r="Z121" s="3" t="s">
        <v>15</v>
      </c>
      <c r="AA121" s="3" t="s">
        <v>186</v>
      </c>
      <c r="AB121" s="3" t="s">
        <v>101</v>
      </c>
      <c r="AC121" s="3"/>
    </row>
    <row r="122" spans="1:29" x14ac:dyDescent="0.3">
      <c r="A122" s="2" t="s">
        <v>1103</v>
      </c>
      <c r="B122" s="2" t="s">
        <v>1104</v>
      </c>
      <c r="C122" s="2" t="s">
        <v>1077</v>
      </c>
      <c r="D122" s="2" t="s">
        <v>1105</v>
      </c>
      <c r="E122" s="2" t="s">
        <v>33</v>
      </c>
      <c r="F122" s="2" t="s">
        <v>1106</v>
      </c>
      <c r="G122" s="2" t="s">
        <v>1107</v>
      </c>
      <c r="H122" s="2" t="s">
        <v>1108</v>
      </c>
      <c r="I122" s="2">
        <v>2</v>
      </c>
      <c r="J122" s="2" t="s">
        <v>22</v>
      </c>
      <c r="K122" s="2" t="s">
        <v>283</v>
      </c>
      <c r="L122" s="2" t="s">
        <v>748</v>
      </c>
      <c r="M122" s="2" t="s">
        <v>1109</v>
      </c>
      <c r="N122" s="2" t="s">
        <v>837</v>
      </c>
      <c r="O122" s="2" t="s">
        <v>27</v>
      </c>
      <c r="P122" s="2" t="s">
        <v>257</v>
      </c>
      <c r="Q122" s="2" t="s">
        <v>197</v>
      </c>
      <c r="R122" s="2">
        <v>4</v>
      </c>
      <c r="S122" s="2">
        <v>2149.83</v>
      </c>
      <c r="T122" s="2">
        <v>5</v>
      </c>
      <c r="U122" s="2">
        <v>8169.35</v>
      </c>
      <c r="V122" s="2">
        <v>4496.1899999999996</v>
      </c>
      <c r="W122" s="2">
        <v>3673.16</v>
      </c>
      <c r="X122" s="2">
        <v>44.96</v>
      </c>
      <c r="Y122" s="2">
        <v>199</v>
      </c>
      <c r="Z122" s="2" t="s">
        <v>23</v>
      </c>
      <c r="AA122" s="2" t="s">
        <v>100</v>
      </c>
      <c r="AB122" s="2" t="s">
        <v>101</v>
      </c>
      <c r="AC122" s="2">
        <v>2</v>
      </c>
    </row>
    <row r="123" spans="1:29" x14ac:dyDescent="0.3">
      <c r="A123" s="3" t="s">
        <v>1110</v>
      </c>
      <c r="B123" s="3" t="s">
        <v>1111</v>
      </c>
      <c r="C123" s="3" t="s">
        <v>973</v>
      </c>
      <c r="D123" s="3" t="s">
        <v>1112</v>
      </c>
      <c r="E123" s="3" t="s">
        <v>42</v>
      </c>
      <c r="F123" s="3" t="s">
        <v>516</v>
      </c>
      <c r="G123" s="3" t="s">
        <v>1113</v>
      </c>
      <c r="H123" s="3" t="s">
        <v>1049</v>
      </c>
      <c r="I123" s="3">
        <v>5</v>
      </c>
      <c r="J123" s="3" t="s">
        <v>39</v>
      </c>
      <c r="K123" s="3" t="s">
        <v>314</v>
      </c>
      <c r="L123" s="3" t="s">
        <v>314</v>
      </c>
      <c r="M123" s="3" t="s">
        <v>1114</v>
      </c>
      <c r="N123" s="3" t="s">
        <v>286</v>
      </c>
      <c r="O123" s="3" t="s">
        <v>28</v>
      </c>
      <c r="P123" s="3" t="s">
        <v>137</v>
      </c>
      <c r="Q123" s="3" t="s">
        <v>127</v>
      </c>
      <c r="R123" s="3">
        <v>1</v>
      </c>
      <c r="S123" s="3">
        <v>3286.64</v>
      </c>
      <c r="T123" s="3">
        <v>30</v>
      </c>
      <c r="U123" s="3">
        <v>2300.65</v>
      </c>
      <c r="V123" s="3">
        <v>1106.53</v>
      </c>
      <c r="W123" s="3">
        <v>1194.1199999999999</v>
      </c>
      <c r="X123" s="3">
        <v>51.9</v>
      </c>
      <c r="Y123" s="3">
        <v>99</v>
      </c>
      <c r="Z123" s="3" t="s">
        <v>30</v>
      </c>
      <c r="AA123" s="3" t="s">
        <v>139</v>
      </c>
      <c r="AB123" s="3" t="s">
        <v>140</v>
      </c>
      <c r="AC123" s="3"/>
    </row>
    <row r="124" spans="1:29" x14ac:dyDescent="0.3">
      <c r="A124" s="2" t="s">
        <v>1115</v>
      </c>
      <c r="B124" s="2" t="s">
        <v>1116</v>
      </c>
      <c r="C124" s="2" t="s">
        <v>309</v>
      </c>
      <c r="D124" s="2" t="s">
        <v>1117</v>
      </c>
      <c r="E124" s="2" t="s">
        <v>33</v>
      </c>
      <c r="F124" s="2" t="s">
        <v>1118</v>
      </c>
      <c r="G124" s="2" t="s">
        <v>1119</v>
      </c>
      <c r="H124" s="2" t="s">
        <v>1120</v>
      </c>
      <c r="I124" s="2">
        <v>7</v>
      </c>
      <c r="J124" s="2" t="s">
        <v>29</v>
      </c>
      <c r="K124" s="2" t="s">
        <v>834</v>
      </c>
      <c r="L124" s="2" t="s">
        <v>1000</v>
      </c>
      <c r="M124" s="2" t="s">
        <v>1121</v>
      </c>
      <c r="N124" s="2" t="s">
        <v>1122</v>
      </c>
      <c r="O124" s="2" t="s">
        <v>27</v>
      </c>
      <c r="P124" s="2" t="s">
        <v>257</v>
      </c>
      <c r="Q124" s="2" t="s">
        <v>608</v>
      </c>
      <c r="R124" s="2">
        <v>5</v>
      </c>
      <c r="S124" s="2">
        <v>5864.08</v>
      </c>
      <c r="T124" s="2">
        <v>5</v>
      </c>
      <c r="U124" s="2">
        <v>27854.38</v>
      </c>
      <c r="V124" s="2">
        <v>18621.330000000002</v>
      </c>
      <c r="W124" s="2">
        <v>9233.0499999999993</v>
      </c>
      <c r="X124" s="2">
        <v>33.15</v>
      </c>
      <c r="Y124" s="2">
        <v>0</v>
      </c>
      <c r="Z124" s="2" t="s">
        <v>47</v>
      </c>
      <c r="AA124" s="2" t="s">
        <v>100</v>
      </c>
      <c r="AB124" s="2" t="s">
        <v>101</v>
      </c>
      <c r="AC124" s="2">
        <v>3</v>
      </c>
    </row>
    <row r="125" spans="1:29" x14ac:dyDescent="0.3">
      <c r="A125" s="3" t="s">
        <v>1123</v>
      </c>
      <c r="B125" s="3" t="s">
        <v>1124</v>
      </c>
      <c r="C125" s="3" t="s">
        <v>495</v>
      </c>
      <c r="D125" s="3" t="s">
        <v>1125</v>
      </c>
      <c r="E125" s="3" t="s">
        <v>42</v>
      </c>
      <c r="F125" s="3" t="s">
        <v>1126</v>
      </c>
      <c r="G125" s="3" t="s">
        <v>1127</v>
      </c>
      <c r="H125" s="3" t="s">
        <v>558</v>
      </c>
      <c r="I125" s="3">
        <v>2</v>
      </c>
      <c r="J125" s="3" t="s">
        <v>14</v>
      </c>
      <c r="K125" s="3" t="s">
        <v>215</v>
      </c>
      <c r="L125" s="3" t="s">
        <v>215</v>
      </c>
      <c r="M125" s="3" t="s">
        <v>1128</v>
      </c>
      <c r="N125" s="3" t="s">
        <v>465</v>
      </c>
      <c r="O125" s="3" t="s">
        <v>19</v>
      </c>
      <c r="P125" s="3" t="s">
        <v>447</v>
      </c>
      <c r="Q125" s="3" t="s">
        <v>114</v>
      </c>
      <c r="R125" s="3">
        <v>4</v>
      </c>
      <c r="S125" s="3">
        <v>19602.12</v>
      </c>
      <c r="T125" s="3">
        <v>25</v>
      </c>
      <c r="U125" s="3">
        <v>58806.36</v>
      </c>
      <c r="V125" s="3">
        <v>28003.19</v>
      </c>
      <c r="W125" s="3">
        <v>30803.17</v>
      </c>
      <c r="X125" s="3">
        <v>52.38</v>
      </c>
      <c r="Y125" s="3">
        <v>0</v>
      </c>
      <c r="Z125" s="3" t="s">
        <v>48</v>
      </c>
      <c r="AA125" s="3" t="s">
        <v>275</v>
      </c>
      <c r="AB125" s="3" t="s">
        <v>101</v>
      </c>
      <c r="AC125" s="3"/>
    </row>
    <row r="126" spans="1:29" x14ac:dyDescent="0.3">
      <c r="A126" s="2" t="s">
        <v>1129</v>
      </c>
      <c r="B126" s="2" t="s">
        <v>1130</v>
      </c>
      <c r="C126" s="2" t="s">
        <v>1131</v>
      </c>
      <c r="D126" s="2" t="s">
        <v>1132</v>
      </c>
      <c r="E126" s="2" t="s">
        <v>42</v>
      </c>
      <c r="F126" s="2" t="s">
        <v>1133</v>
      </c>
      <c r="G126" s="2" t="s">
        <v>1134</v>
      </c>
      <c r="H126" s="2" t="s">
        <v>1135</v>
      </c>
      <c r="I126" s="2">
        <v>6</v>
      </c>
      <c r="J126" s="2" t="s">
        <v>22</v>
      </c>
      <c r="K126" s="2" t="s">
        <v>254</v>
      </c>
      <c r="L126" s="2" t="s">
        <v>254</v>
      </c>
      <c r="M126" s="2" t="s">
        <v>1136</v>
      </c>
      <c r="N126" s="2" t="s">
        <v>125</v>
      </c>
      <c r="O126" s="2" t="s">
        <v>21</v>
      </c>
      <c r="P126" s="2" t="s">
        <v>126</v>
      </c>
      <c r="Q126" s="2" t="s">
        <v>218</v>
      </c>
      <c r="R126" s="2">
        <v>1</v>
      </c>
      <c r="S126" s="2">
        <v>321.94</v>
      </c>
      <c r="T126" s="2">
        <v>15</v>
      </c>
      <c r="U126" s="2">
        <v>273.64999999999998</v>
      </c>
      <c r="V126" s="2">
        <v>185.58</v>
      </c>
      <c r="W126" s="2">
        <v>88.07</v>
      </c>
      <c r="X126" s="2">
        <v>32.18</v>
      </c>
      <c r="Y126" s="2">
        <v>149</v>
      </c>
      <c r="Z126" s="2" t="s">
        <v>47</v>
      </c>
      <c r="AA126" s="2" t="s">
        <v>100</v>
      </c>
      <c r="AB126" s="2" t="s">
        <v>101</v>
      </c>
      <c r="AC126" s="2"/>
    </row>
    <row r="127" spans="1:29" x14ac:dyDescent="0.3">
      <c r="A127" s="3" t="s">
        <v>1137</v>
      </c>
      <c r="B127" s="3" t="s">
        <v>1138</v>
      </c>
      <c r="C127" s="3" t="s">
        <v>840</v>
      </c>
      <c r="D127" s="3" t="s">
        <v>1139</v>
      </c>
      <c r="E127" s="3" t="s">
        <v>33</v>
      </c>
      <c r="F127" s="3" t="s">
        <v>322</v>
      </c>
      <c r="G127" s="3" t="s">
        <v>1140</v>
      </c>
      <c r="H127" s="3" t="s">
        <v>1141</v>
      </c>
      <c r="I127" s="3">
        <v>6</v>
      </c>
      <c r="J127" s="3" t="s">
        <v>39</v>
      </c>
      <c r="K127" s="3" t="s">
        <v>109</v>
      </c>
      <c r="L127" s="3" t="s">
        <v>134</v>
      </c>
      <c r="M127" s="3" t="s">
        <v>1142</v>
      </c>
      <c r="N127" s="3" t="s">
        <v>639</v>
      </c>
      <c r="O127" s="3" t="s">
        <v>27</v>
      </c>
      <c r="P127" s="3" t="s">
        <v>175</v>
      </c>
      <c r="Q127" s="3" t="s">
        <v>99</v>
      </c>
      <c r="R127" s="3">
        <v>1</v>
      </c>
      <c r="S127" s="3">
        <v>30225.41</v>
      </c>
      <c r="T127" s="3">
        <v>5</v>
      </c>
      <c r="U127" s="3">
        <v>28714.14</v>
      </c>
      <c r="V127" s="3">
        <v>18652.57</v>
      </c>
      <c r="W127" s="3">
        <v>10061.57</v>
      </c>
      <c r="X127" s="3">
        <v>35.04</v>
      </c>
      <c r="Y127" s="3">
        <v>29</v>
      </c>
      <c r="Z127" s="3" t="s">
        <v>47</v>
      </c>
      <c r="AA127" s="3" t="s">
        <v>275</v>
      </c>
      <c r="AB127" s="3" t="s">
        <v>101</v>
      </c>
      <c r="AC127" s="3"/>
    </row>
    <row r="128" spans="1:29" x14ac:dyDescent="0.3">
      <c r="A128" s="2" t="s">
        <v>1143</v>
      </c>
      <c r="B128" s="2" t="s">
        <v>1144</v>
      </c>
      <c r="C128" s="2" t="s">
        <v>870</v>
      </c>
      <c r="D128" s="2" t="s">
        <v>1145</v>
      </c>
      <c r="E128" s="2" t="s">
        <v>33</v>
      </c>
      <c r="F128" s="2" t="s">
        <v>1146</v>
      </c>
      <c r="G128" s="2" t="s">
        <v>1147</v>
      </c>
      <c r="H128" s="2" t="s">
        <v>1148</v>
      </c>
      <c r="I128" s="2">
        <v>7</v>
      </c>
      <c r="J128" s="2" t="s">
        <v>29</v>
      </c>
      <c r="K128" s="2" t="s">
        <v>834</v>
      </c>
      <c r="L128" s="2" t="s">
        <v>835</v>
      </c>
      <c r="M128" s="2" t="s">
        <v>1149</v>
      </c>
      <c r="N128" s="2" t="s">
        <v>256</v>
      </c>
      <c r="O128" s="2" t="s">
        <v>27</v>
      </c>
      <c r="P128" s="2" t="s">
        <v>257</v>
      </c>
      <c r="Q128" s="2" t="s">
        <v>138</v>
      </c>
      <c r="R128" s="2">
        <v>4</v>
      </c>
      <c r="S128" s="2">
        <v>47689.11</v>
      </c>
      <c r="T128" s="2">
        <v>15</v>
      </c>
      <c r="U128" s="2">
        <v>162142.97</v>
      </c>
      <c r="V128" s="2">
        <v>109916.39</v>
      </c>
      <c r="W128" s="2">
        <v>52226.58</v>
      </c>
      <c r="X128" s="2">
        <v>32.21</v>
      </c>
      <c r="Y128" s="2">
        <v>49</v>
      </c>
      <c r="Z128" s="2" t="s">
        <v>47</v>
      </c>
      <c r="AA128" s="2" t="s">
        <v>100</v>
      </c>
      <c r="AB128" s="2" t="s">
        <v>101</v>
      </c>
      <c r="AC128" s="2">
        <v>4</v>
      </c>
    </row>
    <row r="129" spans="1:29" x14ac:dyDescent="0.3">
      <c r="A129" s="3" t="s">
        <v>1150</v>
      </c>
      <c r="B129" s="3" t="s">
        <v>1151</v>
      </c>
      <c r="C129" s="3" t="s">
        <v>1152</v>
      </c>
      <c r="D129" s="3" t="s">
        <v>1153</v>
      </c>
      <c r="E129" s="3" t="s">
        <v>18</v>
      </c>
      <c r="F129" s="3" t="s">
        <v>94</v>
      </c>
      <c r="G129" s="3" t="s">
        <v>1154</v>
      </c>
      <c r="H129" s="3" t="s">
        <v>1155</v>
      </c>
      <c r="I129" s="3">
        <v>2</v>
      </c>
      <c r="J129" s="3" t="s">
        <v>39</v>
      </c>
      <c r="K129" s="3" t="s">
        <v>193</v>
      </c>
      <c r="L129" s="3" t="s">
        <v>193</v>
      </c>
      <c r="M129" s="3" t="s">
        <v>1156</v>
      </c>
      <c r="N129" s="3" t="s">
        <v>592</v>
      </c>
      <c r="O129" s="3" t="s">
        <v>21</v>
      </c>
      <c r="P129" s="3" t="s">
        <v>206</v>
      </c>
      <c r="Q129" s="3" t="s">
        <v>197</v>
      </c>
      <c r="R129" s="3">
        <v>4</v>
      </c>
      <c r="S129" s="3">
        <v>39889.99</v>
      </c>
      <c r="T129" s="3">
        <v>0</v>
      </c>
      <c r="U129" s="3">
        <v>159559.96</v>
      </c>
      <c r="V129" s="3">
        <v>93028.12</v>
      </c>
      <c r="W129" s="3">
        <v>66531.839999999997</v>
      </c>
      <c r="X129" s="3">
        <v>41.7</v>
      </c>
      <c r="Y129" s="3">
        <v>99</v>
      </c>
      <c r="Z129" s="3" t="s">
        <v>48</v>
      </c>
      <c r="AA129" s="3" t="s">
        <v>275</v>
      </c>
      <c r="AB129" s="3" t="s">
        <v>101</v>
      </c>
      <c r="AC129" s="3"/>
    </row>
    <row r="130" spans="1:29" x14ac:dyDescent="0.3">
      <c r="A130" s="2" t="s">
        <v>1157</v>
      </c>
      <c r="B130" s="2" t="s">
        <v>1158</v>
      </c>
      <c r="C130" s="2" t="s">
        <v>1159</v>
      </c>
      <c r="D130" s="2" t="s">
        <v>1160</v>
      </c>
      <c r="E130" s="2" t="s">
        <v>42</v>
      </c>
      <c r="F130" s="2" t="s">
        <v>668</v>
      </c>
      <c r="G130" s="2" t="s">
        <v>1161</v>
      </c>
      <c r="H130" s="2" t="s">
        <v>1162</v>
      </c>
      <c r="I130" s="2">
        <v>2</v>
      </c>
      <c r="J130" s="2" t="s">
        <v>39</v>
      </c>
      <c r="K130" s="2" t="s">
        <v>324</v>
      </c>
      <c r="L130" s="2" t="s">
        <v>325</v>
      </c>
      <c r="M130" s="2" t="s">
        <v>1163</v>
      </c>
      <c r="N130" s="2" t="s">
        <v>306</v>
      </c>
      <c r="O130" s="2" t="s">
        <v>21</v>
      </c>
      <c r="P130" s="2" t="s">
        <v>126</v>
      </c>
      <c r="Q130" s="2" t="s">
        <v>99</v>
      </c>
      <c r="R130" s="2">
        <v>2</v>
      </c>
      <c r="S130" s="2">
        <v>22911.07</v>
      </c>
      <c r="T130" s="2">
        <v>5</v>
      </c>
      <c r="U130" s="2">
        <v>43531.03</v>
      </c>
      <c r="V130" s="2">
        <v>29400.080000000002</v>
      </c>
      <c r="W130" s="2">
        <v>14130.95</v>
      </c>
      <c r="X130" s="2">
        <v>32.46</v>
      </c>
      <c r="Y130" s="2">
        <v>49</v>
      </c>
      <c r="Z130" s="2" t="s">
        <v>40</v>
      </c>
      <c r="AA130" s="2" t="s">
        <v>100</v>
      </c>
      <c r="AB130" s="2" t="s">
        <v>101</v>
      </c>
      <c r="AC130" s="2">
        <v>3</v>
      </c>
    </row>
    <row r="131" spans="1:29" x14ac:dyDescent="0.3">
      <c r="A131" s="3" t="s">
        <v>1164</v>
      </c>
      <c r="B131" s="3" t="s">
        <v>1165</v>
      </c>
      <c r="C131" s="3" t="s">
        <v>1166</v>
      </c>
      <c r="D131" s="3" t="s">
        <v>1167</v>
      </c>
      <c r="E131" s="3" t="s">
        <v>18</v>
      </c>
      <c r="F131" s="3" t="s">
        <v>1168</v>
      </c>
      <c r="G131" s="3" t="s">
        <v>506</v>
      </c>
      <c r="H131" s="3" t="s">
        <v>491</v>
      </c>
      <c r="I131" s="3">
        <v>8</v>
      </c>
      <c r="J131" s="3" t="s">
        <v>14</v>
      </c>
      <c r="K131" s="3" t="s">
        <v>215</v>
      </c>
      <c r="L131" s="3" t="s">
        <v>215</v>
      </c>
      <c r="M131" s="3" t="s">
        <v>1169</v>
      </c>
      <c r="N131" s="3" t="s">
        <v>508</v>
      </c>
      <c r="O131" s="3" t="s">
        <v>19</v>
      </c>
      <c r="P131" s="3" t="s">
        <v>365</v>
      </c>
      <c r="Q131" s="3" t="s">
        <v>509</v>
      </c>
      <c r="R131" s="3">
        <v>3</v>
      </c>
      <c r="S131" s="3">
        <v>12211.29</v>
      </c>
      <c r="T131" s="3">
        <v>30</v>
      </c>
      <c r="U131" s="3">
        <v>25643.71</v>
      </c>
      <c r="V131" s="3">
        <v>13948.36</v>
      </c>
      <c r="W131" s="3">
        <v>11695.35</v>
      </c>
      <c r="X131" s="3">
        <v>45.61</v>
      </c>
      <c r="Y131" s="3">
        <v>99</v>
      </c>
      <c r="Z131" s="3" t="s">
        <v>15</v>
      </c>
      <c r="AA131" s="3" t="s">
        <v>100</v>
      </c>
      <c r="AB131" s="3" t="s">
        <v>101</v>
      </c>
      <c r="AC131" s="3">
        <v>2</v>
      </c>
    </row>
    <row r="132" spans="1:29" x14ac:dyDescent="0.3">
      <c r="A132" s="2" t="s">
        <v>1170</v>
      </c>
      <c r="B132" s="2" t="s">
        <v>1171</v>
      </c>
      <c r="C132" s="2" t="s">
        <v>117</v>
      </c>
      <c r="D132" s="2" t="s">
        <v>1172</v>
      </c>
      <c r="E132" s="2" t="s">
        <v>42</v>
      </c>
      <c r="F132" s="2" t="s">
        <v>843</v>
      </c>
      <c r="G132" s="2" t="s">
        <v>1155</v>
      </c>
      <c r="H132" s="2" t="s">
        <v>1173</v>
      </c>
      <c r="I132" s="2">
        <v>3</v>
      </c>
      <c r="J132" s="2" t="s">
        <v>14</v>
      </c>
      <c r="K132" s="2" t="s">
        <v>171</v>
      </c>
      <c r="L132" s="2" t="s">
        <v>541</v>
      </c>
      <c r="M132" s="2" t="s">
        <v>1174</v>
      </c>
      <c r="N132" s="2" t="s">
        <v>889</v>
      </c>
      <c r="O132" s="2" t="s">
        <v>27</v>
      </c>
      <c r="P132" s="2" t="s">
        <v>257</v>
      </c>
      <c r="Q132" s="2" t="s">
        <v>127</v>
      </c>
      <c r="R132" s="2">
        <v>2</v>
      </c>
      <c r="S132" s="2">
        <v>41126.730000000003</v>
      </c>
      <c r="T132" s="2">
        <v>25</v>
      </c>
      <c r="U132" s="2">
        <v>61690.1</v>
      </c>
      <c r="V132" s="2">
        <v>41056.199999999997</v>
      </c>
      <c r="W132" s="2">
        <v>20633.900000000001</v>
      </c>
      <c r="X132" s="2">
        <v>33.450000000000003</v>
      </c>
      <c r="Y132" s="2">
        <v>99</v>
      </c>
      <c r="Z132" s="2" t="s">
        <v>15</v>
      </c>
      <c r="AA132" s="2" t="s">
        <v>100</v>
      </c>
      <c r="AB132" s="2" t="s">
        <v>101</v>
      </c>
      <c r="AC132" s="2"/>
    </row>
    <row r="133" spans="1:29" x14ac:dyDescent="0.3">
      <c r="A133" s="3" t="s">
        <v>1175</v>
      </c>
      <c r="B133" s="3" t="s">
        <v>1176</v>
      </c>
      <c r="C133" s="3" t="s">
        <v>1177</v>
      </c>
      <c r="D133" s="3" t="s">
        <v>1178</v>
      </c>
      <c r="E133" s="3" t="s">
        <v>26</v>
      </c>
      <c r="F133" s="3" t="s">
        <v>1179</v>
      </c>
      <c r="G133" s="3" t="s">
        <v>558</v>
      </c>
      <c r="H133" s="3" t="s">
        <v>683</v>
      </c>
      <c r="I133" s="3">
        <v>7</v>
      </c>
      <c r="J133" s="3" t="s">
        <v>14</v>
      </c>
      <c r="K133" s="3" t="s">
        <v>215</v>
      </c>
      <c r="L133" s="3" t="s">
        <v>215</v>
      </c>
      <c r="M133" s="3" t="s">
        <v>1180</v>
      </c>
      <c r="N133" s="3" t="s">
        <v>446</v>
      </c>
      <c r="O133" s="3" t="s">
        <v>19</v>
      </c>
      <c r="P133" s="3" t="s">
        <v>447</v>
      </c>
      <c r="Q133" s="3" t="s">
        <v>138</v>
      </c>
      <c r="R133" s="3">
        <v>1</v>
      </c>
      <c r="S133" s="3">
        <v>37835.550000000003</v>
      </c>
      <c r="T133" s="3">
        <v>10</v>
      </c>
      <c r="U133" s="3">
        <v>34052</v>
      </c>
      <c r="V133" s="3">
        <v>18989.060000000001</v>
      </c>
      <c r="W133" s="3">
        <v>15062.94</v>
      </c>
      <c r="X133" s="3">
        <v>44.24</v>
      </c>
      <c r="Y133" s="3">
        <v>29</v>
      </c>
      <c r="Z133" s="3" t="s">
        <v>30</v>
      </c>
      <c r="AA133" s="3" t="s">
        <v>100</v>
      </c>
      <c r="AB133" s="3" t="s">
        <v>101</v>
      </c>
      <c r="AC133" s="3"/>
    </row>
    <row r="134" spans="1:29" x14ac:dyDescent="0.3">
      <c r="A134" s="2" t="s">
        <v>1181</v>
      </c>
      <c r="B134" s="2" t="s">
        <v>1182</v>
      </c>
      <c r="C134" s="2" t="s">
        <v>1183</v>
      </c>
      <c r="D134" s="2" t="s">
        <v>1184</v>
      </c>
      <c r="E134" s="2" t="s">
        <v>33</v>
      </c>
      <c r="F134" s="2" t="s">
        <v>1185</v>
      </c>
      <c r="G134" s="2" t="s">
        <v>1186</v>
      </c>
      <c r="H134" s="2" t="s">
        <v>720</v>
      </c>
      <c r="I134" s="2">
        <v>3</v>
      </c>
      <c r="J134" s="2" t="s">
        <v>22</v>
      </c>
      <c r="K134" s="2" t="s">
        <v>738</v>
      </c>
      <c r="L134" s="2" t="s">
        <v>738</v>
      </c>
      <c r="M134" s="2" t="s">
        <v>1187</v>
      </c>
      <c r="N134" s="2" t="s">
        <v>1188</v>
      </c>
      <c r="O134" s="2" t="s">
        <v>27</v>
      </c>
      <c r="P134" s="2" t="s">
        <v>257</v>
      </c>
      <c r="Q134" s="2" t="s">
        <v>608</v>
      </c>
      <c r="R134" s="2">
        <v>3</v>
      </c>
      <c r="S134" s="2">
        <v>37391.449999999997</v>
      </c>
      <c r="T134" s="2">
        <v>30</v>
      </c>
      <c r="U134" s="2">
        <v>78522.039999999994</v>
      </c>
      <c r="V134" s="2">
        <v>40096.910000000003</v>
      </c>
      <c r="W134" s="2">
        <v>38425.129999999997</v>
      </c>
      <c r="X134" s="2">
        <v>48.94</v>
      </c>
      <c r="Y134" s="2">
        <v>49</v>
      </c>
      <c r="Z134" s="2" t="s">
        <v>23</v>
      </c>
      <c r="AA134" s="2" t="s">
        <v>100</v>
      </c>
      <c r="AB134" s="2" t="s">
        <v>101</v>
      </c>
      <c r="AC134" s="2">
        <v>3</v>
      </c>
    </row>
    <row r="135" spans="1:29" x14ac:dyDescent="0.3">
      <c r="A135" s="3" t="s">
        <v>1189</v>
      </c>
      <c r="B135" s="3" t="s">
        <v>1190</v>
      </c>
      <c r="C135" s="3" t="s">
        <v>545</v>
      </c>
      <c r="D135" s="3" t="s">
        <v>1191</v>
      </c>
      <c r="E135" s="3" t="s">
        <v>33</v>
      </c>
      <c r="F135" s="3" t="s">
        <v>515</v>
      </c>
      <c r="G135" s="3" t="s">
        <v>1192</v>
      </c>
      <c r="H135" s="3" t="s">
        <v>999</v>
      </c>
      <c r="I135" s="3">
        <v>6</v>
      </c>
      <c r="J135" s="3" t="s">
        <v>22</v>
      </c>
      <c r="K135" s="3" t="s">
        <v>283</v>
      </c>
      <c r="L135" s="3" t="s">
        <v>284</v>
      </c>
      <c r="M135" s="3" t="s">
        <v>1193</v>
      </c>
      <c r="N135" s="3" t="s">
        <v>217</v>
      </c>
      <c r="O135" s="3" t="s">
        <v>21</v>
      </c>
      <c r="P135" s="3" t="s">
        <v>206</v>
      </c>
      <c r="Q135" s="3" t="s">
        <v>207</v>
      </c>
      <c r="R135" s="3">
        <v>3</v>
      </c>
      <c r="S135" s="3">
        <v>45782.07</v>
      </c>
      <c r="T135" s="3">
        <v>10</v>
      </c>
      <c r="U135" s="3">
        <v>123611.59</v>
      </c>
      <c r="V135" s="3">
        <v>64858.45</v>
      </c>
      <c r="W135" s="3">
        <v>58753.14</v>
      </c>
      <c r="X135" s="3">
        <v>47.53</v>
      </c>
      <c r="Y135" s="3">
        <v>29</v>
      </c>
      <c r="Z135" s="3" t="s">
        <v>48</v>
      </c>
      <c r="AA135" s="3" t="s">
        <v>100</v>
      </c>
      <c r="AB135" s="3" t="s">
        <v>101</v>
      </c>
      <c r="AC135" s="3">
        <v>1</v>
      </c>
    </row>
    <row r="136" spans="1:29" x14ac:dyDescent="0.3">
      <c r="A136" s="2" t="s">
        <v>1194</v>
      </c>
      <c r="B136" s="2" t="s">
        <v>1195</v>
      </c>
      <c r="C136" s="2" t="s">
        <v>1196</v>
      </c>
      <c r="D136" s="2" t="s">
        <v>330</v>
      </c>
      <c r="E136" s="2" t="s">
        <v>42</v>
      </c>
      <c r="F136" s="2" t="s">
        <v>1197</v>
      </c>
      <c r="G136" s="2" t="s">
        <v>1198</v>
      </c>
      <c r="H136" s="2" t="s">
        <v>1199</v>
      </c>
      <c r="I136" s="2">
        <v>2</v>
      </c>
      <c r="J136" s="2" t="s">
        <v>39</v>
      </c>
      <c r="K136" s="2" t="s">
        <v>324</v>
      </c>
      <c r="L136" s="2" t="s">
        <v>1028</v>
      </c>
      <c r="M136" s="2" t="s">
        <v>1200</v>
      </c>
      <c r="N136" s="2" t="s">
        <v>227</v>
      </c>
      <c r="O136" s="2" t="s">
        <v>13</v>
      </c>
      <c r="P136" s="2" t="s">
        <v>228</v>
      </c>
      <c r="Q136" s="2" t="s">
        <v>400</v>
      </c>
      <c r="R136" s="2">
        <v>3</v>
      </c>
      <c r="S136" s="2">
        <v>34688.74</v>
      </c>
      <c r="T136" s="2">
        <v>20</v>
      </c>
      <c r="U136" s="2">
        <v>83252.98</v>
      </c>
      <c r="V136" s="2">
        <v>44971.77</v>
      </c>
      <c r="W136" s="2">
        <v>38281.21</v>
      </c>
      <c r="X136" s="2">
        <v>45.98</v>
      </c>
      <c r="Y136" s="2">
        <v>49</v>
      </c>
      <c r="Z136" s="2" t="s">
        <v>40</v>
      </c>
      <c r="AA136" s="2" t="s">
        <v>100</v>
      </c>
      <c r="AB136" s="2" t="s">
        <v>101</v>
      </c>
      <c r="AC136" s="2"/>
    </row>
    <row r="137" spans="1:29" x14ac:dyDescent="0.3">
      <c r="A137" s="3" t="s">
        <v>1201</v>
      </c>
      <c r="B137" s="3" t="s">
        <v>1202</v>
      </c>
      <c r="C137" s="3" t="s">
        <v>642</v>
      </c>
      <c r="D137" s="3" t="s">
        <v>1203</v>
      </c>
      <c r="E137" s="3" t="s">
        <v>18</v>
      </c>
      <c r="F137" s="3" t="s">
        <v>1204</v>
      </c>
      <c r="G137" s="3" t="s">
        <v>1205</v>
      </c>
      <c r="H137" s="3" t="s">
        <v>1206</v>
      </c>
      <c r="I137" s="3">
        <v>6</v>
      </c>
      <c r="J137" s="3" t="s">
        <v>14</v>
      </c>
      <c r="K137" s="3" t="s">
        <v>171</v>
      </c>
      <c r="L137" s="3" t="s">
        <v>541</v>
      </c>
      <c r="M137" s="3" t="s">
        <v>1207</v>
      </c>
      <c r="N137" s="3" t="s">
        <v>227</v>
      </c>
      <c r="O137" s="3" t="s">
        <v>13</v>
      </c>
      <c r="P137" s="3" t="s">
        <v>228</v>
      </c>
      <c r="Q137" s="3" t="s">
        <v>127</v>
      </c>
      <c r="R137" s="3">
        <v>5</v>
      </c>
      <c r="S137" s="3">
        <v>37321.39</v>
      </c>
      <c r="T137" s="3">
        <v>0</v>
      </c>
      <c r="U137" s="3">
        <v>186606.95</v>
      </c>
      <c r="V137" s="3">
        <v>124897.93</v>
      </c>
      <c r="W137" s="3">
        <v>61709.02</v>
      </c>
      <c r="X137" s="3">
        <v>33.07</v>
      </c>
      <c r="Y137" s="3">
        <v>199</v>
      </c>
      <c r="Z137" s="3" t="s">
        <v>30</v>
      </c>
      <c r="AA137" s="3" t="s">
        <v>100</v>
      </c>
      <c r="AB137" s="3" t="s">
        <v>101</v>
      </c>
      <c r="AC137" s="3">
        <v>1</v>
      </c>
    </row>
    <row r="138" spans="1:29" x14ac:dyDescent="0.3">
      <c r="A138" s="2" t="s">
        <v>1208</v>
      </c>
      <c r="B138" s="2" t="s">
        <v>1209</v>
      </c>
      <c r="C138" s="2" t="s">
        <v>348</v>
      </c>
      <c r="D138" s="2" t="s">
        <v>1210</v>
      </c>
      <c r="E138" s="2" t="s">
        <v>26</v>
      </c>
      <c r="F138" s="2" t="s">
        <v>1211</v>
      </c>
      <c r="G138" s="2" t="s">
        <v>1212</v>
      </c>
      <c r="H138" s="2" t="s">
        <v>1213</v>
      </c>
      <c r="I138" s="2">
        <v>7</v>
      </c>
      <c r="J138" s="2" t="s">
        <v>22</v>
      </c>
      <c r="K138" s="2" t="s">
        <v>738</v>
      </c>
      <c r="L138" s="2" t="s">
        <v>738</v>
      </c>
      <c r="M138" s="2" t="s">
        <v>1214</v>
      </c>
      <c r="N138" s="2" t="s">
        <v>399</v>
      </c>
      <c r="O138" s="2" t="s">
        <v>21</v>
      </c>
      <c r="P138" s="2" t="s">
        <v>196</v>
      </c>
      <c r="Q138" s="2" t="s">
        <v>114</v>
      </c>
      <c r="R138" s="2">
        <v>5</v>
      </c>
      <c r="S138" s="2">
        <v>45714.27</v>
      </c>
      <c r="T138" s="2">
        <v>5</v>
      </c>
      <c r="U138" s="2">
        <v>217142.78</v>
      </c>
      <c r="V138" s="2">
        <v>109454.59</v>
      </c>
      <c r="W138" s="2">
        <v>107688.19</v>
      </c>
      <c r="X138" s="2">
        <v>49.59</v>
      </c>
      <c r="Y138" s="2">
        <v>29</v>
      </c>
      <c r="Z138" s="2" t="s">
        <v>47</v>
      </c>
      <c r="AA138" s="2" t="s">
        <v>100</v>
      </c>
      <c r="AB138" s="2" t="s">
        <v>101</v>
      </c>
      <c r="AC138" s="2">
        <v>4</v>
      </c>
    </row>
    <row r="139" spans="1:29" x14ac:dyDescent="0.3">
      <c r="A139" s="3" t="s">
        <v>1215</v>
      </c>
      <c r="B139" s="3" t="s">
        <v>1216</v>
      </c>
      <c r="C139" s="3" t="s">
        <v>1217</v>
      </c>
      <c r="D139" s="3" t="s">
        <v>1218</v>
      </c>
      <c r="E139" s="3" t="s">
        <v>42</v>
      </c>
      <c r="F139" s="3" t="s">
        <v>1219</v>
      </c>
      <c r="G139" s="3" t="s">
        <v>1220</v>
      </c>
      <c r="H139" s="3" t="s">
        <v>1221</v>
      </c>
      <c r="I139" s="3">
        <v>5</v>
      </c>
      <c r="J139" s="3" t="s">
        <v>29</v>
      </c>
      <c r="K139" s="3" t="s">
        <v>334</v>
      </c>
      <c r="L139" s="3" t="s">
        <v>614</v>
      </c>
      <c r="M139" s="3" t="s">
        <v>1222</v>
      </c>
      <c r="N139" s="3" t="s">
        <v>1223</v>
      </c>
      <c r="O139" s="3" t="s">
        <v>19</v>
      </c>
      <c r="P139" s="3" t="s">
        <v>447</v>
      </c>
      <c r="Q139" s="3" t="s">
        <v>509</v>
      </c>
      <c r="R139" s="3">
        <v>2</v>
      </c>
      <c r="S139" s="3">
        <v>30156.38</v>
      </c>
      <c r="T139" s="3">
        <v>15</v>
      </c>
      <c r="U139" s="3">
        <v>51265.85</v>
      </c>
      <c r="V139" s="3">
        <v>35613.879999999997</v>
      </c>
      <c r="W139" s="3">
        <v>15651.97</v>
      </c>
      <c r="X139" s="3">
        <v>30.53</v>
      </c>
      <c r="Y139" s="3">
        <v>49</v>
      </c>
      <c r="Z139" s="3" t="s">
        <v>15</v>
      </c>
      <c r="AA139" s="3" t="s">
        <v>672</v>
      </c>
      <c r="AB139" s="3" t="s">
        <v>101</v>
      </c>
      <c r="AC139" s="3"/>
    </row>
    <row r="140" spans="1:29" x14ac:dyDescent="0.3">
      <c r="A140" s="2" t="s">
        <v>1224</v>
      </c>
      <c r="B140" s="2" t="s">
        <v>1225</v>
      </c>
      <c r="C140" s="2" t="s">
        <v>1226</v>
      </c>
      <c r="D140" s="2" t="s">
        <v>1227</v>
      </c>
      <c r="E140" s="2" t="s">
        <v>33</v>
      </c>
      <c r="F140" s="2" t="s">
        <v>1228</v>
      </c>
      <c r="G140" s="2" t="s">
        <v>1229</v>
      </c>
      <c r="H140" s="2" t="s">
        <v>491</v>
      </c>
      <c r="I140" s="2">
        <v>4</v>
      </c>
      <c r="J140" s="2" t="s">
        <v>14</v>
      </c>
      <c r="K140" s="2" t="s">
        <v>215</v>
      </c>
      <c r="L140" s="2" t="s">
        <v>215</v>
      </c>
      <c r="M140" s="2" t="s">
        <v>1230</v>
      </c>
      <c r="N140" s="2" t="s">
        <v>1223</v>
      </c>
      <c r="O140" s="2" t="s">
        <v>19</v>
      </c>
      <c r="P140" s="2" t="s">
        <v>447</v>
      </c>
      <c r="Q140" s="2" t="s">
        <v>207</v>
      </c>
      <c r="R140" s="2">
        <v>1</v>
      </c>
      <c r="S140" s="2">
        <v>28396.240000000002</v>
      </c>
      <c r="T140" s="2">
        <v>15</v>
      </c>
      <c r="U140" s="2">
        <v>24136.799999999999</v>
      </c>
      <c r="V140" s="2">
        <v>13211.1</v>
      </c>
      <c r="W140" s="2">
        <v>10925.7</v>
      </c>
      <c r="X140" s="2">
        <v>45.27</v>
      </c>
      <c r="Y140" s="2">
        <v>49</v>
      </c>
      <c r="Z140" s="2" t="s">
        <v>15</v>
      </c>
      <c r="AA140" s="2" t="s">
        <v>100</v>
      </c>
      <c r="AB140" s="2" t="s">
        <v>101</v>
      </c>
      <c r="AC140" s="2">
        <v>5</v>
      </c>
    </row>
    <row r="141" spans="1:29" x14ac:dyDescent="0.3">
      <c r="A141" s="3" t="s">
        <v>1231</v>
      </c>
      <c r="B141" s="3" t="s">
        <v>1232</v>
      </c>
      <c r="C141" s="3" t="s">
        <v>1233</v>
      </c>
      <c r="D141" s="3" t="s">
        <v>1234</v>
      </c>
      <c r="E141" s="3" t="s">
        <v>18</v>
      </c>
      <c r="F141" s="3" t="s">
        <v>322</v>
      </c>
      <c r="G141" s="3" t="s">
        <v>323</v>
      </c>
      <c r="H141" s="3" t="s">
        <v>1235</v>
      </c>
      <c r="I141" s="3">
        <v>2</v>
      </c>
      <c r="J141" s="3" t="s">
        <v>14</v>
      </c>
      <c r="K141" s="3" t="s">
        <v>183</v>
      </c>
      <c r="L141" s="3" t="s">
        <v>183</v>
      </c>
      <c r="M141" s="3" t="s">
        <v>1236</v>
      </c>
      <c r="N141" s="3" t="s">
        <v>286</v>
      </c>
      <c r="O141" s="3" t="s">
        <v>28</v>
      </c>
      <c r="P141" s="3" t="s">
        <v>137</v>
      </c>
      <c r="Q141" s="3" t="s">
        <v>400</v>
      </c>
      <c r="R141" s="3">
        <v>5</v>
      </c>
      <c r="S141" s="3">
        <v>29203.78</v>
      </c>
      <c r="T141" s="3">
        <v>0</v>
      </c>
      <c r="U141" s="3">
        <v>146018.9</v>
      </c>
      <c r="V141" s="3">
        <v>99152.19</v>
      </c>
      <c r="W141" s="3">
        <v>46866.71</v>
      </c>
      <c r="X141" s="3">
        <v>32.1</v>
      </c>
      <c r="Y141" s="3">
        <v>99</v>
      </c>
      <c r="Z141" s="3" t="s">
        <v>23</v>
      </c>
      <c r="AA141" s="3" t="s">
        <v>100</v>
      </c>
      <c r="AB141" s="3" t="s">
        <v>101</v>
      </c>
      <c r="AC141" s="3">
        <v>3</v>
      </c>
    </row>
    <row r="142" spans="1:29" x14ac:dyDescent="0.3">
      <c r="A142" s="2" t="s">
        <v>1237</v>
      </c>
      <c r="B142" s="2" t="s">
        <v>1238</v>
      </c>
      <c r="C142" s="2" t="s">
        <v>300</v>
      </c>
      <c r="D142" s="2" t="s">
        <v>1239</v>
      </c>
      <c r="E142" s="2" t="s">
        <v>18</v>
      </c>
      <c r="F142" s="2" t="s">
        <v>1240</v>
      </c>
      <c r="G142" s="2" t="s">
        <v>1241</v>
      </c>
      <c r="H142" s="2" t="s">
        <v>1242</v>
      </c>
      <c r="I142" s="2">
        <v>8</v>
      </c>
      <c r="J142" s="2" t="s">
        <v>22</v>
      </c>
      <c r="K142" s="2" t="s">
        <v>738</v>
      </c>
      <c r="L142" s="2" t="s">
        <v>738</v>
      </c>
      <c r="M142" s="2" t="s">
        <v>1243</v>
      </c>
      <c r="N142" s="2" t="s">
        <v>533</v>
      </c>
      <c r="O142" s="2" t="s">
        <v>19</v>
      </c>
      <c r="P142" s="2" t="s">
        <v>297</v>
      </c>
      <c r="Q142" s="2" t="s">
        <v>99</v>
      </c>
      <c r="R142" s="2">
        <v>5</v>
      </c>
      <c r="S142" s="2">
        <v>26281.43</v>
      </c>
      <c r="T142" s="2">
        <v>30</v>
      </c>
      <c r="U142" s="2">
        <v>91985</v>
      </c>
      <c r="V142" s="2">
        <v>46896.639999999999</v>
      </c>
      <c r="W142" s="2">
        <v>45088.36</v>
      </c>
      <c r="X142" s="2">
        <v>49.02</v>
      </c>
      <c r="Y142" s="2">
        <v>199</v>
      </c>
      <c r="Z142" s="2" t="s">
        <v>30</v>
      </c>
      <c r="AA142" s="2" t="s">
        <v>100</v>
      </c>
      <c r="AB142" s="2" t="s">
        <v>140</v>
      </c>
      <c r="AC142" s="2"/>
    </row>
    <row r="143" spans="1:29" x14ac:dyDescent="0.3">
      <c r="A143" s="3" t="s">
        <v>1244</v>
      </c>
      <c r="B143" s="3" t="s">
        <v>1245</v>
      </c>
      <c r="C143" s="3" t="s">
        <v>1246</v>
      </c>
      <c r="D143" s="3" t="s">
        <v>1247</v>
      </c>
      <c r="E143" s="3" t="s">
        <v>42</v>
      </c>
      <c r="F143" s="3" t="s">
        <v>1248</v>
      </c>
      <c r="G143" s="3" t="s">
        <v>1070</v>
      </c>
      <c r="H143" s="3" t="s">
        <v>1249</v>
      </c>
      <c r="I143" s="3">
        <v>3</v>
      </c>
      <c r="J143" s="3" t="s">
        <v>29</v>
      </c>
      <c r="K143" s="3" t="s">
        <v>148</v>
      </c>
      <c r="L143" s="3" t="s">
        <v>148</v>
      </c>
      <c r="M143" s="3" t="s">
        <v>1250</v>
      </c>
      <c r="N143" s="3" t="s">
        <v>852</v>
      </c>
      <c r="O143" s="3" t="s">
        <v>27</v>
      </c>
      <c r="P143" s="3" t="s">
        <v>175</v>
      </c>
      <c r="Q143" s="3" t="s">
        <v>287</v>
      </c>
      <c r="R143" s="3">
        <v>4</v>
      </c>
      <c r="S143" s="3">
        <v>2053.2199999999998</v>
      </c>
      <c r="T143" s="3">
        <v>15</v>
      </c>
      <c r="U143" s="3">
        <v>6980.95</v>
      </c>
      <c r="V143" s="3">
        <v>4279.88</v>
      </c>
      <c r="W143" s="3">
        <v>2701.07</v>
      </c>
      <c r="X143" s="3">
        <v>38.69</v>
      </c>
      <c r="Y143" s="3">
        <v>99</v>
      </c>
      <c r="Z143" s="3" t="s">
        <v>48</v>
      </c>
      <c r="AA143" s="3" t="s">
        <v>100</v>
      </c>
      <c r="AB143" s="3" t="s">
        <v>101</v>
      </c>
      <c r="AC143" s="3">
        <v>3</v>
      </c>
    </row>
    <row r="144" spans="1:29" x14ac:dyDescent="0.3">
      <c r="A144" s="2" t="s">
        <v>1251</v>
      </c>
      <c r="B144" s="2" t="s">
        <v>1252</v>
      </c>
      <c r="C144" s="2" t="s">
        <v>1253</v>
      </c>
      <c r="D144" s="2" t="s">
        <v>1254</v>
      </c>
      <c r="E144" s="2" t="s">
        <v>18</v>
      </c>
      <c r="F144" s="2" t="s">
        <v>1255</v>
      </c>
      <c r="G144" s="2" t="s">
        <v>1256</v>
      </c>
      <c r="H144" s="2" t="s">
        <v>1257</v>
      </c>
      <c r="I144" s="2">
        <v>2</v>
      </c>
      <c r="J144" s="2" t="s">
        <v>14</v>
      </c>
      <c r="K144" s="2" t="s">
        <v>95</v>
      </c>
      <c r="L144" s="2" t="s">
        <v>95</v>
      </c>
      <c r="M144" s="2" t="s">
        <v>1258</v>
      </c>
      <c r="N144" s="2" t="s">
        <v>583</v>
      </c>
      <c r="O144" s="2" t="s">
        <v>19</v>
      </c>
      <c r="P144" s="2" t="s">
        <v>447</v>
      </c>
      <c r="Q144" s="2" t="s">
        <v>127</v>
      </c>
      <c r="R144" s="2">
        <v>5</v>
      </c>
      <c r="S144" s="2">
        <v>38742.74</v>
      </c>
      <c r="T144" s="2">
        <v>5</v>
      </c>
      <c r="U144" s="2">
        <v>184028.01</v>
      </c>
      <c r="V144" s="2">
        <v>92071.39</v>
      </c>
      <c r="W144" s="2">
        <v>91956.62</v>
      </c>
      <c r="X144" s="2">
        <v>49.97</v>
      </c>
      <c r="Y144" s="2">
        <v>0</v>
      </c>
      <c r="Z144" s="2" t="s">
        <v>43</v>
      </c>
      <c r="AA144" s="2" t="s">
        <v>100</v>
      </c>
      <c r="AB144" s="2" t="s">
        <v>101</v>
      </c>
      <c r="AC144" s="2">
        <v>2</v>
      </c>
    </row>
    <row r="145" spans="1:29" x14ac:dyDescent="0.3">
      <c r="A145" s="3" t="s">
        <v>1259</v>
      </c>
      <c r="B145" s="3" t="s">
        <v>1260</v>
      </c>
      <c r="C145" s="3" t="s">
        <v>1261</v>
      </c>
      <c r="D145" s="3" t="s">
        <v>1262</v>
      </c>
      <c r="E145" s="3" t="s">
        <v>42</v>
      </c>
      <c r="F145" s="3" t="s">
        <v>1263</v>
      </c>
      <c r="G145" s="3" t="s">
        <v>1264</v>
      </c>
      <c r="H145" s="3" t="s">
        <v>1265</v>
      </c>
      <c r="I145" s="3">
        <v>5</v>
      </c>
      <c r="J145" s="3" t="s">
        <v>39</v>
      </c>
      <c r="K145" s="3" t="s">
        <v>225</v>
      </c>
      <c r="L145" s="3" t="s">
        <v>225</v>
      </c>
      <c r="M145" s="3" t="s">
        <v>1266</v>
      </c>
      <c r="N145" s="3" t="s">
        <v>805</v>
      </c>
      <c r="O145" s="3" t="s">
        <v>28</v>
      </c>
      <c r="P145" s="3" t="s">
        <v>151</v>
      </c>
      <c r="Q145" s="3" t="s">
        <v>466</v>
      </c>
      <c r="R145" s="3">
        <v>1</v>
      </c>
      <c r="S145" s="3">
        <v>28194</v>
      </c>
      <c r="T145" s="3">
        <v>25</v>
      </c>
      <c r="U145" s="3">
        <v>21145.5</v>
      </c>
      <c r="V145" s="3">
        <v>12821.21</v>
      </c>
      <c r="W145" s="3">
        <v>8324.2900000000009</v>
      </c>
      <c r="X145" s="3">
        <v>39.369999999999997</v>
      </c>
      <c r="Y145" s="3">
        <v>199</v>
      </c>
      <c r="Z145" s="3" t="s">
        <v>15</v>
      </c>
      <c r="AA145" s="3" t="s">
        <v>100</v>
      </c>
      <c r="AB145" s="3" t="s">
        <v>101</v>
      </c>
      <c r="AC145" s="3">
        <v>5</v>
      </c>
    </row>
    <row r="146" spans="1:29" x14ac:dyDescent="0.3">
      <c r="A146" s="2" t="s">
        <v>1267</v>
      </c>
      <c r="B146" s="2" t="s">
        <v>1268</v>
      </c>
      <c r="C146" s="2" t="s">
        <v>155</v>
      </c>
      <c r="D146" s="2" t="s">
        <v>1269</v>
      </c>
      <c r="E146" s="2" t="s">
        <v>18</v>
      </c>
      <c r="F146" s="2" t="s">
        <v>557</v>
      </c>
      <c r="G146" s="2" t="s">
        <v>1179</v>
      </c>
      <c r="H146" s="2" t="s">
        <v>682</v>
      </c>
      <c r="I146" s="2">
        <v>8</v>
      </c>
      <c r="J146" s="2" t="s">
        <v>39</v>
      </c>
      <c r="K146" s="2" t="s">
        <v>109</v>
      </c>
      <c r="L146" s="2" t="s">
        <v>110</v>
      </c>
      <c r="M146" s="2" t="s">
        <v>1270</v>
      </c>
      <c r="N146" s="2" t="s">
        <v>852</v>
      </c>
      <c r="O146" s="2" t="s">
        <v>27</v>
      </c>
      <c r="P146" s="2" t="s">
        <v>175</v>
      </c>
      <c r="Q146" s="2" t="s">
        <v>608</v>
      </c>
      <c r="R146" s="2">
        <v>5</v>
      </c>
      <c r="S146" s="2">
        <v>3211.61</v>
      </c>
      <c r="T146" s="2">
        <v>5</v>
      </c>
      <c r="U146" s="2">
        <v>15255.15</v>
      </c>
      <c r="V146" s="2">
        <v>8719.6299999999992</v>
      </c>
      <c r="W146" s="2">
        <v>6535.52</v>
      </c>
      <c r="X146" s="2">
        <v>42.84</v>
      </c>
      <c r="Y146" s="2">
        <v>0</v>
      </c>
      <c r="Z146" s="2" t="s">
        <v>15</v>
      </c>
      <c r="AA146" s="2" t="s">
        <v>100</v>
      </c>
      <c r="AB146" s="2" t="s">
        <v>101</v>
      </c>
      <c r="AC146" s="2">
        <v>2</v>
      </c>
    </row>
    <row r="147" spans="1:29" x14ac:dyDescent="0.3">
      <c r="A147" s="3" t="s">
        <v>1271</v>
      </c>
      <c r="B147" s="3" t="s">
        <v>1272</v>
      </c>
      <c r="C147" s="3" t="s">
        <v>1273</v>
      </c>
      <c r="D147" s="3" t="s">
        <v>1274</v>
      </c>
      <c r="E147" s="3" t="s">
        <v>33</v>
      </c>
      <c r="F147" s="3" t="s">
        <v>1275</v>
      </c>
      <c r="G147" s="3" t="s">
        <v>1276</v>
      </c>
      <c r="H147" s="3" t="s">
        <v>1277</v>
      </c>
      <c r="I147" s="3">
        <v>2</v>
      </c>
      <c r="J147" s="3" t="s">
        <v>22</v>
      </c>
      <c r="K147" s="3" t="s">
        <v>254</v>
      </c>
      <c r="L147" s="3" t="s">
        <v>254</v>
      </c>
      <c r="M147" s="3" t="s">
        <v>1278</v>
      </c>
      <c r="N147" s="3" t="s">
        <v>1223</v>
      </c>
      <c r="O147" s="3" t="s">
        <v>19</v>
      </c>
      <c r="P147" s="3" t="s">
        <v>447</v>
      </c>
      <c r="Q147" s="3" t="s">
        <v>466</v>
      </c>
      <c r="R147" s="3">
        <v>5</v>
      </c>
      <c r="S147" s="3">
        <v>30501.72</v>
      </c>
      <c r="T147" s="3">
        <v>15</v>
      </c>
      <c r="U147" s="3">
        <v>129632.31</v>
      </c>
      <c r="V147" s="3">
        <v>90528.85</v>
      </c>
      <c r="W147" s="3">
        <v>39103.46</v>
      </c>
      <c r="X147" s="3">
        <v>30.16</v>
      </c>
      <c r="Y147" s="3">
        <v>99</v>
      </c>
      <c r="Z147" s="3" t="s">
        <v>43</v>
      </c>
      <c r="AA147" s="3" t="s">
        <v>100</v>
      </c>
      <c r="AB147" s="3" t="s">
        <v>101</v>
      </c>
      <c r="AC147" s="3">
        <v>4</v>
      </c>
    </row>
    <row r="148" spans="1:29" x14ac:dyDescent="0.3">
      <c r="A148" s="2" t="s">
        <v>1279</v>
      </c>
      <c r="B148" s="2" t="s">
        <v>1280</v>
      </c>
      <c r="C148" s="2" t="s">
        <v>707</v>
      </c>
      <c r="D148" s="2" t="s">
        <v>1281</v>
      </c>
      <c r="E148" s="2" t="s">
        <v>26</v>
      </c>
      <c r="F148" s="2" t="s">
        <v>272</v>
      </c>
      <c r="G148" s="2" t="s">
        <v>613</v>
      </c>
      <c r="H148" s="2" t="s">
        <v>1282</v>
      </c>
      <c r="I148" s="2">
        <v>5</v>
      </c>
      <c r="J148" s="2" t="s">
        <v>14</v>
      </c>
      <c r="K148" s="2" t="s">
        <v>183</v>
      </c>
      <c r="L148" s="2" t="s">
        <v>183</v>
      </c>
      <c r="M148" s="2" t="s">
        <v>1283</v>
      </c>
      <c r="N148" s="2" t="s">
        <v>286</v>
      </c>
      <c r="O148" s="2" t="s">
        <v>28</v>
      </c>
      <c r="P148" s="2" t="s">
        <v>137</v>
      </c>
      <c r="Q148" s="2" t="s">
        <v>218</v>
      </c>
      <c r="R148" s="2">
        <v>5</v>
      </c>
      <c r="S148" s="2">
        <v>12371.85</v>
      </c>
      <c r="T148" s="2">
        <v>10</v>
      </c>
      <c r="U148" s="2">
        <v>55673.33</v>
      </c>
      <c r="V148" s="2">
        <v>30849.67</v>
      </c>
      <c r="W148" s="2">
        <v>24823.66</v>
      </c>
      <c r="X148" s="2">
        <v>44.59</v>
      </c>
      <c r="Y148" s="2">
        <v>49</v>
      </c>
      <c r="Z148" s="2" t="s">
        <v>43</v>
      </c>
      <c r="AA148" s="2" t="s">
        <v>275</v>
      </c>
      <c r="AB148" s="2" t="s">
        <v>101</v>
      </c>
      <c r="AC148" s="2"/>
    </row>
    <row r="149" spans="1:29" x14ac:dyDescent="0.3">
      <c r="A149" s="3" t="s">
        <v>1284</v>
      </c>
      <c r="B149" s="3" t="s">
        <v>1285</v>
      </c>
      <c r="C149" s="3" t="s">
        <v>1286</v>
      </c>
      <c r="D149" s="3" t="s">
        <v>1287</v>
      </c>
      <c r="E149" s="3" t="s">
        <v>33</v>
      </c>
      <c r="F149" s="3" t="s">
        <v>1288</v>
      </c>
      <c r="G149" s="3" t="s">
        <v>1289</v>
      </c>
      <c r="H149" s="3" t="s">
        <v>1058</v>
      </c>
      <c r="I149" s="3">
        <v>2</v>
      </c>
      <c r="J149" s="3" t="s">
        <v>22</v>
      </c>
      <c r="K149" s="3" t="s">
        <v>254</v>
      </c>
      <c r="L149" s="3" t="s">
        <v>254</v>
      </c>
      <c r="M149" s="3" t="s">
        <v>1290</v>
      </c>
      <c r="N149" s="3" t="s">
        <v>174</v>
      </c>
      <c r="O149" s="3" t="s">
        <v>27</v>
      </c>
      <c r="P149" s="3" t="s">
        <v>175</v>
      </c>
      <c r="Q149" s="3" t="s">
        <v>197</v>
      </c>
      <c r="R149" s="3">
        <v>5</v>
      </c>
      <c r="S149" s="3">
        <v>44212.91</v>
      </c>
      <c r="T149" s="3">
        <v>15</v>
      </c>
      <c r="U149" s="3">
        <v>187904.87</v>
      </c>
      <c r="V149" s="3">
        <v>114406.54</v>
      </c>
      <c r="W149" s="3">
        <v>73498.33</v>
      </c>
      <c r="X149" s="3">
        <v>39.11</v>
      </c>
      <c r="Y149" s="3">
        <v>49</v>
      </c>
      <c r="Z149" s="3" t="s">
        <v>40</v>
      </c>
      <c r="AA149" s="3" t="s">
        <v>100</v>
      </c>
      <c r="AB149" s="3" t="s">
        <v>101</v>
      </c>
      <c r="AC149" s="3">
        <v>3</v>
      </c>
    </row>
    <row r="150" spans="1:29" x14ac:dyDescent="0.3">
      <c r="A150" s="2" t="s">
        <v>1291</v>
      </c>
      <c r="B150" s="2" t="s">
        <v>1292</v>
      </c>
      <c r="C150" s="2" t="s">
        <v>1293</v>
      </c>
      <c r="D150" s="2" t="s">
        <v>1294</v>
      </c>
      <c r="E150" s="2" t="s">
        <v>26</v>
      </c>
      <c r="F150" s="2" t="s">
        <v>242</v>
      </c>
      <c r="G150" s="2" t="s">
        <v>1295</v>
      </c>
      <c r="H150" s="2" t="s">
        <v>776</v>
      </c>
      <c r="I150" s="2">
        <v>7</v>
      </c>
      <c r="J150" s="2" t="s">
        <v>29</v>
      </c>
      <c r="K150" s="2" t="s">
        <v>160</v>
      </c>
      <c r="L150" s="2" t="s">
        <v>161</v>
      </c>
      <c r="M150" s="2" t="s">
        <v>1296</v>
      </c>
      <c r="N150" s="2" t="s">
        <v>364</v>
      </c>
      <c r="O150" s="2" t="s">
        <v>19</v>
      </c>
      <c r="P150" s="2" t="s">
        <v>365</v>
      </c>
      <c r="Q150" s="2" t="s">
        <v>207</v>
      </c>
      <c r="R150" s="2">
        <v>4</v>
      </c>
      <c r="S150" s="2">
        <v>1205.07</v>
      </c>
      <c r="T150" s="2">
        <v>0</v>
      </c>
      <c r="U150" s="2">
        <v>4820.28</v>
      </c>
      <c r="V150" s="2">
        <v>2571.1799999999998</v>
      </c>
      <c r="W150" s="2">
        <v>2249.1</v>
      </c>
      <c r="X150" s="2">
        <v>46.66</v>
      </c>
      <c r="Y150" s="2">
        <v>49</v>
      </c>
      <c r="Z150" s="2" t="s">
        <v>48</v>
      </c>
      <c r="AA150" s="2" t="s">
        <v>100</v>
      </c>
      <c r="AB150" s="2" t="s">
        <v>101</v>
      </c>
      <c r="AC150" s="2">
        <v>5</v>
      </c>
    </row>
    <row r="151" spans="1:29" x14ac:dyDescent="0.3">
      <c r="A151" s="3" t="s">
        <v>1297</v>
      </c>
      <c r="B151" s="3" t="s">
        <v>1298</v>
      </c>
      <c r="C151" s="3" t="s">
        <v>870</v>
      </c>
      <c r="D151" s="3" t="s">
        <v>1299</v>
      </c>
      <c r="E151" s="3" t="s">
        <v>42</v>
      </c>
      <c r="F151" s="3" t="s">
        <v>108</v>
      </c>
      <c r="G151" s="3" t="s">
        <v>954</v>
      </c>
      <c r="H151" s="3" t="s">
        <v>1300</v>
      </c>
      <c r="I151" s="3">
        <v>6</v>
      </c>
      <c r="J151" s="3" t="s">
        <v>39</v>
      </c>
      <c r="K151" s="3" t="s">
        <v>225</v>
      </c>
      <c r="L151" s="3" t="s">
        <v>225</v>
      </c>
      <c r="M151" s="3" t="s">
        <v>1301</v>
      </c>
      <c r="N151" s="3" t="s">
        <v>518</v>
      </c>
      <c r="O151" s="3" t="s">
        <v>19</v>
      </c>
      <c r="P151" s="3" t="s">
        <v>365</v>
      </c>
      <c r="Q151" s="3" t="s">
        <v>114</v>
      </c>
      <c r="R151" s="3">
        <v>5</v>
      </c>
      <c r="S151" s="3">
        <v>13813.39</v>
      </c>
      <c r="T151" s="3">
        <v>25</v>
      </c>
      <c r="U151" s="3">
        <v>51800.21</v>
      </c>
      <c r="V151" s="3">
        <v>26573.91</v>
      </c>
      <c r="W151" s="3">
        <v>25226.3</v>
      </c>
      <c r="X151" s="3">
        <v>48.7</v>
      </c>
      <c r="Y151" s="3">
        <v>29</v>
      </c>
      <c r="Z151" s="3" t="s">
        <v>48</v>
      </c>
      <c r="AA151" s="3" t="s">
        <v>100</v>
      </c>
      <c r="AB151" s="3" t="s">
        <v>101</v>
      </c>
      <c r="AC151" s="3">
        <v>5</v>
      </c>
    </row>
    <row r="152" spans="1:29" x14ac:dyDescent="0.3">
      <c r="A152" s="2" t="s">
        <v>1302</v>
      </c>
      <c r="B152" s="2" t="s">
        <v>1303</v>
      </c>
      <c r="C152" s="2" t="s">
        <v>1304</v>
      </c>
      <c r="D152" s="2" t="s">
        <v>1305</v>
      </c>
      <c r="E152" s="2" t="s">
        <v>42</v>
      </c>
      <c r="F152" s="2" t="s">
        <v>1306</v>
      </c>
      <c r="G152" s="2" t="s">
        <v>1307</v>
      </c>
      <c r="H152" s="2" t="s">
        <v>224</v>
      </c>
      <c r="I152" s="2">
        <v>3</v>
      </c>
      <c r="J152" s="2" t="s">
        <v>14</v>
      </c>
      <c r="K152" s="2" t="s">
        <v>171</v>
      </c>
      <c r="L152" s="2" t="s">
        <v>172</v>
      </c>
      <c r="M152" s="2" t="s">
        <v>1308</v>
      </c>
      <c r="N152" s="2" t="s">
        <v>150</v>
      </c>
      <c r="O152" s="2" t="s">
        <v>28</v>
      </c>
      <c r="P152" s="2" t="s">
        <v>151</v>
      </c>
      <c r="Q152" s="2" t="s">
        <v>287</v>
      </c>
      <c r="R152" s="2">
        <v>1</v>
      </c>
      <c r="S152" s="2">
        <v>38210.480000000003</v>
      </c>
      <c r="T152" s="2">
        <v>10</v>
      </c>
      <c r="U152" s="2">
        <v>34389.43</v>
      </c>
      <c r="V152" s="2">
        <v>19277.150000000001</v>
      </c>
      <c r="W152" s="2">
        <v>15112.28</v>
      </c>
      <c r="X152" s="2">
        <v>43.94</v>
      </c>
      <c r="Y152" s="2">
        <v>49</v>
      </c>
      <c r="Z152" s="2" t="s">
        <v>43</v>
      </c>
      <c r="AA152" s="2" t="s">
        <v>100</v>
      </c>
      <c r="AB152" s="2" t="s">
        <v>101</v>
      </c>
      <c r="AC152" s="2">
        <v>5</v>
      </c>
    </row>
    <row r="153" spans="1:29" x14ac:dyDescent="0.3">
      <c r="A153" s="3" t="s">
        <v>1309</v>
      </c>
      <c r="B153" s="3" t="s">
        <v>1310</v>
      </c>
      <c r="C153" s="3" t="s">
        <v>1311</v>
      </c>
      <c r="D153" s="3" t="s">
        <v>1312</v>
      </c>
      <c r="E153" s="3" t="s">
        <v>42</v>
      </c>
      <c r="F153" s="3" t="s">
        <v>1313</v>
      </c>
      <c r="G153" s="3" t="s">
        <v>1314</v>
      </c>
      <c r="H153" s="3" t="s">
        <v>1315</v>
      </c>
      <c r="I153" s="3">
        <v>6</v>
      </c>
      <c r="J153" s="3" t="s">
        <v>29</v>
      </c>
      <c r="K153" s="3" t="s">
        <v>834</v>
      </c>
      <c r="L153" s="3" t="s">
        <v>901</v>
      </c>
      <c r="M153" s="3" t="s">
        <v>1316</v>
      </c>
      <c r="N153" s="3" t="s">
        <v>438</v>
      </c>
      <c r="O153" s="3" t="s">
        <v>13</v>
      </c>
      <c r="P153" s="3" t="s">
        <v>228</v>
      </c>
      <c r="Q153" s="3" t="s">
        <v>197</v>
      </c>
      <c r="R153" s="3">
        <v>5</v>
      </c>
      <c r="S153" s="3">
        <v>39423.01</v>
      </c>
      <c r="T153" s="3">
        <v>15</v>
      </c>
      <c r="U153" s="3">
        <v>167547.79</v>
      </c>
      <c r="V153" s="3">
        <v>94430.65</v>
      </c>
      <c r="W153" s="3">
        <v>73117.14</v>
      </c>
      <c r="X153" s="3">
        <v>43.64</v>
      </c>
      <c r="Y153" s="3">
        <v>149</v>
      </c>
      <c r="Z153" s="3" t="s">
        <v>48</v>
      </c>
      <c r="AA153" s="3" t="s">
        <v>100</v>
      </c>
      <c r="AB153" s="3" t="s">
        <v>101</v>
      </c>
      <c r="AC153" s="3">
        <v>3</v>
      </c>
    </row>
    <row r="154" spans="1:29" x14ac:dyDescent="0.3">
      <c r="A154" s="2" t="s">
        <v>1317</v>
      </c>
      <c r="B154" s="2" t="s">
        <v>1318</v>
      </c>
      <c r="C154" s="2" t="s">
        <v>863</v>
      </c>
      <c r="D154" s="2" t="s">
        <v>1319</v>
      </c>
      <c r="E154" s="2" t="s">
        <v>26</v>
      </c>
      <c r="F154" s="2" t="s">
        <v>1320</v>
      </c>
      <c r="G154" s="2" t="s">
        <v>1321</v>
      </c>
      <c r="H154" s="2" t="s">
        <v>1322</v>
      </c>
      <c r="I154" s="2">
        <v>3</v>
      </c>
      <c r="J154" s="2" t="s">
        <v>22</v>
      </c>
      <c r="K154" s="2" t="s">
        <v>738</v>
      </c>
      <c r="L154" s="2" t="s">
        <v>738</v>
      </c>
      <c r="M154" s="2" t="s">
        <v>1323</v>
      </c>
      <c r="N154" s="2" t="s">
        <v>217</v>
      </c>
      <c r="O154" s="2" t="s">
        <v>21</v>
      </c>
      <c r="P154" s="2" t="s">
        <v>206</v>
      </c>
      <c r="Q154" s="2" t="s">
        <v>509</v>
      </c>
      <c r="R154" s="2">
        <v>4</v>
      </c>
      <c r="S154" s="2">
        <v>35877.620000000003</v>
      </c>
      <c r="T154" s="2">
        <v>5</v>
      </c>
      <c r="U154" s="2">
        <v>136334.96</v>
      </c>
      <c r="V154" s="2">
        <v>80338.720000000001</v>
      </c>
      <c r="W154" s="2">
        <v>55996.24</v>
      </c>
      <c r="X154" s="2">
        <v>41.07</v>
      </c>
      <c r="Y154" s="2">
        <v>199</v>
      </c>
      <c r="Z154" s="2" t="s">
        <v>43</v>
      </c>
      <c r="AA154" s="2" t="s">
        <v>100</v>
      </c>
      <c r="AB154" s="2" t="s">
        <v>101</v>
      </c>
      <c r="AC154" s="2">
        <v>4</v>
      </c>
    </row>
    <row r="155" spans="1:29" x14ac:dyDescent="0.3">
      <c r="A155" s="3" t="s">
        <v>1324</v>
      </c>
      <c r="B155" s="3" t="s">
        <v>1325</v>
      </c>
      <c r="C155" s="3" t="s">
        <v>1326</v>
      </c>
      <c r="D155" s="3" t="s">
        <v>1327</v>
      </c>
      <c r="E155" s="3" t="s">
        <v>33</v>
      </c>
      <c r="F155" s="3" t="s">
        <v>1328</v>
      </c>
      <c r="G155" s="3" t="s">
        <v>1329</v>
      </c>
      <c r="H155" s="3" t="s">
        <v>1330</v>
      </c>
      <c r="I155" s="3">
        <v>4</v>
      </c>
      <c r="J155" s="3" t="s">
        <v>14</v>
      </c>
      <c r="K155" s="3" t="s">
        <v>712</v>
      </c>
      <c r="L155" s="3" t="s">
        <v>712</v>
      </c>
      <c r="M155" s="3" t="s">
        <v>1331</v>
      </c>
      <c r="N155" s="3" t="s">
        <v>1332</v>
      </c>
      <c r="O155" s="3" t="s">
        <v>19</v>
      </c>
      <c r="P155" s="3" t="s">
        <v>447</v>
      </c>
      <c r="Q155" s="3" t="s">
        <v>218</v>
      </c>
      <c r="R155" s="3">
        <v>4</v>
      </c>
      <c r="S155" s="3">
        <v>49148.67</v>
      </c>
      <c r="T155" s="3">
        <v>0</v>
      </c>
      <c r="U155" s="3">
        <v>196594.68</v>
      </c>
      <c r="V155" s="3">
        <v>99607.42</v>
      </c>
      <c r="W155" s="3">
        <v>96987.26</v>
      </c>
      <c r="X155" s="3">
        <v>49.33</v>
      </c>
      <c r="Y155" s="3">
        <v>99</v>
      </c>
      <c r="Z155" s="3" t="s">
        <v>40</v>
      </c>
      <c r="AA155" s="3" t="s">
        <v>100</v>
      </c>
      <c r="AB155" s="3" t="s">
        <v>101</v>
      </c>
      <c r="AC155" s="3">
        <v>3</v>
      </c>
    </row>
    <row r="156" spans="1:29" x14ac:dyDescent="0.3">
      <c r="A156" s="2" t="s">
        <v>1333</v>
      </c>
      <c r="B156" s="2" t="s">
        <v>1334</v>
      </c>
      <c r="C156" s="2" t="s">
        <v>1335</v>
      </c>
      <c r="D156" s="2" t="s">
        <v>1336</v>
      </c>
      <c r="E156" s="2" t="s">
        <v>18</v>
      </c>
      <c r="F156" s="2" t="s">
        <v>1337</v>
      </c>
      <c r="G156" s="2" t="s">
        <v>1220</v>
      </c>
      <c r="H156" s="2" t="s">
        <v>1338</v>
      </c>
      <c r="I156" s="2">
        <v>8</v>
      </c>
      <c r="J156" s="2" t="s">
        <v>29</v>
      </c>
      <c r="K156" s="2" t="s">
        <v>160</v>
      </c>
      <c r="L156" s="2" t="s">
        <v>161</v>
      </c>
      <c r="M156" s="2" t="s">
        <v>1339</v>
      </c>
      <c r="N156" s="2" t="s">
        <v>112</v>
      </c>
      <c r="O156" s="2" t="s">
        <v>27</v>
      </c>
      <c r="P156" s="2" t="s">
        <v>113</v>
      </c>
      <c r="Q156" s="2" t="s">
        <v>400</v>
      </c>
      <c r="R156" s="2">
        <v>4</v>
      </c>
      <c r="S156" s="2">
        <v>1621.16</v>
      </c>
      <c r="T156" s="2">
        <v>25</v>
      </c>
      <c r="U156" s="2">
        <v>4863.4799999999996</v>
      </c>
      <c r="V156" s="2">
        <v>2282.37</v>
      </c>
      <c r="W156" s="2">
        <v>2581.11</v>
      </c>
      <c r="X156" s="2">
        <v>53.07</v>
      </c>
      <c r="Y156" s="2">
        <v>99</v>
      </c>
      <c r="Z156" s="2" t="s">
        <v>40</v>
      </c>
      <c r="AA156" s="2" t="s">
        <v>100</v>
      </c>
      <c r="AB156" s="2" t="s">
        <v>101</v>
      </c>
      <c r="AC156" s="2"/>
    </row>
    <row r="157" spans="1:29" x14ac:dyDescent="0.3">
      <c r="A157" s="3" t="s">
        <v>1340</v>
      </c>
      <c r="B157" s="3" t="s">
        <v>1341</v>
      </c>
      <c r="C157" s="3" t="s">
        <v>1304</v>
      </c>
      <c r="D157" s="3" t="s">
        <v>1342</v>
      </c>
      <c r="E157" s="3" t="s">
        <v>42</v>
      </c>
      <c r="F157" s="3" t="s">
        <v>1343</v>
      </c>
      <c r="G157" s="3" t="s">
        <v>1344</v>
      </c>
      <c r="H157" s="3" t="s">
        <v>1345</v>
      </c>
      <c r="I157" s="3">
        <v>7</v>
      </c>
      <c r="J157" s="3" t="s">
        <v>22</v>
      </c>
      <c r="K157" s="3" t="s">
        <v>283</v>
      </c>
      <c r="L157" s="3" t="s">
        <v>1346</v>
      </c>
      <c r="M157" s="3" t="s">
        <v>1347</v>
      </c>
      <c r="N157" s="3" t="s">
        <v>316</v>
      </c>
      <c r="O157" s="3" t="s">
        <v>28</v>
      </c>
      <c r="P157" s="3" t="s">
        <v>137</v>
      </c>
      <c r="Q157" s="3" t="s">
        <v>246</v>
      </c>
      <c r="R157" s="3">
        <v>3</v>
      </c>
      <c r="S157" s="3">
        <v>41734.82</v>
      </c>
      <c r="T157" s="3">
        <v>20</v>
      </c>
      <c r="U157" s="3">
        <v>100163.57</v>
      </c>
      <c r="V157" s="3">
        <v>66934.460000000006</v>
      </c>
      <c r="W157" s="3">
        <v>33229.11</v>
      </c>
      <c r="X157" s="3">
        <v>33.17</v>
      </c>
      <c r="Y157" s="3">
        <v>49</v>
      </c>
      <c r="Z157" s="3" t="s">
        <v>30</v>
      </c>
      <c r="AA157" s="3" t="s">
        <v>100</v>
      </c>
      <c r="AB157" s="3" t="s">
        <v>101</v>
      </c>
      <c r="AC157" s="3">
        <v>2</v>
      </c>
    </row>
    <row r="158" spans="1:29" x14ac:dyDescent="0.3">
      <c r="A158" s="2" t="s">
        <v>1348</v>
      </c>
      <c r="B158" s="2" t="s">
        <v>1349</v>
      </c>
      <c r="C158" s="2" t="s">
        <v>1350</v>
      </c>
      <c r="D158" s="2" t="s">
        <v>1351</v>
      </c>
      <c r="E158" s="2" t="s">
        <v>33</v>
      </c>
      <c r="F158" s="2" t="s">
        <v>1352</v>
      </c>
      <c r="G158" s="2" t="s">
        <v>1353</v>
      </c>
      <c r="H158" s="2" t="s">
        <v>1354</v>
      </c>
      <c r="I158" s="2">
        <v>8</v>
      </c>
      <c r="J158" s="2" t="s">
        <v>29</v>
      </c>
      <c r="K158" s="2" t="s">
        <v>334</v>
      </c>
      <c r="L158" s="2" t="s">
        <v>614</v>
      </c>
      <c r="M158" s="2" t="s">
        <v>1355</v>
      </c>
      <c r="N158" s="2" t="s">
        <v>227</v>
      </c>
      <c r="O158" s="2" t="s">
        <v>13</v>
      </c>
      <c r="P158" s="2" t="s">
        <v>228</v>
      </c>
      <c r="Q158" s="2" t="s">
        <v>197</v>
      </c>
      <c r="R158" s="2">
        <v>5</v>
      </c>
      <c r="S158" s="2">
        <v>28552.02</v>
      </c>
      <c r="T158" s="2">
        <v>15</v>
      </c>
      <c r="U158" s="2">
        <v>121346.09</v>
      </c>
      <c r="V158" s="2">
        <v>75432.320000000007</v>
      </c>
      <c r="W158" s="2">
        <v>45913.77</v>
      </c>
      <c r="X158" s="2">
        <v>37.840000000000003</v>
      </c>
      <c r="Y158" s="2">
        <v>29</v>
      </c>
      <c r="Z158" s="2" t="s">
        <v>40</v>
      </c>
      <c r="AA158" s="2" t="s">
        <v>139</v>
      </c>
      <c r="AB158" s="2" t="s">
        <v>140</v>
      </c>
      <c r="AC158" s="2"/>
    </row>
    <row r="159" spans="1:29" x14ac:dyDescent="0.3">
      <c r="A159" s="3" t="s">
        <v>1356</v>
      </c>
      <c r="B159" s="3" t="s">
        <v>1357</v>
      </c>
      <c r="C159" s="3" t="s">
        <v>1183</v>
      </c>
      <c r="D159" s="3" t="s">
        <v>1358</v>
      </c>
      <c r="E159" s="3" t="s">
        <v>18</v>
      </c>
      <c r="F159" s="3" t="s">
        <v>1359</v>
      </c>
      <c r="G159" s="3" t="s">
        <v>729</v>
      </c>
      <c r="H159" s="3" t="s">
        <v>1360</v>
      </c>
      <c r="I159" s="3">
        <v>2</v>
      </c>
      <c r="J159" s="3" t="s">
        <v>39</v>
      </c>
      <c r="K159" s="3" t="s">
        <v>193</v>
      </c>
      <c r="L159" s="3" t="s">
        <v>193</v>
      </c>
      <c r="M159" s="3" t="s">
        <v>1361</v>
      </c>
      <c r="N159" s="3" t="s">
        <v>306</v>
      </c>
      <c r="O159" s="3" t="s">
        <v>21</v>
      </c>
      <c r="P159" s="3" t="s">
        <v>126</v>
      </c>
      <c r="Q159" s="3" t="s">
        <v>400</v>
      </c>
      <c r="R159" s="3">
        <v>5</v>
      </c>
      <c r="S159" s="3">
        <v>33953.839999999997</v>
      </c>
      <c r="T159" s="3">
        <v>15</v>
      </c>
      <c r="U159" s="3">
        <v>144303.82</v>
      </c>
      <c r="V159" s="3">
        <v>92030.02</v>
      </c>
      <c r="W159" s="3">
        <v>52273.8</v>
      </c>
      <c r="X159" s="3">
        <v>36.22</v>
      </c>
      <c r="Y159" s="3">
        <v>0</v>
      </c>
      <c r="Z159" s="3" t="s">
        <v>30</v>
      </c>
      <c r="AA159" s="3" t="s">
        <v>100</v>
      </c>
      <c r="AB159" s="3" t="s">
        <v>101</v>
      </c>
      <c r="AC159" s="3">
        <v>2</v>
      </c>
    </row>
    <row r="160" spans="1:29" x14ac:dyDescent="0.3">
      <c r="A160" s="2" t="s">
        <v>1362</v>
      </c>
      <c r="B160" s="2" t="s">
        <v>1363</v>
      </c>
      <c r="C160" s="2" t="s">
        <v>1364</v>
      </c>
      <c r="D160" s="2" t="s">
        <v>1365</v>
      </c>
      <c r="E160" s="2" t="s">
        <v>42</v>
      </c>
      <c r="F160" s="2" t="s">
        <v>1366</v>
      </c>
      <c r="G160" s="2" t="s">
        <v>1367</v>
      </c>
      <c r="H160" s="2" t="s">
        <v>472</v>
      </c>
      <c r="I160" s="2">
        <v>7</v>
      </c>
      <c r="J160" s="2" t="s">
        <v>29</v>
      </c>
      <c r="K160" s="2" t="s">
        <v>427</v>
      </c>
      <c r="L160" s="2" t="s">
        <v>428</v>
      </c>
      <c r="M160" s="2" t="s">
        <v>1368</v>
      </c>
      <c r="N160" s="2" t="s">
        <v>639</v>
      </c>
      <c r="O160" s="2" t="s">
        <v>27</v>
      </c>
      <c r="P160" s="2" t="s">
        <v>175</v>
      </c>
      <c r="Q160" s="2" t="s">
        <v>287</v>
      </c>
      <c r="R160" s="2">
        <v>5</v>
      </c>
      <c r="S160" s="2">
        <v>32335.67</v>
      </c>
      <c r="T160" s="2">
        <v>30</v>
      </c>
      <c r="U160" s="2">
        <v>113174.84</v>
      </c>
      <c r="V160" s="2">
        <v>69927.11</v>
      </c>
      <c r="W160" s="2">
        <v>43247.73</v>
      </c>
      <c r="X160" s="2">
        <v>38.21</v>
      </c>
      <c r="Y160" s="2">
        <v>49</v>
      </c>
      <c r="Z160" s="2" t="s">
        <v>40</v>
      </c>
      <c r="AA160" s="2" t="s">
        <v>100</v>
      </c>
      <c r="AB160" s="2" t="s">
        <v>101</v>
      </c>
      <c r="AC160" s="2">
        <v>2</v>
      </c>
    </row>
    <row r="161" spans="1:29" x14ac:dyDescent="0.3">
      <c r="A161" s="3" t="s">
        <v>1369</v>
      </c>
      <c r="B161" s="3" t="s">
        <v>1370</v>
      </c>
      <c r="C161" s="3" t="s">
        <v>1371</v>
      </c>
      <c r="D161" s="3" t="s">
        <v>1372</v>
      </c>
      <c r="E161" s="3" t="s">
        <v>33</v>
      </c>
      <c r="F161" s="3" t="s">
        <v>907</v>
      </c>
      <c r="G161" s="3" t="s">
        <v>908</v>
      </c>
      <c r="H161" s="3" t="s">
        <v>1373</v>
      </c>
      <c r="I161" s="3">
        <v>4</v>
      </c>
      <c r="J161" s="3" t="s">
        <v>14</v>
      </c>
      <c r="K161" s="3" t="s">
        <v>171</v>
      </c>
      <c r="L161" s="3" t="s">
        <v>407</v>
      </c>
      <c r="M161" s="3" t="s">
        <v>1374</v>
      </c>
      <c r="N161" s="3" t="s">
        <v>788</v>
      </c>
      <c r="O161" s="3" t="s">
        <v>27</v>
      </c>
      <c r="P161" s="3" t="s">
        <v>113</v>
      </c>
      <c r="Q161" s="3" t="s">
        <v>207</v>
      </c>
      <c r="R161" s="3">
        <v>3</v>
      </c>
      <c r="S161" s="3">
        <v>35070.9</v>
      </c>
      <c r="T161" s="3">
        <v>10</v>
      </c>
      <c r="U161" s="3">
        <v>94691.43</v>
      </c>
      <c r="V161" s="3">
        <v>47162.15</v>
      </c>
      <c r="W161" s="3">
        <v>47529.279999999999</v>
      </c>
      <c r="X161" s="3">
        <v>50.19</v>
      </c>
      <c r="Y161" s="3">
        <v>149</v>
      </c>
      <c r="Z161" s="3" t="s">
        <v>48</v>
      </c>
      <c r="AA161" s="3" t="s">
        <v>100</v>
      </c>
      <c r="AB161" s="3" t="s">
        <v>101</v>
      </c>
      <c r="AC161" s="3">
        <v>4</v>
      </c>
    </row>
    <row r="162" spans="1:29" x14ac:dyDescent="0.3">
      <c r="A162" s="2" t="s">
        <v>1375</v>
      </c>
      <c r="B162" s="2" t="s">
        <v>1376</v>
      </c>
      <c r="C162" s="2" t="s">
        <v>459</v>
      </c>
      <c r="D162" s="2" t="s">
        <v>1377</v>
      </c>
      <c r="E162" s="2" t="s">
        <v>26</v>
      </c>
      <c r="F162" s="2" t="s">
        <v>922</v>
      </c>
      <c r="G162" s="2" t="s">
        <v>235</v>
      </c>
      <c r="H162" s="2" t="s">
        <v>1378</v>
      </c>
      <c r="I162" s="2">
        <v>3</v>
      </c>
      <c r="J162" s="2" t="s">
        <v>14</v>
      </c>
      <c r="K162" s="2" t="s">
        <v>183</v>
      </c>
      <c r="L162" s="2" t="s">
        <v>183</v>
      </c>
      <c r="M162" s="2" t="s">
        <v>1379</v>
      </c>
      <c r="N162" s="2" t="s">
        <v>1380</v>
      </c>
      <c r="O162" s="2" t="s">
        <v>28</v>
      </c>
      <c r="P162" s="2" t="s">
        <v>137</v>
      </c>
      <c r="Q162" s="2" t="s">
        <v>400</v>
      </c>
      <c r="R162" s="2">
        <v>1</v>
      </c>
      <c r="S162" s="2">
        <v>19998.34</v>
      </c>
      <c r="T162" s="2">
        <v>10</v>
      </c>
      <c r="U162" s="2">
        <v>17998.509999999998</v>
      </c>
      <c r="V162" s="2">
        <v>11377.46</v>
      </c>
      <c r="W162" s="2">
        <v>6621.05</v>
      </c>
      <c r="X162" s="2">
        <v>36.79</v>
      </c>
      <c r="Y162" s="2">
        <v>0</v>
      </c>
      <c r="Z162" s="2" t="s">
        <v>43</v>
      </c>
      <c r="AA162" s="2" t="s">
        <v>100</v>
      </c>
      <c r="AB162" s="2" t="s">
        <v>101</v>
      </c>
      <c r="AC162" s="2">
        <v>5</v>
      </c>
    </row>
    <row r="163" spans="1:29" x14ac:dyDescent="0.3">
      <c r="A163" s="3" t="s">
        <v>1381</v>
      </c>
      <c r="B163" s="3" t="s">
        <v>1382</v>
      </c>
      <c r="C163" s="3" t="s">
        <v>603</v>
      </c>
      <c r="D163" s="3" t="s">
        <v>1383</v>
      </c>
      <c r="E163" s="3" t="s">
        <v>42</v>
      </c>
      <c r="F163" s="3" t="s">
        <v>1384</v>
      </c>
      <c r="G163" s="3" t="s">
        <v>1385</v>
      </c>
      <c r="H163" s="3" t="s">
        <v>1007</v>
      </c>
      <c r="I163" s="3">
        <v>2</v>
      </c>
      <c r="J163" s="3" t="s">
        <v>29</v>
      </c>
      <c r="K163" s="3" t="s">
        <v>148</v>
      </c>
      <c r="L163" s="3" t="s">
        <v>148</v>
      </c>
      <c r="M163" s="3" t="s">
        <v>1059</v>
      </c>
      <c r="N163" s="3" t="s">
        <v>97</v>
      </c>
      <c r="O163" s="3" t="s">
        <v>13</v>
      </c>
      <c r="P163" s="3" t="s">
        <v>98</v>
      </c>
      <c r="Q163" s="3" t="s">
        <v>207</v>
      </c>
      <c r="R163" s="3">
        <v>4</v>
      </c>
      <c r="S163" s="3">
        <v>47437.56</v>
      </c>
      <c r="T163" s="3">
        <v>15</v>
      </c>
      <c r="U163" s="3">
        <v>161287.70000000001</v>
      </c>
      <c r="V163" s="3">
        <v>100531.77</v>
      </c>
      <c r="W163" s="3">
        <v>60755.93</v>
      </c>
      <c r="X163" s="3">
        <v>37.67</v>
      </c>
      <c r="Y163" s="3">
        <v>199</v>
      </c>
      <c r="Z163" s="3" t="s">
        <v>30</v>
      </c>
      <c r="AA163" s="3" t="s">
        <v>100</v>
      </c>
      <c r="AB163" s="3" t="s">
        <v>101</v>
      </c>
      <c r="AC163" s="3">
        <v>1</v>
      </c>
    </row>
    <row r="164" spans="1:29" x14ac:dyDescent="0.3">
      <c r="A164" s="2" t="s">
        <v>1386</v>
      </c>
      <c r="B164" s="2" t="s">
        <v>1387</v>
      </c>
      <c r="C164" s="2" t="s">
        <v>912</v>
      </c>
      <c r="D164" s="2" t="s">
        <v>1388</v>
      </c>
      <c r="E164" s="2" t="s">
        <v>26</v>
      </c>
      <c r="F164" s="2" t="s">
        <v>1389</v>
      </c>
      <c r="G164" s="2" t="s">
        <v>1390</v>
      </c>
      <c r="H164" s="2" t="s">
        <v>1391</v>
      </c>
      <c r="I164" s="2">
        <v>2</v>
      </c>
      <c r="J164" s="2" t="s">
        <v>39</v>
      </c>
      <c r="K164" s="2" t="s">
        <v>324</v>
      </c>
      <c r="L164" s="2" t="s">
        <v>325</v>
      </c>
      <c r="M164" s="2" t="s">
        <v>1392</v>
      </c>
      <c r="N164" s="2" t="s">
        <v>286</v>
      </c>
      <c r="O164" s="2" t="s">
        <v>28</v>
      </c>
      <c r="P164" s="2" t="s">
        <v>137</v>
      </c>
      <c r="Q164" s="2" t="s">
        <v>466</v>
      </c>
      <c r="R164" s="2">
        <v>5</v>
      </c>
      <c r="S164" s="2">
        <v>39764.620000000003</v>
      </c>
      <c r="T164" s="2">
        <v>15</v>
      </c>
      <c r="U164" s="2">
        <v>168999.64</v>
      </c>
      <c r="V164" s="2">
        <v>95091.12</v>
      </c>
      <c r="W164" s="2">
        <v>73908.52</v>
      </c>
      <c r="X164" s="2">
        <v>43.73</v>
      </c>
      <c r="Y164" s="2">
        <v>199</v>
      </c>
      <c r="Z164" s="2" t="s">
        <v>47</v>
      </c>
      <c r="AA164" s="2" t="s">
        <v>100</v>
      </c>
      <c r="AB164" s="2" t="s">
        <v>101</v>
      </c>
      <c r="AC164" s="2">
        <v>1</v>
      </c>
    </row>
    <row r="165" spans="1:29" x14ac:dyDescent="0.3">
      <c r="A165" s="3" t="s">
        <v>1393</v>
      </c>
      <c r="B165" s="3" t="s">
        <v>1394</v>
      </c>
      <c r="C165" s="3" t="s">
        <v>1395</v>
      </c>
      <c r="D165" s="3" t="s">
        <v>1396</v>
      </c>
      <c r="E165" s="3" t="s">
        <v>33</v>
      </c>
      <c r="F165" s="3" t="s">
        <v>1314</v>
      </c>
      <c r="G165" s="3" t="s">
        <v>1397</v>
      </c>
      <c r="H165" s="3" t="s">
        <v>826</v>
      </c>
      <c r="I165" s="3">
        <v>6</v>
      </c>
      <c r="J165" s="3" t="s">
        <v>14</v>
      </c>
      <c r="K165" s="3" t="s">
        <v>95</v>
      </c>
      <c r="L165" s="3" t="s">
        <v>95</v>
      </c>
      <c r="M165" s="3" t="s">
        <v>1398</v>
      </c>
      <c r="N165" s="3" t="s">
        <v>465</v>
      </c>
      <c r="O165" s="3" t="s">
        <v>19</v>
      </c>
      <c r="P165" s="3" t="s">
        <v>447</v>
      </c>
      <c r="Q165" s="3" t="s">
        <v>246</v>
      </c>
      <c r="R165" s="3">
        <v>3</v>
      </c>
      <c r="S165" s="3">
        <v>25320.73</v>
      </c>
      <c r="T165" s="3">
        <v>20</v>
      </c>
      <c r="U165" s="3">
        <v>60769.75</v>
      </c>
      <c r="V165" s="3">
        <v>34484.31</v>
      </c>
      <c r="W165" s="3">
        <v>26285.439999999999</v>
      </c>
      <c r="X165" s="3">
        <v>43.25</v>
      </c>
      <c r="Y165" s="3">
        <v>0</v>
      </c>
      <c r="Z165" s="3" t="s">
        <v>30</v>
      </c>
      <c r="AA165" s="3" t="s">
        <v>100</v>
      </c>
      <c r="AB165" s="3" t="s">
        <v>140</v>
      </c>
      <c r="AC165" s="3">
        <v>4</v>
      </c>
    </row>
    <row r="166" spans="1:29" x14ac:dyDescent="0.3">
      <c r="A166" s="2" t="s">
        <v>1399</v>
      </c>
      <c r="B166" s="2" t="s">
        <v>1400</v>
      </c>
      <c r="C166" s="2" t="s">
        <v>1226</v>
      </c>
      <c r="D166" s="2" t="s">
        <v>1401</v>
      </c>
      <c r="E166" s="2" t="s">
        <v>33</v>
      </c>
      <c r="F166" s="2" t="s">
        <v>1402</v>
      </c>
      <c r="G166" s="2" t="s">
        <v>718</v>
      </c>
      <c r="H166" s="2" t="s">
        <v>1185</v>
      </c>
      <c r="I166" s="2">
        <v>2</v>
      </c>
      <c r="J166" s="2" t="s">
        <v>14</v>
      </c>
      <c r="K166" s="2" t="s">
        <v>712</v>
      </c>
      <c r="L166" s="2" t="s">
        <v>712</v>
      </c>
      <c r="M166" s="2" t="s">
        <v>1403</v>
      </c>
      <c r="N166" s="2" t="s">
        <v>163</v>
      </c>
      <c r="O166" s="2" t="s">
        <v>21</v>
      </c>
      <c r="P166" s="2" t="s">
        <v>126</v>
      </c>
      <c r="Q166" s="2" t="s">
        <v>355</v>
      </c>
      <c r="R166" s="2">
        <v>2</v>
      </c>
      <c r="S166" s="2">
        <v>14376.73</v>
      </c>
      <c r="T166" s="2">
        <v>10</v>
      </c>
      <c r="U166" s="2">
        <v>25878.11</v>
      </c>
      <c r="V166" s="2">
        <v>13425.78</v>
      </c>
      <c r="W166" s="2">
        <v>12452.33</v>
      </c>
      <c r="X166" s="2">
        <v>48.12</v>
      </c>
      <c r="Y166" s="2">
        <v>199</v>
      </c>
      <c r="Z166" s="2" t="s">
        <v>43</v>
      </c>
      <c r="AA166" s="2" t="s">
        <v>100</v>
      </c>
      <c r="AB166" s="2" t="s">
        <v>140</v>
      </c>
      <c r="AC166" s="2">
        <v>5</v>
      </c>
    </row>
    <row r="167" spans="1:29" x14ac:dyDescent="0.3">
      <c r="A167" s="3" t="s">
        <v>1404</v>
      </c>
      <c r="B167" s="3" t="s">
        <v>1405</v>
      </c>
      <c r="C167" s="3" t="s">
        <v>1011</v>
      </c>
      <c r="D167" s="3" t="s">
        <v>1406</v>
      </c>
      <c r="E167" s="3" t="s">
        <v>26</v>
      </c>
      <c r="F167" s="3" t="s">
        <v>1407</v>
      </c>
      <c r="G167" s="3" t="s">
        <v>370</v>
      </c>
      <c r="H167" s="3" t="s">
        <v>1408</v>
      </c>
      <c r="I167" s="3">
        <v>6</v>
      </c>
      <c r="J167" s="3" t="s">
        <v>14</v>
      </c>
      <c r="K167" s="3" t="s">
        <v>95</v>
      </c>
      <c r="L167" s="3" t="s">
        <v>95</v>
      </c>
      <c r="M167" s="3" t="s">
        <v>1409</v>
      </c>
      <c r="N167" s="3" t="s">
        <v>837</v>
      </c>
      <c r="O167" s="3" t="s">
        <v>27</v>
      </c>
      <c r="P167" s="3" t="s">
        <v>257</v>
      </c>
      <c r="Q167" s="3" t="s">
        <v>127</v>
      </c>
      <c r="R167" s="3">
        <v>3</v>
      </c>
      <c r="S167" s="3">
        <v>30987.91</v>
      </c>
      <c r="T167" s="3">
        <v>25</v>
      </c>
      <c r="U167" s="3">
        <v>69722.8</v>
      </c>
      <c r="V167" s="3">
        <v>39612.730000000003</v>
      </c>
      <c r="W167" s="3">
        <v>30110.07</v>
      </c>
      <c r="X167" s="3">
        <v>43.19</v>
      </c>
      <c r="Y167" s="3">
        <v>199</v>
      </c>
      <c r="Z167" s="3" t="s">
        <v>43</v>
      </c>
      <c r="AA167" s="3" t="s">
        <v>100</v>
      </c>
      <c r="AB167" s="3" t="s">
        <v>101</v>
      </c>
      <c r="AC167" s="3">
        <v>3</v>
      </c>
    </row>
    <row r="168" spans="1:29" x14ac:dyDescent="0.3">
      <c r="A168" s="2" t="s">
        <v>1410</v>
      </c>
      <c r="B168" s="2" t="s">
        <v>1411</v>
      </c>
      <c r="C168" s="2" t="s">
        <v>840</v>
      </c>
      <c r="D168" s="2" t="s">
        <v>1412</v>
      </c>
      <c r="E168" s="2" t="s">
        <v>42</v>
      </c>
      <c r="F168" s="2" t="s">
        <v>1413</v>
      </c>
      <c r="G168" s="2" t="s">
        <v>1414</v>
      </c>
      <c r="H168" s="2" t="s">
        <v>1415</v>
      </c>
      <c r="I168" s="2">
        <v>2</v>
      </c>
      <c r="J168" s="2" t="s">
        <v>22</v>
      </c>
      <c r="K168" s="2" t="s">
        <v>738</v>
      </c>
      <c r="L168" s="2" t="s">
        <v>738</v>
      </c>
      <c r="M168" s="2" t="s">
        <v>1416</v>
      </c>
      <c r="N168" s="2" t="s">
        <v>931</v>
      </c>
      <c r="O168" s="2" t="s">
        <v>13</v>
      </c>
      <c r="P168" s="2" t="s">
        <v>419</v>
      </c>
      <c r="Q168" s="2" t="s">
        <v>207</v>
      </c>
      <c r="R168" s="2">
        <v>5</v>
      </c>
      <c r="S168" s="2">
        <v>10909.6</v>
      </c>
      <c r="T168" s="2">
        <v>15</v>
      </c>
      <c r="U168" s="2">
        <v>46365.8</v>
      </c>
      <c r="V168" s="2">
        <v>28232.68</v>
      </c>
      <c r="W168" s="2">
        <v>18133.12</v>
      </c>
      <c r="X168" s="2">
        <v>39.11</v>
      </c>
      <c r="Y168" s="2">
        <v>99</v>
      </c>
      <c r="Z168" s="2" t="s">
        <v>23</v>
      </c>
      <c r="AA168" s="2" t="s">
        <v>100</v>
      </c>
      <c r="AB168" s="2" t="s">
        <v>140</v>
      </c>
      <c r="AC168" s="2">
        <v>2</v>
      </c>
    </row>
    <row r="169" spans="1:29" x14ac:dyDescent="0.3">
      <c r="A169" s="3" t="s">
        <v>1417</v>
      </c>
      <c r="B169" s="3" t="s">
        <v>1418</v>
      </c>
      <c r="C169" s="3" t="s">
        <v>1419</v>
      </c>
      <c r="D169" s="3" t="s">
        <v>1420</v>
      </c>
      <c r="E169" s="3" t="s">
        <v>42</v>
      </c>
      <c r="F169" s="3" t="s">
        <v>404</v>
      </c>
      <c r="G169" s="3" t="s">
        <v>1421</v>
      </c>
      <c r="H169" s="3" t="s">
        <v>961</v>
      </c>
      <c r="I169" s="3">
        <v>4</v>
      </c>
      <c r="J169" s="3" t="s">
        <v>39</v>
      </c>
      <c r="K169" s="3" t="s">
        <v>324</v>
      </c>
      <c r="L169" s="3" t="s">
        <v>1422</v>
      </c>
      <c r="M169" s="3" t="s">
        <v>1423</v>
      </c>
      <c r="N169" s="3" t="s">
        <v>639</v>
      </c>
      <c r="O169" s="3" t="s">
        <v>27</v>
      </c>
      <c r="P169" s="3" t="s">
        <v>175</v>
      </c>
      <c r="Q169" s="3" t="s">
        <v>218</v>
      </c>
      <c r="R169" s="3">
        <v>3</v>
      </c>
      <c r="S169" s="3">
        <v>35704.03</v>
      </c>
      <c r="T169" s="3">
        <v>30</v>
      </c>
      <c r="U169" s="3">
        <v>74978.460000000006</v>
      </c>
      <c r="V169" s="3">
        <v>48042.15</v>
      </c>
      <c r="W169" s="3">
        <v>26936.31</v>
      </c>
      <c r="X169" s="3">
        <v>35.93</v>
      </c>
      <c r="Y169" s="3">
        <v>29</v>
      </c>
      <c r="Z169" s="3" t="s">
        <v>47</v>
      </c>
      <c r="AA169" s="3" t="s">
        <v>100</v>
      </c>
      <c r="AB169" s="3" t="s">
        <v>140</v>
      </c>
      <c r="AC169" s="3">
        <v>4</v>
      </c>
    </row>
    <row r="170" spans="1:29" x14ac:dyDescent="0.3">
      <c r="A170" s="2" t="s">
        <v>1424</v>
      </c>
      <c r="B170" s="2" t="s">
        <v>1425</v>
      </c>
      <c r="C170" s="2" t="s">
        <v>1426</v>
      </c>
      <c r="D170" s="2" t="s">
        <v>1427</v>
      </c>
      <c r="E170" s="2" t="s">
        <v>18</v>
      </c>
      <c r="F170" s="2" t="s">
        <v>859</v>
      </c>
      <c r="G170" s="2" t="s">
        <v>1428</v>
      </c>
      <c r="H170" s="2" t="s">
        <v>1429</v>
      </c>
      <c r="I170" s="2">
        <v>5</v>
      </c>
      <c r="J170" s="2" t="s">
        <v>29</v>
      </c>
      <c r="K170" s="2" t="s">
        <v>160</v>
      </c>
      <c r="L170" s="2" t="s">
        <v>976</v>
      </c>
      <c r="M170" s="2" t="s">
        <v>1430</v>
      </c>
      <c r="N170" s="2" t="s">
        <v>150</v>
      </c>
      <c r="O170" s="2" t="s">
        <v>28</v>
      </c>
      <c r="P170" s="2" t="s">
        <v>151</v>
      </c>
      <c r="Q170" s="2" t="s">
        <v>608</v>
      </c>
      <c r="R170" s="2">
        <v>3</v>
      </c>
      <c r="S170" s="2">
        <v>8195.9500000000007</v>
      </c>
      <c r="T170" s="2">
        <v>25</v>
      </c>
      <c r="U170" s="2">
        <v>18440.89</v>
      </c>
      <c r="V170" s="2">
        <v>9178.08</v>
      </c>
      <c r="W170" s="2">
        <v>9262.81</v>
      </c>
      <c r="X170" s="2">
        <v>50.23</v>
      </c>
      <c r="Y170" s="2">
        <v>149</v>
      </c>
      <c r="Z170" s="2" t="s">
        <v>43</v>
      </c>
      <c r="AA170" s="2" t="s">
        <v>100</v>
      </c>
      <c r="AB170" s="2" t="s">
        <v>101</v>
      </c>
      <c r="AC170" s="2">
        <v>2</v>
      </c>
    </row>
    <row r="171" spans="1:29" x14ac:dyDescent="0.3">
      <c r="A171" s="3" t="s">
        <v>1431</v>
      </c>
      <c r="B171" s="3" t="s">
        <v>1432</v>
      </c>
      <c r="C171" s="3" t="s">
        <v>1433</v>
      </c>
      <c r="D171" s="3" t="s">
        <v>1434</v>
      </c>
      <c r="E171" s="3" t="s">
        <v>42</v>
      </c>
      <c r="F171" s="3" t="s">
        <v>1435</v>
      </c>
      <c r="G171" s="3" t="s">
        <v>1436</v>
      </c>
      <c r="H171" s="3" t="s">
        <v>1437</v>
      </c>
      <c r="I171" s="3">
        <v>5</v>
      </c>
      <c r="J171" s="3" t="s">
        <v>29</v>
      </c>
      <c r="K171" s="3" t="s">
        <v>148</v>
      </c>
      <c r="L171" s="3" t="s">
        <v>148</v>
      </c>
      <c r="M171" s="3" t="s">
        <v>1438</v>
      </c>
      <c r="N171" s="3" t="s">
        <v>1122</v>
      </c>
      <c r="O171" s="3" t="s">
        <v>27</v>
      </c>
      <c r="P171" s="3" t="s">
        <v>257</v>
      </c>
      <c r="Q171" s="3" t="s">
        <v>509</v>
      </c>
      <c r="R171" s="3">
        <v>5</v>
      </c>
      <c r="S171" s="3">
        <v>8320.65</v>
      </c>
      <c r="T171" s="3">
        <v>30</v>
      </c>
      <c r="U171" s="3">
        <v>29122.27</v>
      </c>
      <c r="V171" s="3">
        <v>14173.86</v>
      </c>
      <c r="W171" s="3">
        <v>14948.41</v>
      </c>
      <c r="X171" s="3">
        <v>51.33</v>
      </c>
      <c r="Y171" s="3">
        <v>149</v>
      </c>
      <c r="Z171" s="3" t="s">
        <v>30</v>
      </c>
      <c r="AA171" s="3" t="s">
        <v>672</v>
      </c>
      <c r="AB171" s="3" t="s">
        <v>101</v>
      </c>
      <c r="AC171" s="3"/>
    </row>
    <row r="172" spans="1:29" x14ac:dyDescent="0.3">
      <c r="A172" s="2" t="s">
        <v>1439</v>
      </c>
      <c r="B172" s="2" t="s">
        <v>1440</v>
      </c>
      <c r="C172" s="2" t="s">
        <v>1273</v>
      </c>
      <c r="D172" s="2" t="s">
        <v>1441</v>
      </c>
      <c r="E172" s="2" t="s">
        <v>42</v>
      </c>
      <c r="F172" s="2" t="s">
        <v>1119</v>
      </c>
      <c r="G172" s="2" t="s">
        <v>1442</v>
      </c>
      <c r="H172" s="2" t="s">
        <v>1443</v>
      </c>
      <c r="I172" s="2">
        <v>8</v>
      </c>
      <c r="J172" s="2" t="s">
        <v>39</v>
      </c>
      <c r="K172" s="2" t="s">
        <v>193</v>
      </c>
      <c r="L172" s="2" t="s">
        <v>193</v>
      </c>
      <c r="M172" s="2" t="s">
        <v>1444</v>
      </c>
      <c r="N172" s="2" t="s">
        <v>409</v>
      </c>
      <c r="O172" s="2" t="s">
        <v>21</v>
      </c>
      <c r="P172" s="2" t="s">
        <v>196</v>
      </c>
      <c r="Q172" s="2" t="s">
        <v>99</v>
      </c>
      <c r="R172" s="2">
        <v>2</v>
      </c>
      <c r="S172" s="2">
        <v>9693.7099999999991</v>
      </c>
      <c r="T172" s="2">
        <v>5</v>
      </c>
      <c r="U172" s="2">
        <v>18418.05</v>
      </c>
      <c r="V172" s="2">
        <v>8613.56</v>
      </c>
      <c r="W172" s="2">
        <v>9804.49</v>
      </c>
      <c r="X172" s="2">
        <v>53.23</v>
      </c>
      <c r="Y172" s="2">
        <v>199</v>
      </c>
      <c r="Z172" s="2" t="s">
        <v>48</v>
      </c>
      <c r="AA172" s="2" t="s">
        <v>100</v>
      </c>
      <c r="AB172" s="2" t="s">
        <v>101</v>
      </c>
      <c r="AC172" s="2">
        <v>3</v>
      </c>
    </row>
    <row r="173" spans="1:29" x14ac:dyDescent="0.3">
      <c r="A173" s="3" t="s">
        <v>1445</v>
      </c>
      <c r="B173" s="3" t="s">
        <v>1446</v>
      </c>
      <c r="C173" s="3" t="s">
        <v>967</v>
      </c>
      <c r="D173" s="3" t="s">
        <v>1447</v>
      </c>
      <c r="E173" s="3" t="s">
        <v>18</v>
      </c>
      <c r="F173" s="3" t="s">
        <v>361</v>
      </c>
      <c r="G173" s="3" t="s">
        <v>362</v>
      </c>
      <c r="H173" s="3" t="s">
        <v>762</v>
      </c>
      <c r="I173" s="3">
        <v>6</v>
      </c>
      <c r="J173" s="3" t="s">
        <v>39</v>
      </c>
      <c r="K173" s="3" t="s">
        <v>109</v>
      </c>
      <c r="L173" s="3" t="s">
        <v>134</v>
      </c>
      <c r="M173" s="3" t="s">
        <v>1448</v>
      </c>
      <c r="N173" s="3" t="s">
        <v>174</v>
      </c>
      <c r="O173" s="3" t="s">
        <v>27</v>
      </c>
      <c r="P173" s="3" t="s">
        <v>175</v>
      </c>
      <c r="Q173" s="3" t="s">
        <v>509</v>
      </c>
      <c r="R173" s="3">
        <v>1</v>
      </c>
      <c r="S173" s="3">
        <v>40141.269999999997</v>
      </c>
      <c r="T173" s="3">
        <v>30</v>
      </c>
      <c r="U173" s="3">
        <v>28098.89</v>
      </c>
      <c r="V173" s="3">
        <v>12787.81</v>
      </c>
      <c r="W173" s="3">
        <v>15311.08</v>
      </c>
      <c r="X173" s="3">
        <v>54.49</v>
      </c>
      <c r="Y173" s="3">
        <v>0</v>
      </c>
      <c r="Z173" s="3" t="s">
        <v>48</v>
      </c>
      <c r="AA173" s="3" t="s">
        <v>100</v>
      </c>
      <c r="AB173" s="3" t="s">
        <v>101</v>
      </c>
      <c r="AC173" s="3">
        <v>4</v>
      </c>
    </row>
    <row r="174" spans="1:29" x14ac:dyDescent="0.3">
      <c r="A174" s="2" t="s">
        <v>1449</v>
      </c>
      <c r="B174" s="2" t="s">
        <v>1450</v>
      </c>
      <c r="C174" s="2" t="s">
        <v>1451</v>
      </c>
      <c r="D174" s="2" t="s">
        <v>1452</v>
      </c>
      <c r="E174" s="2" t="s">
        <v>42</v>
      </c>
      <c r="F174" s="2" t="s">
        <v>1453</v>
      </c>
      <c r="G174" s="2" t="s">
        <v>947</v>
      </c>
      <c r="H174" s="2" t="s">
        <v>948</v>
      </c>
      <c r="I174" s="2">
        <v>6</v>
      </c>
      <c r="J174" s="2" t="s">
        <v>29</v>
      </c>
      <c r="K174" s="2" t="s">
        <v>834</v>
      </c>
      <c r="L174" s="2" t="s">
        <v>1000</v>
      </c>
      <c r="M174" s="2" t="s">
        <v>1454</v>
      </c>
      <c r="N174" s="2" t="s">
        <v>316</v>
      </c>
      <c r="O174" s="2" t="s">
        <v>28</v>
      </c>
      <c r="P174" s="2" t="s">
        <v>137</v>
      </c>
      <c r="Q174" s="2" t="s">
        <v>138</v>
      </c>
      <c r="R174" s="2">
        <v>1</v>
      </c>
      <c r="S174" s="2">
        <v>30722.62</v>
      </c>
      <c r="T174" s="2">
        <v>0</v>
      </c>
      <c r="U174" s="2">
        <v>30722.62</v>
      </c>
      <c r="V174" s="2">
        <v>16366.75</v>
      </c>
      <c r="W174" s="2">
        <v>14355.87</v>
      </c>
      <c r="X174" s="2">
        <v>46.73</v>
      </c>
      <c r="Y174" s="2">
        <v>29</v>
      </c>
      <c r="Z174" s="2" t="s">
        <v>43</v>
      </c>
      <c r="AA174" s="2" t="s">
        <v>100</v>
      </c>
      <c r="AB174" s="2" t="s">
        <v>101</v>
      </c>
      <c r="AC174" s="2">
        <v>5</v>
      </c>
    </row>
    <row r="175" spans="1:29" x14ac:dyDescent="0.3">
      <c r="A175" s="3" t="s">
        <v>1455</v>
      </c>
      <c r="B175" s="3" t="s">
        <v>1456</v>
      </c>
      <c r="C175" s="3" t="s">
        <v>339</v>
      </c>
      <c r="D175" s="3" t="s">
        <v>1457</v>
      </c>
      <c r="E175" s="3" t="s">
        <v>33</v>
      </c>
      <c r="F175" s="3" t="s">
        <v>1458</v>
      </c>
      <c r="G175" s="3" t="s">
        <v>1459</v>
      </c>
      <c r="H175" s="3" t="s">
        <v>1460</v>
      </c>
      <c r="I175" s="3">
        <v>4</v>
      </c>
      <c r="J175" s="3" t="s">
        <v>39</v>
      </c>
      <c r="K175" s="3" t="s">
        <v>324</v>
      </c>
      <c r="L175" s="3" t="s">
        <v>1422</v>
      </c>
      <c r="M175" s="3" t="s">
        <v>1461</v>
      </c>
      <c r="N175" s="3" t="s">
        <v>1122</v>
      </c>
      <c r="O175" s="3" t="s">
        <v>27</v>
      </c>
      <c r="P175" s="3" t="s">
        <v>257</v>
      </c>
      <c r="Q175" s="3" t="s">
        <v>152</v>
      </c>
      <c r="R175" s="3">
        <v>3</v>
      </c>
      <c r="S175" s="3">
        <v>9762.02</v>
      </c>
      <c r="T175" s="3">
        <v>0</v>
      </c>
      <c r="U175" s="3">
        <v>29286.06</v>
      </c>
      <c r="V175" s="3">
        <v>18646.88</v>
      </c>
      <c r="W175" s="3">
        <v>10639.18</v>
      </c>
      <c r="X175" s="3">
        <v>36.33</v>
      </c>
      <c r="Y175" s="3">
        <v>49</v>
      </c>
      <c r="Z175" s="3" t="s">
        <v>15</v>
      </c>
      <c r="AA175" s="3" t="s">
        <v>186</v>
      </c>
      <c r="AB175" s="3" t="s">
        <v>101</v>
      </c>
      <c r="AC175" s="3"/>
    </row>
    <row r="176" spans="1:29" x14ac:dyDescent="0.3">
      <c r="A176" s="2" t="s">
        <v>1462</v>
      </c>
      <c r="B176" s="2" t="s">
        <v>1463</v>
      </c>
      <c r="C176" s="2" t="s">
        <v>1464</v>
      </c>
      <c r="D176" s="2" t="s">
        <v>1465</v>
      </c>
      <c r="E176" s="2" t="s">
        <v>26</v>
      </c>
      <c r="F176" s="2" t="s">
        <v>1466</v>
      </c>
      <c r="G176" s="2" t="s">
        <v>682</v>
      </c>
      <c r="H176" s="2" t="s">
        <v>332</v>
      </c>
      <c r="I176" s="2">
        <v>6</v>
      </c>
      <c r="J176" s="2" t="s">
        <v>29</v>
      </c>
      <c r="K176" s="2" t="s">
        <v>334</v>
      </c>
      <c r="L176" s="2" t="s">
        <v>335</v>
      </c>
      <c r="M176" s="2" t="s">
        <v>1467</v>
      </c>
      <c r="N176" s="2" t="s">
        <v>931</v>
      </c>
      <c r="O176" s="2" t="s">
        <v>13</v>
      </c>
      <c r="P176" s="2" t="s">
        <v>419</v>
      </c>
      <c r="Q176" s="2" t="s">
        <v>287</v>
      </c>
      <c r="R176" s="2">
        <v>1</v>
      </c>
      <c r="S176" s="2">
        <v>29706.07</v>
      </c>
      <c r="T176" s="2">
        <v>20</v>
      </c>
      <c r="U176" s="2">
        <v>23764.86</v>
      </c>
      <c r="V176" s="2">
        <v>12925.76</v>
      </c>
      <c r="W176" s="2">
        <v>10839.1</v>
      </c>
      <c r="X176" s="2">
        <v>45.61</v>
      </c>
      <c r="Y176" s="2">
        <v>49</v>
      </c>
      <c r="Z176" s="2" t="s">
        <v>30</v>
      </c>
      <c r="AA176" s="2" t="s">
        <v>139</v>
      </c>
      <c r="AB176" s="2" t="s">
        <v>140</v>
      </c>
      <c r="AC176" s="2"/>
    </row>
    <row r="177" spans="1:29" x14ac:dyDescent="0.3">
      <c r="A177" s="3" t="s">
        <v>1468</v>
      </c>
      <c r="B177" s="3" t="s">
        <v>1469</v>
      </c>
      <c r="C177" s="3" t="s">
        <v>554</v>
      </c>
      <c r="D177" s="3" t="s">
        <v>1470</v>
      </c>
      <c r="E177" s="3" t="s">
        <v>18</v>
      </c>
      <c r="F177" s="3" t="s">
        <v>1263</v>
      </c>
      <c r="G177" s="3" t="s">
        <v>192</v>
      </c>
      <c r="H177" s="3" t="s">
        <v>1338</v>
      </c>
      <c r="I177" s="3">
        <v>4</v>
      </c>
      <c r="J177" s="3" t="s">
        <v>22</v>
      </c>
      <c r="K177" s="3" t="s">
        <v>122</v>
      </c>
      <c r="L177" s="3" t="s">
        <v>812</v>
      </c>
      <c r="M177" s="3" t="s">
        <v>1471</v>
      </c>
      <c r="N177" s="3" t="s">
        <v>518</v>
      </c>
      <c r="O177" s="3" t="s">
        <v>19</v>
      </c>
      <c r="P177" s="3" t="s">
        <v>365</v>
      </c>
      <c r="Q177" s="3" t="s">
        <v>608</v>
      </c>
      <c r="R177" s="3">
        <v>1</v>
      </c>
      <c r="S177" s="3">
        <v>42197.63</v>
      </c>
      <c r="T177" s="3">
        <v>15</v>
      </c>
      <c r="U177" s="3">
        <v>35867.99</v>
      </c>
      <c r="V177" s="3">
        <v>23795.93</v>
      </c>
      <c r="W177" s="3">
        <v>12072.06</v>
      </c>
      <c r="X177" s="3">
        <v>33.659999999999997</v>
      </c>
      <c r="Y177" s="3">
        <v>29</v>
      </c>
      <c r="Z177" s="3" t="s">
        <v>48</v>
      </c>
      <c r="AA177" s="3" t="s">
        <v>100</v>
      </c>
      <c r="AB177" s="3" t="s">
        <v>101</v>
      </c>
      <c r="AC177" s="3">
        <v>4</v>
      </c>
    </row>
    <row r="178" spans="1:29" x14ac:dyDescent="0.3">
      <c r="A178" s="2" t="s">
        <v>1472</v>
      </c>
      <c r="B178" s="2" t="s">
        <v>1473</v>
      </c>
      <c r="C178" s="2" t="s">
        <v>768</v>
      </c>
      <c r="D178" s="2" t="s">
        <v>1474</v>
      </c>
      <c r="E178" s="2" t="s">
        <v>42</v>
      </c>
      <c r="F178" s="2" t="s">
        <v>271</v>
      </c>
      <c r="G178" s="2" t="s">
        <v>168</v>
      </c>
      <c r="H178" s="2" t="s">
        <v>1093</v>
      </c>
      <c r="I178" s="2">
        <v>5</v>
      </c>
      <c r="J178" s="2" t="s">
        <v>22</v>
      </c>
      <c r="K178" s="2" t="s">
        <v>443</v>
      </c>
      <c r="L178" s="2" t="s">
        <v>444</v>
      </c>
      <c r="M178" s="2" t="s">
        <v>1475</v>
      </c>
      <c r="N178" s="2" t="s">
        <v>150</v>
      </c>
      <c r="O178" s="2" t="s">
        <v>28</v>
      </c>
      <c r="P178" s="2" t="s">
        <v>151</v>
      </c>
      <c r="Q178" s="2" t="s">
        <v>509</v>
      </c>
      <c r="R178" s="2">
        <v>1</v>
      </c>
      <c r="S178" s="2">
        <v>23869.26</v>
      </c>
      <c r="T178" s="2">
        <v>20</v>
      </c>
      <c r="U178" s="2">
        <v>19095.41</v>
      </c>
      <c r="V178" s="2">
        <v>9096.17</v>
      </c>
      <c r="W178" s="2">
        <v>9999.24</v>
      </c>
      <c r="X178" s="2">
        <v>52.36</v>
      </c>
      <c r="Y178" s="2">
        <v>49</v>
      </c>
      <c r="Z178" s="2" t="s">
        <v>47</v>
      </c>
      <c r="AA178" s="2" t="s">
        <v>139</v>
      </c>
      <c r="AB178" s="2" t="s">
        <v>140</v>
      </c>
      <c r="AC178" s="2"/>
    </row>
    <row r="179" spans="1:29" x14ac:dyDescent="0.3">
      <c r="A179" s="3" t="s">
        <v>1476</v>
      </c>
      <c r="B179" s="3" t="s">
        <v>1477</v>
      </c>
      <c r="C179" s="3" t="s">
        <v>450</v>
      </c>
      <c r="D179" s="3" t="s">
        <v>1478</v>
      </c>
      <c r="E179" s="3" t="s">
        <v>42</v>
      </c>
      <c r="F179" s="3" t="s">
        <v>1479</v>
      </c>
      <c r="G179" s="3" t="s">
        <v>414</v>
      </c>
      <c r="H179" s="3" t="s">
        <v>1480</v>
      </c>
      <c r="I179" s="3">
        <v>4</v>
      </c>
      <c r="J179" s="3" t="s">
        <v>39</v>
      </c>
      <c r="K179" s="3" t="s">
        <v>109</v>
      </c>
      <c r="L179" s="3" t="s">
        <v>110</v>
      </c>
      <c r="M179" s="3" t="s">
        <v>1481</v>
      </c>
      <c r="N179" s="3" t="s">
        <v>438</v>
      </c>
      <c r="O179" s="3" t="s">
        <v>13</v>
      </c>
      <c r="P179" s="3" t="s">
        <v>228</v>
      </c>
      <c r="Q179" s="3" t="s">
        <v>138</v>
      </c>
      <c r="R179" s="3">
        <v>3</v>
      </c>
      <c r="S179" s="3">
        <v>49740.56</v>
      </c>
      <c r="T179" s="3">
        <v>30</v>
      </c>
      <c r="U179" s="3">
        <v>104455.18</v>
      </c>
      <c r="V179" s="3">
        <v>49124.66</v>
      </c>
      <c r="W179" s="3">
        <v>55330.52</v>
      </c>
      <c r="X179" s="3">
        <v>52.97</v>
      </c>
      <c r="Y179" s="3">
        <v>29</v>
      </c>
      <c r="Z179" s="3" t="s">
        <v>43</v>
      </c>
      <c r="AA179" s="3" t="s">
        <v>100</v>
      </c>
      <c r="AB179" s="3" t="s">
        <v>101</v>
      </c>
      <c r="AC179" s="3">
        <v>2</v>
      </c>
    </row>
    <row r="180" spans="1:29" x14ac:dyDescent="0.3">
      <c r="A180" s="2" t="s">
        <v>1482</v>
      </c>
      <c r="B180" s="2" t="s">
        <v>1483</v>
      </c>
      <c r="C180" s="2" t="s">
        <v>1484</v>
      </c>
      <c r="D180" s="2" t="s">
        <v>1485</v>
      </c>
      <c r="E180" s="2" t="s">
        <v>33</v>
      </c>
      <c r="F180" s="2" t="s">
        <v>1486</v>
      </c>
      <c r="G180" s="2" t="s">
        <v>1487</v>
      </c>
      <c r="H180" s="2" t="s">
        <v>1488</v>
      </c>
      <c r="I180" s="2">
        <v>6</v>
      </c>
      <c r="J180" s="2" t="s">
        <v>39</v>
      </c>
      <c r="K180" s="2" t="s">
        <v>324</v>
      </c>
      <c r="L180" s="2" t="s">
        <v>325</v>
      </c>
      <c r="M180" s="2" t="s">
        <v>1489</v>
      </c>
      <c r="N180" s="2" t="s">
        <v>1332</v>
      </c>
      <c r="O180" s="2" t="s">
        <v>19</v>
      </c>
      <c r="P180" s="2" t="s">
        <v>447</v>
      </c>
      <c r="Q180" s="2" t="s">
        <v>152</v>
      </c>
      <c r="R180" s="2">
        <v>3</v>
      </c>
      <c r="S180" s="2">
        <v>4225.28</v>
      </c>
      <c r="T180" s="2">
        <v>0</v>
      </c>
      <c r="U180" s="2">
        <v>12675.84</v>
      </c>
      <c r="V180" s="2">
        <v>6773.85</v>
      </c>
      <c r="W180" s="2">
        <v>5901.99</v>
      </c>
      <c r="X180" s="2">
        <v>46.56</v>
      </c>
      <c r="Y180" s="2">
        <v>99</v>
      </c>
      <c r="Z180" s="2" t="s">
        <v>40</v>
      </c>
      <c r="AA180" s="2" t="s">
        <v>100</v>
      </c>
      <c r="AB180" s="2" t="s">
        <v>101</v>
      </c>
      <c r="AC180" s="2">
        <v>1</v>
      </c>
    </row>
    <row r="181" spans="1:29" x14ac:dyDescent="0.3">
      <c r="A181" s="3" t="s">
        <v>1490</v>
      </c>
      <c r="B181" s="3" t="s">
        <v>1491</v>
      </c>
      <c r="C181" s="3" t="s">
        <v>1492</v>
      </c>
      <c r="D181" s="3" t="s">
        <v>1493</v>
      </c>
      <c r="E181" s="3" t="s">
        <v>33</v>
      </c>
      <c r="F181" s="3" t="s">
        <v>1494</v>
      </c>
      <c r="G181" s="3" t="s">
        <v>1495</v>
      </c>
      <c r="H181" s="3" t="s">
        <v>1496</v>
      </c>
      <c r="I181" s="3">
        <v>8</v>
      </c>
      <c r="J181" s="3" t="s">
        <v>39</v>
      </c>
      <c r="K181" s="3" t="s">
        <v>324</v>
      </c>
      <c r="L181" s="3" t="s">
        <v>1422</v>
      </c>
      <c r="M181" s="3" t="s">
        <v>1497</v>
      </c>
      <c r="N181" s="3" t="s">
        <v>97</v>
      </c>
      <c r="O181" s="3" t="s">
        <v>13</v>
      </c>
      <c r="P181" s="3" t="s">
        <v>98</v>
      </c>
      <c r="Q181" s="3" t="s">
        <v>608</v>
      </c>
      <c r="R181" s="3">
        <v>1</v>
      </c>
      <c r="S181" s="3">
        <v>43197.53</v>
      </c>
      <c r="T181" s="3">
        <v>30</v>
      </c>
      <c r="U181" s="3">
        <v>30238.27</v>
      </c>
      <c r="V181" s="3">
        <v>14345.62</v>
      </c>
      <c r="W181" s="3">
        <v>15892.65</v>
      </c>
      <c r="X181" s="3">
        <v>52.56</v>
      </c>
      <c r="Y181" s="3">
        <v>99</v>
      </c>
      <c r="Z181" s="3" t="s">
        <v>15</v>
      </c>
      <c r="AA181" s="3" t="s">
        <v>672</v>
      </c>
      <c r="AB181" s="3" t="s">
        <v>101</v>
      </c>
      <c r="AC181" s="3"/>
    </row>
    <row r="182" spans="1:29" x14ac:dyDescent="0.3">
      <c r="A182" s="2" t="s">
        <v>1498</v>
      </c>
      <c r="B182" s="2" t="s">
        <v>1499</v>
      </c>
      <c r="C182" s="2" t="s">
        <v>240</v>
      </c>
      <c r="D182" s="2" t="s">
        <v>1500</v>
      </c>
      <c r="E182" s="2" t="s">
        <v>18</v>
      </c>
      <c r="F182" s="2" t="s">
        <v>668</v>
      </c>
      <c r="G182" s="2" t="s">
        <v>1501</v>
      </c>
      <c r="H182" s="2" t="s">
        <v>452</v>
      </c>
      <c r="I182" s="2">
        <v>5</v>
      </c>
      <c r="J182" s="2" t="s">
        <v>22</v>
      </c>
      <c r="K182" s="2" t="s">
        <v>254</v>
      </c>
      <c r="L182" s="2" t="s">
        <v>254</v>
      </c>
      <c r="M182" s="2" t="s">
        <v>1502</v>
      </c>
      <c r="N182" s="2" t="s">
        <v>327</v>
      </c>
      <c r="O182" s="2" t="s">
        <v>27</v>
      </c>
      <c r="P182" s="2" t="s">
        <v>113</v>
      </c>
      <c r="Q182" s="2" t="s">
        <v>138</v>
      </c>
      <c r="R182" s="2">
        <v>1</v>
      </c>
      <c r="S182" s="2">
        <v>46730.95</v>
      </c>
      <c r="T182" s="2">
        <v>30</v>
      </c>
      <c r="U182" s="2">
        <v>32711.66</v>
      </c>
      <c r="V182" s="2">
        <v>20030.53</v>
      </c>
      <c r="W182" s="2">
        <v>12681.13</v>
      </c>
      <c r="X182" s="2">
        <v>38.770000000000003</v>
      </c>
      <c r="Y182" s="2">
        <v>0</v>
      </c>
      <c r="Z182" s="2" t="s">
        <v>47</v>
      </c>
      <c r="AA182" s="2" t="s">
        <v>100</v>
      </c>
      <c r="AB182" s="2" t="s">
        <v>101</v>
      </c>
      <c r="AC182" s="2"/>
    </row>
    <row r="183" spans="1:29" x14ac:dyDescent="0.3">
      <c r="A183" s="3" t="s">
        <v>1503</v>
      </c>
      <c r="B183" s="3" t="s">
        <v>1504</v>
      </c>
      <c r="C183" s="3" t="s">
        <v>1505</v>
      </c>
      <c r="D183" s="3" t="s">
        <v>1506</v>
      </c>
      <c r="E183" s="3" t="s">
        <v>18</v>
      </c>
      <c r="F183" s="3" t="s">
        <v>719</v>
      </c>
      <c r="G183" s="3" t="s">
        <v>1186</v>
      </c>
      <c r="H183" s="3" t="s">
        <v>1507</v>
      </c>
      <c r="I183" s="3">
        <v>6</v>
      </c>
      <c r="J183" s="3" t="s">
        <v>39</v>
      </c>
      <c r="K183" s="3" t="s">
        <v>109</v>
      </c>
      <c r="L183" s="3" t="s">
        <v>134</v>
      </c>
      <c r="M183" s="3" t="s">
        <v>1508</v>
      </c>
      <c r="N183" s="3" t="s">
        <v>286</v>
      </c>
      <c r="O183" s="3" t="s">
        <v>28</v>
      </c>
      <c r="P183" s="3" t="s">
        <v>137</v>
      </c>
      <c r="Q183" s="3" t="s">
        <v>466</v>
      </c>
      <c r="R183" s="3">
        <v>1</v>
      </c>
      <c r="S183" s="3">
        <v>23033.05</v>
      </c>
      <c r="T183" s="3">
        <v>30</v>
      </c>
      <c r="U183" s="3">
        <v>16123.13</v>
      </c>
      <c r="V183" s="3">
        <v>9569.56</v>
      </c>
      <c r="W183" s="3">
        <v>6553.57</v>
      </c>
      <c r="X183" s="3">
        <v>40.65</v>
      </c>
      <c r="Y183" s="3">
        <v>199</v>
      </c>
      <c r="Z183" s="3" t="s">
        <v>15</v>
      </c>
      <c r="AA183" s="3" t="s">
        <v>100</v>
      </c>
      <c r="AB183" s="3" t="s">
        <v>101</v>
      </c>
      <c r="AC183" s="3">
        <v>2</v>
      </c>
    </row>
    <row r="184" spans="1:29" x14ac:dyDescent="0.3">
      <c r="A184" s="2" t="s">
        <v>1509</v>
      </c>
      <c r="B184" s="2" t="s">
        <v>1510</v>
      </c>
      <c r="C184" s="2" t="s">
        <v>1426</v>
      </c>
      <c r="D184" s="2" t="s">
        <v>1511</v>
      </c>
      <c r="E184" s="2" t="s">
        <v>26</v>
      </c>
      <c r="F184" s="2" t="s">
        <v>1512</v>
      </c>
      <c r="G184" s="2" t="s">
        <v>1513</v>
      </c>
      <c r="H184" s="2" t="s">
        <v>1288</v>
      </c>
      <c r="I184" s="2">
        <v>6</v>
      </c>
      <c r="J184" s="2" t="s">
        <v>39</v>
      </c>
      <c r="K184" s="2" t="s">
        <v>109</v>
      </c>
      <c r="L184" s="2" t="s">
        <v>344</v>
      </c>
      <c r="M184" s="2" t="s">
        <v>1514</v>
      </c>
      <c r="N184" s="2" t="s">
        <v>852</v>
      </c>
      <c r="O184" s="2" t="s">
        <v>27</v>
      </c>
      <c r="P184" s="2" t="s">
        <v>175</v>
      </c>
      <c r="Q184" s="2" t="s">
        <v>246</v>
      </c>
      <c r="R184" s="2">
        <v>1</v>
      </c>
      <c r="S184" s="2">
        <v>43156.72</v>
      </c>
      <c r="T184" s="2">
        <v>5</v>
      </c>
      <c r="U184" s="2">
        <v>40998.879999999997</v>
      </c>
      <c r="V184" s="2">
        <v>24651.46</v>
      </c>
      <c r="W184" s="2">
        <v>16347.42</v>
      </c>
      <c r="X184" s="2">
        <v>39.869999999999997</v>
      </c>
      <c r="Y184" s="2">
        <v>149</v>
      </c>
      <c r="Z184" s="2" t="s">
        <v>40</v>
      </c>
      <c r="AA184" s="2" t="s">
        <v>100</v>
      </c>
      <c r="AB184" s="2" t="s">
        <v>101</v>
      </c>
      <c r="AC184" s="2">
        <v>5</v>
      </c>
    </row>
    <row r="185" spans="1:29" x14ac:dyDescent="0.3">
      <c r="A185" s="3" t="s">
        <v>1515</v>
      </c>
      <c r="B185" s="3" t="s">
        <v>1516</v>
      </c>
      <c r="C185" s="3" t="s">
        <v>1517</v>
      </c>
      <c r="D185" s="3" t="s">
        <v>1518</v>
      </c>
      <c r="E185" s="3" t="s">
        <v>33</v>
      </c>
      <c r="F185" s="3" t="s">
        <v>1135</v>
      </c>
      <c r="G185" s="3" t="s">
        <v>1519</v>
      </c>
      <c r="H185" s="3" t="s">
        <v>1520</v>
      </c>
      <c r="I185" s="3">
        <v>3</v>
      </c>
      <c r="J185" s="3" t="s">
        <v>29</v>
      </c>
      <c r="K185" s="3" t="s">
        <v>160</v>
      </c>
      <c r="L185" s="3" t="s">
        <v>559</v>
      </c>
      <c r="M185" s="3" t="s">
        <v>1521</v>
      </c>
      <c r="N185" s="3" t="s">
        <v>185</v>
      </c>
      <c r="O185" s="3" t="s">
        <v>28</v>
      </c>
      <c r="P185" s="3" t="s">
        <v>151</v>
      </c>
      <c r="Q185" s="3" t="s">
        <v>99</v>
      </c>
      <c r="R185" s="3">
        <v>4</v>
      </c>
      <c r="S185" s="3">
        <v>26917.68</v>
      </c>
      <c r="T185" s="3">
        <v>15</v>
      </c>
      <c r="U185" s="3">
        <v>91520.11</v>
      </c>
      <c r="V185" s="3">
        <v>63977.88</v>
      </c>
      <c r="W185" s="3">
        <v>27542.23</v>
      </c>
      <c r="X185" s="3">
        <v>30.09</v>
      </c>
      <c r="Y185" s="3">
        <v>99</v>
      </c>
      <c r="Z185" s="3" t="s">
        <v>47</v>
      </c>
      <c r="AA185" s="3" t="s">
        <v>275</v>
      </c>
      <c r="AB185" s="3" t="s">
        <v>101</v>
      </c>
      <c r="AC185" s="3"/>
    </row>
    <row r="186" spans="1:29" x14ac:dyDescent="0.3">
      <c r="A186" s="2" t="s">
        <v>1522</v>
      </c>
      <c r="B186" s="2" t="s">
        <v>1523</v>
      </c>
      <c r="C186" s="2" t="s">
        <v>563</v>
      </c>
      <c r="D186" s="2" t="s">
        <v>1524</v>
      </c>
      <c r="E186" s="2" t="s">
        <v>26</v>
      </c>
      <c r="F186" s="2" t="s">
        <v>1525</v>
      </c>
      <c r="G186" s="2" t="s">
        <v>1526</v>
      </c>
      <c r="H186" s="2" t="s">
        <v>676</v>
      </c>
      <c r="I186" s="2">
        <v>8</v>
      </c>
      <c r="J186" s="2" t="s">
        <v>14</v>
      </c>
      <c r="K186" s="2" t="s">
        <v>215</v>
      </c>
      <c r="L186" s="2" t="s">
        <v>215</v>
      </c>
      <c r="M186" s="2" t="s">
        <v>1527</v>
      </c>
      <c r="N186" s="2" t="s">
        <v>592</v>
      </c>
      <c r="O186" s="2" t="s">
        <v>21</v>
      </c>
      <c r="P186" s="2" t="s">
        <v>206</v>
      </c>
      <c r="Q186" s="2" t="s">
        <v>127</v>
      </c>
      <c r="R186" s="2">
        <v>2</v>
      </c>
      <c r="S186" s="2">
        <v>19262.990000000002</v>
      </c>
      <c r="T186" s="2">
        <v>30</v>
      </c>
      <c r="U186" s="2">
        <v>26968.19</v>
      </c>
      <c r="V186" s="2">
        <v>13156.35</v>
      </c>
      <c r="W186" s="2">
        <v>13811.84</v>
      </c>
      <c r="X186" s="2">
        <v>51.22</v>
      </c>
      <c r="Y186" s="2">
        <v>199</v>
      </c>
      <c r="Z186" s="2" t="s">
        <v>15</v>
      </c>
      <c r="AA186" s="2" t="s">
        <v>100</v>
      </c>
      <c r="AB186" s="2" t="s">
        <v>101</v>
      </c>
      <c r="AC186" s="2">
        <v>2</v>
      </c>
    </row>
    <row r="187" spans="1:29" x14ac:dyDescent="0.3">
      <c r="A187" s="3" t="s">
        <v>1528</v>
      </c>
      <c r="B187" s="3" t="s">
        <v>1529</v>
      </c>
      <c r="C187" s="3" t="s">
        <v>1226</v>
      </c>
      <c r="D187" s="3" t="s">
        <v>1530</v>
      </c>
      <c r="E187" s="3" t="s">
        <v>26</v>
      </c>
      <c r="F187" s="3" t="s">
        <v>1531</v>
      </c>
      <c r="G187" s="3" t="s">
        <v>1532</v>
      </c>
      <c r="H187" s="3" t="s">
        <v>1533</v>
      </c>
      <c r="I187" s="3">
        <v>7</v>
      </c>
      <c r="J187" s="3" t="s">
        <v>29</v>
      </c>
      <c r="K187" s="3" t="s">
        <v>834</v>
      </c>
      <c r="L187" s="3" t="s">
        <v>901</v>
      </c>
      <c r="M187" s="3" t="s">
        <v>1534</v>
      </c>
      <c r="N187" s="3" t="s">
        <v>1535</v>
      </c>
      <c r="O187" s="3" t="s">
        <v>13</v>
      </c>
      <c r="P187" s="3" t="s">
        <v>98</v>
      </c>
      <c r="Q187" s="3" t="s">
        <v>608</v>
      </c>
      <c r="R187" s="3">
        <v>2</v>
      </c>
      <c r="S187" s="3">
        <v>22496.55</v>
      </c>
      <c r="T187" s="3">
        <v>15</v>
      </c>
      <c r="U187" s="3">
        <v>38244.129999999997</v>
      </c>
      <c r="V187" s="3">
        <v>24783.41</v>
      </c>
      <c r="W187" s="3">
        <v>13460.72</v>
      </c>
      <c r="X187" s="3">
        <v>35.200000000000003</v>
      </c>
      <c r="Y187" s="3">
        <v>0</v>
      </c>
      <c r="Z187" s="3" t="s">
        <v>15</v>
      </c>
      <c r="AA187" s="3" t="s">
        <v>100</v>
      </c>
      <c r="AB187" s="3" t="s">
        <v>101</v>
      </c>
      <c r="AC187" s="3">
        <v>2</v>
      </c>
    </row>
    <row r="188" spans="1:29" x14ac:dyDescent="0.3">
      <c r="A188" s="2" t="s">
        <v>1536</v>
      </c>
      <c r="B188" s="2" t="s">
        <v>1537</v>
      </c>
      <c r="C188" s="2" t="s">
        <v>512</v>
      </c>
      <c r="D188" s="2" t="s">
        <v>1538</v>
      </c>
      <c r="E188" s="2" t="s">
        <v>33</v>
      </c>
      <c r="F188" s="2" t="s">
        <v>1539</v>
      </c>
      <c r="G188" s="2" t="s">
        <v>1540</v>
      </c>
      <c r="H188" s="2" t="s">
        <v>1541</v>
      </c>
      <c r="I188" s="2">
        <v>4</v>
      </c>
      <c r="J188" s="2" t="s">
        <v>22</v>
      </c>
      <c r="K188" s="2" t="s">
        <v>443</v>
      </c>
      <c r="L188" s="2" t="s">
        <v>444</v>
      </c>
      <c r="M188" s="2" t="s">
        <v>902</v>
      </c>
      <c r="N188" s="2" t="s">
        <v>286</v>
      </c>
      <c r="O188" s="2" t="s">
        <v>28</v>
      </c>
      <c r="P188" s="2" t="s">
        <v>137</v>
      </c>
      <c r="Q188" s="2" t="s">
        <v>466</v>
      </c>
      <c r="R188" s="2">
        <v>5</v>
      </c>
      <c r="S188" s="2">
        <v>36369.93</v>
      </c>
      <c r="T188" s="2">
        <v>25</v>
      </c>
      <c r="U188" s="2">
        <v>136387.24</v>
      </c>
      <c r="V188" s="2">
        <v>69602.12</v>
      </c>
      <c r="W188" s="2">
        <v>66785.119999999995</v>
      </c>
      <c r="X188" s="2">
        <v>48.97</v>
      </c>
      <c r="Y188" s="2">
        <v>149</v>
      </c>
      <c r="Z188" s="2" t="s">
        <v>40</v>
      </c>
      <c r="AA188" s="2" t="s">
        <v>275</v>
      </c>
      <c r="AB188" s="2" t="s">
        <v>101</v>
      </c>
      <c r="AC188" s="2"/>
    </row>
    <row r="189" spans="1:29" x14ac:dyDescent="0.3">
      <c r="A189" s="3" t="s">
        <v>1542</v>
      </c>
      <c r="B189" s="3" t="s">
        <v>1543</v>
      </c>
      <c r="C189" s="3" t="s">
        <v>1544</v>
      </c>
      <c r="D189" s="3" t="s">
        <v>1545</v>
      </c>
      <c r="E189" s="3" t="s">
        <v>18</v>
      </c>
      <c r="F189" s="3" t="s">
        <v>1546</v>
      </c>
      <c r="G189" s="3" t="s">
        <v>1547</v>
      </c>
      <c r="H189" s="3" t="s">
        <v>1548</v>
      </c>
      <c r="I189" s="3">
        <v>7</v>
      </c>
      <c r="J189" s="3" t="s">
        <v>14</v>
      </c>
      <c r="K189" s="3" t="s">
        <v>215</v>
      </c>
      <c r="L189" s="3" t="s">
        <v>215</v>
      </c>
      <c r="M189" s="3" t="s">
        <v>1549</v>
      </c>
      <c r="N189" s="3" t="s">
        <v>924</v>
      </c>
      <c r="O189" s="3" t="s">
        <v>13</v>
      </c>
      <c r="P189" s="3" t="s">
        <v>228</v>
      </c>
      <c r="Q189" s="3" t="s">
        <v>355</v>
      </c>
      <c r="R189" s="3">
        <v>2</v>
      </c>
      <c r="S189" s="3">
        <v>30830.55</v>
      </c>
      <c r="T189" s="3">
        <v>5</v>
      </c>
      <c r="U189" s="3">
        <v>58578.04</v>
      </c>
      <c r="V189" s="3">
        <v>33602.03</v>
      </c>
      <c r="W189" s="3">
        <v>24976.01</v>
      </c>
      <c r="X189" s="3">
        <v>42.64</v>
      </c>
      <c r="Y189" s="3">
        <v>149</v>
      </c>
      <c r="Z189" s="3" t="s">
        <v>15</v>
      </c>
      <c r="AA189" s="3" t="s">
        <v>139</v>
      </c>
      <c r="AB189" s="3" t="s">
        <v>140</v>
      </c>
      <c r="AC189" s="3"/>
    </row>
    <row r="190" spans="1:29" x14ac:dyDescent="0.3">
      <c r="A190" s="2" t="s">
        <v>1550</v>
      </c>
      <c r="B190" s="2" t="s">
        <v>1551</v>
      </c>
      <c r="C190" s="2" t="s">
        <v>260</v>
      </c>
      <c r="D190" s="2" t="s">
        <v>1552</v>
      </c>
      <c r="E190" s="2" t="s">
        <v>18</v>
      </c>
      <c r="F190" s="2" t="s">
        <v>1079</v>
      </c>
      <c r="G190" s="2" t="s">
        <v>1553</v>
      </c>
      <c r="H190" s="2" t="s">
        <v>1554</v>
      </c>
      <c r="I190" s="2">
        <v>5</v>
      </c>
      <c r="J190" s="2" t="s">
        <v>39</v>
      </c>
      <c r="K190" s="2" t="s">
        <v>109</v>
      </c>
      <c r="L190" s="2" t="s">
        <v>344</v>
      </c>
      <c r="M190" s="2" t="s">
        <v>1555</v>
      </c>
      <c r="N190" s="2" t="s">
        <v>1188</v>
      </c>
      <c r="O190" s="2" t="s">
        <v>27</v>
      </c>
      <c r="P190" s="2" t="s">
        <v>257</v>
      </c>
      <c r="Q190" s="2" t="s">
        <v>218</v>
      </c>
      <c r="R190" s="2">
        <v>3</v>
      </c>
      <c r="S190" s="2">
        <v>15449.62</v>
      </c>
      <c r="T190" s="2">
        <v>0</v>
      </c>
      <c r="U190" s="2">
        <v>46348.86</v>
      </c>
      <c r="V190" s="2">
        <v>25826.74</v>
      </c>
      <c r="W190" s="2">
        <v>20522.12</v>
      </c>
      <c r="X190" s="2">
        <v>44.28</v>
      </c>
      <c r="Y190" s="2">
        <v>199</v>
      </c>
      <c r="Z190" s="2" t="s">
        <v>40</v>
      </c>
      <c r="AA190" s="2" t="s">
        <v>100</v>
      </c>
      <c r="AB190" s="2" t="s">
        <v>101</v>
      </c>
      <c r="AC190" s="2">
        <v>4</v>
      </c>
    </row>
    <row r="191" spans="1:29" x14ac:dyDescent="0.3">
      <c r="A191" s="3" t="s">
        <v>1556</v>
      </c>
      <c r="B191" s="3" t="s">
        <v>1557</v>
      </c>
      <c r="C191" s="3" t="s">
        <v>967</v>
      </c>
      <c r="D191" s="3" t="s">
        <v>1558</v>
      </c>
      <c r="E191" s="3" t="s">
        <v>33</v>
      </c>
      <c r="F191" s="3" t="s">
        <v>1519</v>
      </c>
      <c r="G191" s="3" t="s">
        <v>1520</v>
      </c>
      <c r="H191" s="3" t="s">
        <v>547</v>
      </c>
      <c r="I191" s="3">
        <v>7</v>
      </c>
      <c r="J191" s="3" t="s">
        <v>39</v>
      </c>
      <c r="K191" s="3" t="s">
        <v>109</v>
      </c>
      <c r="L191" s="3" t="s">
        <v>344</v>
      </c>
      <c r="M191" s="3" t="s">
        <v>1559</v>
      </c>
      <c r="N191" s="3" t="s">
        <v>374</v>
      </c>
      <c r="O191" s="3" t="s">
        <v>21</v>
      </c>
      <c r="P191" s="3" t="s">
        <v>196</v>
      </c>
      <c r="Q191" s="3" t="s">
        <v>99</v>
      </c>
      <c r="R191" s="3">
        <v>3</v>
      </c>
      <c r="S191" s="3">
        <v>27740.84</v>
      </c>
      <c r="T191" s="3">
        <v>10</v>
      </c>
      <c r="U191" s="3">
        <v>74900.27</v>
      </c>
      <c r="V191" s="3">
        <v>52410.14</v>
      </c>
      <c r="W191" s="3">
        <v>22490.13</v>
      </c>
      <c r="X191" s="3">
        <v>30.03</v>
      </c>
      <c r="Y191" s="3">
        <v>0</v>
      </c>
      <c r="Z191" s="3" t="s">
        <v>48</v>
      </c>
      <c r="AA191" s="3" t="s">
        <v>100</v>
      </c>
      <c r="AB191" s="3" t="s">
        <v>101</v>
      </c>
      <c r="AC191" s="3">
        <v>5</v>
      </c>
    </row>
    <row r="192" spans="1:29" x14ac:dyDescent="0.3">
      <c r="A192" s="2" t="s">
        <v>1560</v>
      </c>
      <c r="B192" s="2" t="s">
        <v>1561</v>
      </c>
      <c r="C192" s="2" t="s">
        <v>450</v>
      </c>
      <c r="D192" s="2" t="s">
        <v>1562</v>
      </c>
      <c r="E192" s="2" t="s">
        <v>18</v>
      </c>
      <c r="F192" s="2" t="s">
        <v>1428</v>
      </c>
      <c r="G192" s="2" t="s">
        <v>1563</v>
      </c>
      <c r="H192" s="2" t="s">
        <v>801</v>
      </c>
      <c r="I192" s="2">
        <v>8</v>
      </c>
      <c r="J192" s="2" t="s">
        <v>29</v>
      </c>
      <c r="K192" s="2" t="s">
        <v>334</v>
      </c>
      <c r="L192" s="2" t="s">
        <v>1073</v>
      </c>
      <c r="M192" s="2" t="s">
        <v>1564</v>
      </c>
      <c r="N192" s="2" t="s">
        <v>354</v>
      </c>
      <c r="O192" s="2" t="s">
        <v>21</v>
      </c>
      <c r="P192" s="2" t="s">
        <v>196</v>
      </c>
      <c r="Q192" s="2" t="s">
        <v>99</v>
      </c>
      <c r="R192" s="2">
        <v>5</v>
      </c>
      <c r="S192" s="2">
        <v>43249.09</v>
      </c>
      <c r="T192" s="2">
        <v>0</v>
      </c>
      <c r="U192" s="2">
        <v>216245.45</v>
      </c>
      <c r="V192" s="2">
        <v>121493.36</v>
      </c>
      <c r="W192" s="2">
        <v>94752.09</v>
      </c>
      <c r="X192" s="2">
        <v>43.82</v>
      </c>
      <c r="Y192" s="2">
        <v>149</v>
      </c>
      <c r="Z192" s="2" t="s">
        <v>30</v>
      </c>
      <c r="AA192" s="2" t="s">
        <v>100</v>
      </c>
      <c r="AB192" s="2" t="s">
        <v>101</v>
      </c>
      <c r="AC192" s="2">
        <v>3</v>
      </c>
    </row>
    <row r="193" spans="1:29" x14ac:dyDescent="0.3">
      <c r="A193" s="3" t="s">
        <v>1565</v>
      </c>
      <c r="B193" s="3" t="s">
        <v>1566</v>
      </c>
      <c r="C193" s="3" t="s">
        <v>300</v>
      </c>
      <c r="D193" s="3" t="s">
        <v>1567</v>
      </c>
      <c r="E193" s="3" t="s">
        <v>42</v>
      </c>
      <c r="F193" s="3" t="s">
        <v>1568</v>
      </c>
      <c r="G193" s="3" t="s">
        <v>322</v>
      </c>
      <c r="H193" s="3" t="s">
        <v>1569</v>
      </c>
      <c r="I193" s="3">
        <v>4</v>
      </c>
      <c r="J193" s="3" t="s">
        <v>14</v>
      </c>
      <c r="K193" s="3" t="s">
        <v>215</v>
      </c>
      <c r="L193" s="3" t="s">
        <v>215</v>
      </c>
      <c r="M193" s="3" t="s">
        <v>1570</v>
      </c>
      <c r="N193" s="3" t="s">
        <v>508</v>
      </c>
      <c r="O193" s="3" t="s">
        <v>19</v>
      </c>
      <c r="P193" s="3" t="s">
        <v>365</v>
      </c>
      <c r="Q193" s="3" t="s">
        <v>114</v>
      </c>
      <c r="R193" s="3">
        <v>5</v>
      </c>
      <c r="S193" s="3">
        <v>1943.04</v>
      </c>
      <c r="T193" s="3">
        <v>0</v>
      </c>
      <c r="U193" s="3">
        <v>9715.2000000000007</v>
      </c>
      <c r="V193" s="3">
        <v>4702.8500000000004</v>
      </c>
      <c r="W193" s="3">
        <v>5012.3500000000004</v>
      </c>
      <c r="X193" s="3">
        <v>51.59</v>
      </c>
      <c r="Y193" s="3">
        <v>99</v>
      </c>
      <c r="Z193" s="3" t="s">
        <v>15</v>
      </c>
      <c r="AA193" s="3" t="s">
        <v>275</v>
      </c>
      <c r="AB193" s="3" t="s">
        <v>101</v>
      </c>
      <c r="AC193" s="3"/>
    </row>
    <row r="194" spans="1:29" x14ac:dyDescent="0.3">
      <c r="A194" s="2" t="s">
        <v>1571</v>
      </c>
      <c r="B194" s="2" t="s">
        <v>1572</v>
      </c>
      <c r="C194" s="2" t="s">
        <v>1350</v>
      </c>
      <c r="D194" s="2" t="s">
        <v>1573</v>
      </c>
      <c r="E194" s="2" t="s">
        <v>18</v>
      </c>
      <c r="F194" s="2" t="s">
        <v>1014</v>
      </c>
      <c r="G194" s="2" t="s">
        <v>549</v>
      </c>
      <c r="H194" s="2" t="s">
        <v>1205</v>
      </c>
      <c r="I194" s="2">
        <v>7</v>
      </c>
      <c r="J194" s="2" t="s">
        <v>14</v>
      </c>
      <c r="K194" s="2" t="s">
        <v>215</v>
      </c>
      <c r="L194" s="2" t="s">
        <v>215</v>
      </c>
      <c r="M194" s="2" t="s">
        <v>1574</v>
      </c>
      <c r="N194" s="2" t="s">
        <v>364</v>
      </c>
      <c r="O194" s="2" t="s">
        <v>19</v>
      </c>
      <c r="P194" s="2" t="s">
        <v>365</v>
      </c>
      <c r="Q194" s="2" t="s">
        <v>509</v>
      </c>
      <c r="R194" s="2">
        <v>2</v>
      </c>
      <c r="S194" s="2">
        <v>30869.22</v>
      </c>
      <c r="T194" s="2">
        <v>25</v>
      </c>
      <c r="U194" s="2">
        <v>46303.83</v>
      </c>
      <c r="V194" s="2">
        <v>25008.82</v>
      </c>
      <c r="W194" s="2">
        <v>21295.01</v>
      </c>
      <c r="X194" s="2">
        <v>45.99</v>
      </c>
      <c r="Y194" s="2">
        <v>49</v>
      </c>
      <c r="Z194" s="2" t="s">
        <v>48</v>
      </c>
      <c r="AA194" s="2" t="s">
        <v>100</v>
      </c>
      <c r="AB194" s="2" t="s">
        <v>101</v>
      </c>
      <c r="AC194" s="2">
        <v>1</v>
      </c>
    </row>
    <row r="195" spans="1:29" x14ac:dyDescent="0.3">
      <c r="A195" s="3" t="s">
        <v>1575</v>
      </c>
      <c r="B195" s="3" t="s">
        <v>1576</v>
      </c>
      <c r="C195" s="3" t="s">
        <v>1054</v>
      </c>
      <c r="D195" s="3" t="s">
        <v>1577</v>
      </c>
      <c r="E195" s="3" t="s">
        <v>26</v>
      </c>
      <c r="F195" s="3" t="s">
        <v>1578</v>
      </c>
      <c r="G195" s="3" t="s">
        <v>1579</v>
      </c>
      <c r="H195" s="3" t="s">
        <v>1580</v>
      </c>
      <c r="I195" s="3">
        <v>6</v>
      </c>
      <c r="J195" s="3" t="s">
        <v>14</v>
      </c>
      <c r="K195" s="3" t="s">
        <v>183</v>
      </c>
      <c r="L195" s="3" t="s">
        <v>183</v>
      </c>
      <c r="M195" s="3" t="s">
        <v>1581</v>
      </c>
      <c r="N195" s="3" t="s">
        <v>837</v>
      </c>
      <c r="O195" s="3" t="s">
        <v>27</v>
      </c>
      <c r="P195" s="3" t="s">
        <v>257</v>
      </c>
      <c r="Q195" s="3" t="s">
        <v>355</v>
      </c>
      <c r="R195" s="3">
        <v>1</v>
      </c>
      <c r="S195" s="3">
        <v>33626.410000000003</v>
      </c>
      <c r="T195" s="3">
        <v>10</v>
      </c>
      <c r="U195" s="3">
        <v>30263.77</v>
      </c>
      <c r="V195" s="3">
        <v>20201.79</v>
      </c>
      <c r="W195" s="3">
        <v>10061.98</v>
      </c>
      <c r="X195" s="3">
        <v>33.25</v>
      </c>
      <c r="Y195" s="3">
        <v>0</v>
      </c>
      <c r="Z195" s="3" t="s">
        <v>30</v>
      </c>
      <c r="AA195" s="3" t="s">
        <v>186</v>
      </c>
      <c r="AB195" s="3" t="s">
        <v>101</v>
      </c>
      <c r="AC195" s="3"/>
    </row>
    <row r="196" spans="1:29" x14ac:dyDescent="0.3">
      <c r="A196" s="2" t="s">
        <v>1582</v>
      </c>
      <c r="B196" s="2" t="s">
        <v>1583</v>
      </c>
      <c r="C196" s="2" t="s">
        <v>502</v>
      </c>
      <c r="D196" s="2" t="s">
        <v>1584</v>
      </c>
      <c r="E196" s="2" t="s">
        <v>42</v>
      </c>
      <c r="F196" s="2" t="s">
        <v>1585</v>
      </c>
      <c r="G196" s="2" t="s">
        <v>1586</v>
      </c>
      <c r="H196" s="2" t="s">
        <v>1057</v>
      </c>
      <c r="I196" s="2">
        <v>4</v>
      </c>
      <c r="J196" s="2" t="s">
        <v>22</v>
      </c>
      <c r="K196" s="2" t="s">
        <v>122</v>
      </c>
      <c r="L196" s="2" t="s">
        <v>236</v>
      </c>
      <c r="M196" s="2" t="s">
        <v>1587</v>
      </c>
      <c r="N196" s="2" t="s">
        <v>805</v>
      </c>
      <c r="O196" s="2" t="s">
        <v>28</v>
      </c>
      <c r="P196" s="2" t="s">
        <v>151</v>
      </c>
      <c r="Q196" s="2" t="s">
        <v>466</v>
      </c>
      <c r="R196" s="2">
        <v>4</v>
      </c>
      <c r="S196" s="2">
        <v>16014.84</v>
      </c>
      <c r="T196" s="2">
        <v>5</v>
      </c>
      <c r="U196" s="2">
        <v>60856.39</v>
      </c>
      <c r="V196" s="2">
        <v>39797.199999999997</v>
      </c>
      <c r="W196" s="2">
        <v>21059.19</v>
      </c>
      <c r="X196" s="2">
        <v>34.6</v>
      </c>
      <c r="Y196" s="2">
        <v>29</v>
      </c>
      <c r="Z196" s="2" t="s">
        <v>15</v>
      </c>
      <c r="AA196" s="2" t="s">
        <v>100</v>
      </c>
      <c r="AB196" s="2" t="s">
        <v>101</v>
      </c>
      <c r="AC196" s="2">
        <v>4</v>
      </c>
    </row>
    <row r="197" spans="1:29" x14ac:dyDescent="0.3">
      <c r="A197" s="3" t="s">
        <v>1588</v>
      </c>
      <c r="B197" s="3" t="s">
        <v>1589</v>
      </c>
      <c r="C197" s="3" t="s">
        <v>1590</v>
      </c>
      <c r="D197" s="3" t="s">
        <v>1591</v>
      </c>
      <c r="E197" s="3" t="s">
        <v>33</v>
      </c>
      <c r="F197" s="3" t="s">
        <v>1592</v>
      </c>
      <c r="G197" s="3" t="s">
        <v>548</v>
      </c>
      <c r="H197" s="3" t="s">
        <v>1593</v>
      </c>
      <c r="I197" s="3">
        <v>4</v>
      </c>
      <c r="J197" s="3" t="s">
        <v>39</v>
      </c>
      <c r="K197" s="3" t="s">
        <v>225</v>
      </c>
      <c r="L197" s="3" t="s">
        <v>225</v>
      </c>
      <c r="M197" s="3" t="s">
        <v>1594</v>
      </c>
      <c r="N197" s="3" t="s">
        <v>583</v>
      </c>
      <c r="O197" s="3" t="s">
        <v>19</v>
      </c>
      <c r="P197" s="3" t="s">
        <v>447</v>
      </c>
      <c r="Q197" s="3" t="s">
        <v>152</v>
      </c>
      <c r="R197" s="3">
        <v>2</v>
      </c>
      <c r="S197" s="3">
        <v>44329.66</v>
      </c>
      <c r="T197" s="3">
        <v>10</v>
      </c>
      <c r="U197" s="3">
        <v>79793.39</v>
      </c>
      <c r="V197" s="3">
        <v>36286.14</v>
      </c>
      <c r="W197" s="3">
        <v>43507.25</v>
      </c>
      <c r="X197" s="3">
        <v>54.52</v>
      </c>
      <c r="Y197" s="3">
        <v>99</v>
      </c>
      <c r="Z197" s="3" t="s">
        <v>47</v>
      </c>
      <c r="AA197" s="3" t="s">
        <v>186</v>
      </c>
      <c r="AB197" s="3" t="s">
        <v>101</v>
      </c>
      <c r="AC197" s="3"/>
    </row>
    <row r="198" spans="1:29" x14ac:dyDescent="0.3">
      <c r="A198" s="2" t="s">
        <v>1595</v>
      </c>
      <c r="B198" s="2" t="s">
        <v>1596</v>
      </c>
      <c r="C198" s="2" t="s">
        <v>1597</v>
      </c>
      <c r="D198" s="2" t="s">
        <v>1598</v>
      </c>
      <c r="E198" s="2" t="s">
        <v>18</v>
      </c>
      <c r="F198" s="2" t="s">
        <v>1599</v>
      </c>
      <c r="G198" s="2" t="s">
        <v>1600</v>
      </c>
      <c r="H198" s="2" t="s">
        <v>1601</v>
      </c>
      <c r="I198" s="2">
        <v>8</v>
      </c>
      <c r="J198" s="2" t="s">
        <v>29</v>
      </c>
      <c r="K198" s="2" t="s">
        <v>148</v>
      </c>
      <c r="L198" s="2" t="s">
        <v>148</v>
      </c>
      <c r="M198" s="2" t="s">
        <v>1602</v>
      </c>
      <c r="N198" s="2" t="s">
        <v>1603</v>
      </c>
      <c r="O198" s="2" t="s">
        <v>19</v>
      </c>
      <c r="P198" s="2" t="s">
        <v>365</v>
      </c>
      <c r="Q198" s="2" t="s">
        <v>207</v>
      </c>
      <c r="R198" s="2">
        <v>4</v>
      </c>
      <c r="S198" s="2">
        <v>37437.47</v>
      </c>
      <c r="T198" s="2">
        <v>20</v>
      </c>
      <c r="U198" s="2">
        <v>119799.9</v>
      </c>
      <c r="V198" s="2">
        <v>59578.720000000001</v>
      </c>
      <c r="W198" s="2">
        <v>60221.18</v>
      </c>
      <c r="X198" s="2">
        <v>50.27</v>
      </c>
      <c r="Y198" s="2">
        <v>199</v>
      </c>
      <c r="Z198" s="2" t="s">
        <v>48</v>
      </c>
      <c r="AA198" s="2" t="s">
        <v>100</v>
      </c>
      <c r="AB198" s="2" t="s">
        <v>101</v>
      </c>
      <c r="AC198" s="2">
        <v>3</v>
      </c>
    </row>
    <row r="199" spans="1:29" x14ac:dyDescent="0.3">
      <c r="A199" s="3" t="s">
        <v>1604</v>
      </c>
      <c r="B199" s="3" t="s">
        <v>1605</v>
      </c>
      <c r="C199" s="3" t="s">
        <v>1606</v>
      </c>
      <c r="D199" s="3" t="s">
        <v>1607</v>
      </c>
      <c r="E199" s="3" t="s">
        <v>18</v>
      </c>
      <c r="F199" s="3" t="s">
        <v>1255</v>
      </c>
      <c r="G199" s="3" t="s">
        <v>1608</v>
      </c>
      <c r="H199" s="3" t="s">
        <v>1609</v>
      </c>
      <c r="I199" s="3">
        <v>8</v>
      </c>
      <c r="J199" s="3" t="s">
        <v>14</v>
      </c>
      <c r="K199" s="3" t="s">
        <v>183</v>
      </c>
      <c r="L199" s="3" t="s">
        <v>183</v>
      </c>
      <c r="M199" s="3" t="s">
        <v>1610</v>
      </c>
      <c r="N199" s="3" t="s">
        <v>1611</v>
      </c>
      <c r="O199" s="3" t="s">
        <v>19</v>
      </c>
      <c r="P199" s="3" t="s">
        <v>365</v>
      </c>
      <c r="Q199" s="3" t="s">
        <v>355</v>
      </c>
      <c r="R199" s="3">
        <v>2</v>
      </c>
      <c r="S199" s="3">
        <v>46857.15</v>
      </c>
      <c r="T199" s="3">
        <v>25</v>
      </c>
      <c r="U199" s="3">
        <v>70285.73</v>
      </c>
      <c r="V199" s="3">
        <v>33081.65</v>
      </c>
      <c r="W199" s="3">
        <v>37204.080000000002</v>
      </c>
      <c r="X199" s="3">
        <v>52.93</v>
      </c>
      <c r="Y199" s="3">
        <v>99</v>
      </c>
      <c r="Z199" s="3" t="s">
        <v>23</v>
      </c>
      <c r="AA199" s="3" t="s">
        <v>100</v>
      </c>
      <c r="AB199" s="3" t="s">
        <v>101</v>
      </c>
      <c r="AC199" s="3">
        <v>5</v>
      </c>
    </row>
    <row r="200" spans="1:29" x14ac:dyDescent="0.3">
      <c r="A200" s="2" t="s">
        <v>1612</v>
      </c>
      <c r="B200" s="2" t="s">
        <v>1613</v>
      </c>
      <c r="C200" s="2" t="s">
        <v>1451</v>
      </c>
      <c r="D200" s="2" t="s">
        <v>1614</v>
      </c>
      <c r="E200" s="2" t="s">
        <v>18</v>
      </c>
      <c r="F200" s="2" t="s">
        <v>1615</v>
      </c>
      <c r="G200" s="2" t="s">
        <v>1616</v>
      </c>
      <c r="H200" s="2" t="s">
        <v>1617</v>
      </c>
      <c r="I200" s="2">
        <v>7</v>
      </c>
      <c r="J200" s="2" t="s">
        <v>14</v>
      </c>
      <c r="K200" s="2" t="s">
        <v>171</v>
      </c>
      <c r="L200" s="2" t="s">
        <v>172</v>
      </c>
      <c r="M200" s="2" t="s">
        <v>1618</v>
      </c>
      <c r="N200" s="2" t="s">
        <v>600</v>
      </c>
      <c r="O200" s="2" t="s">
        <v>27</v>
      </c>
      <c r="P200" s="2" t="s">
        <v>175</v>
      </c>
      <c r="Q200" s="2" t="s">
        <v>355</v>
      </c>
      <c r="R200" s="2">
        <v>4</v>
      </c>
      <c r="S200" s="2">
        <v>42566.64</v>
      </c>
      <c r="T200" s="2">
        <v>20</v>
      </c>
      <c r="U200" s="2">
        <v>136213.25</v>
      </c>
      <c r="V200" s="2">
        <v>78640.12</v>
      </c>
      <c r="W200" s="2">
        <v>57573.13</v>
      </c>
      <c r="X200" s="2">
        <v>42.27</v>
      </c>
      <c r="Y200" s="2">
        <v>199</v>
      </c>
      <c r="Z200" s="2" t="s">
        <v>48</v>
      </c>
      <c r="AA200" s="2" t="s">
        <v>100</v>
      </c>
      <c r="AB200" s="2" t="s">
        <v>101</v>
      </c>
      <c r="AC200" s="2">
        <v>4</v>
      </c>
    </row>
    <row r="201" spans="1:29" x14ac:dyDescent="0.3">
      <c r="A201" s="3" t="s">
        <v>1619</v>
      </c>
      <c r="B201" s="3" t="s">
        <v>1620</v>
      </c>
      <c r="C201" s="3" t="s">
        <v>210</v>
      </c>
      <c r="D201" s="3" t="s">
        <v>1621</v>
      </c>
      <c r="E201" s="3" t="s">
        <v>33</v>
      </c>
      <c r="F201" s="3" t="s">
        <v>1622</v>
      </c>
      <c r="G201" s="3" t="s">
        <v>580</v>
      </c>
      <c r="H201" s="3" t="s">
        <v>414</v>
      </c>
      <c r="I201" s="3">
        <v>5</v>
      </c>
      <c r="J201" s="3" t="s">
        <v>14</v>
      </c>
      <c r="K201" s="3" t="s">
        <v>95</v>
      </c>
      <c r="L201" s="3" t="s">
        <v>95</v>
      </c>
      <c r="M201" s="3" t="s">
        <v>1623</v>
      </c>
      <c r="N201" s="3" t="s">
        <v>1380</v>
      </c>
      <c r="O201" s="3" t="s">
        <v>28</v>
      </c>
      <c r="P201" s="3" t="s">
        <v>137</v>
      </c>
      <c r="Q201" s="3" t="s">
        <v>99</v>
      </c>
      <c r="R201" s="3">
        <v>2</v>
      </c>
      <c r="S201" s="3">
        <v>32753.11</v>
      </c>
      <c r="T201" s="3">
        <v>30</v>
      </c>
      <c r="U201" s="3">
        <v>45854.35</v>
      </c>
      <c r="V201" s="3">
        <v>23190.880000000001</v>
      </c>
      <c r="W201" s="3">
        <v>22663.47</v>
      </c>
      <c r="X201" s="3">
        <v>49.42</v>
      </c>
      <c r="Y201" s="3">
        <v>199</v>
      </c>
      <c r="Z201" s="3" t="s">
        <v>48</v>
      </c>
      <c r="AA201" s="3" t="s">
        <v>100</v>
      </c>
      <c r="AB201" s="3" t="s">
        <v>101</v>
      </c>
      <c r="AC201" s="3">
        <v>3</v>
      </c>
    </row>
    <row r="202" spans="1:29" x14ac:dyDescent="0.3">
      <c r="A202" s="2" t="s">
        <v>1624</v>
      </c>
      <c r="B202" s="2" t="s">
        <v>1625</v>
      </c>
      <c r="C202" s="2" t="s">
        <v>143</v>
      </c>
      <c r="D202" s="2" t="s">
        <v>1626</v>
      </c>
      <c r="E202" s="2" t="s">
        <v>26</v>
      </c>
      <c r="F202" s="2" t="s">
        <v>425</v>
      </c>
      <c r="G202" s="2" t="s">
        <v>224</v>
      </c>
      <c r="H202" s="2" t="s">
        <v>1337</v>
      </c>
      <c r="I202" s="2">
        <v>7</v>
      </c>
      <c r="J202" s="2" t="s">
        <v>29</v>
      </c>
      <c r="K202" s="2" t="s">
        <v>834</v>
      </c>
      <c r="L202" s="2" t="s">
        <v>901</v>
      </c>
      <c r="M202" s="2" t="s">
        <v>1627</v>
      </c>
      <c r="N202" s="2" t="s">
        <v>533</v>
      </c>
      <c r="O202" s="2" t="s">
        <v>19</v>
      </c>
      <c r="P202" s="2" t="s">
        <v>297</v>
      </c>
      <c r="Q202" s="2" t="s">
        <v>400</v>
      </c>
      <c r="R202" s="2">
        <v>5</v>
      </c>
      <c r="S202" s="2">
        <v>48236.93</v>
      </c>
      <c r="T202" s="2">
        <v>25</v>
      </c>
      <c r="U202" s="2">
        <v>180888.49</v>
      </c>
      <c r="V202" s="2">
        <v>90693.54</v>
      </c>
      <c r="W202" s="2">
        <v>90194.95</v>
      </c>
      <c r="X202" s="2">
        <v>49.86</v>
      </c>
      <c r="Y202" s="2">
        <v>49</v>
      </c>
      <c r="Z202" s="2" t="s">
        <v>48</v>
      </c>
      <c r="AA202" s="2" t="s">
        <v>100</v>
      </c>
      <c r="AB202" s="2" t="s">
        <v>101</v>
      </c>
      <c r="AC202" s="2">
        <v>5</v>
      </c>
    </row>
    <row r="203" spans="1:29" x14ac:dyDescent="0.3">
      <c r="A203" s="3" t="s">
        <v>1628</v>
      </c>
      <c r="B203" s="3" t="s">
        <v>1629</v>
      </c>
      <c r="C203" s="3" t="s">
        <v>1630</v>
      </c>
      <c r="D203" s="3" t="s">
        <v>1631</v>
      </c>
      <c r="E203" s="3" t="s">
        <v>26</v>
      </c>
      <c r="F203" s="3" t="s">
        <v>1632</v>
      </c>
      <c r="G203" s="3" t="s">
        <v>1344</v>
      </c>
      <c r="H203" s="3" t="s">
        <v>1633</v>
      </c>
      <c r="I203" s="3">
        <v>2</v>
      </c>
      <c r="J203" s="3" t="s">
        <v>39</v>
      </c>
      <c r="K203" s="3" t="s">
        <v>109</v>
      </c>
      <c r="L203" s="3" t="s">
        <v>344</v>
      </c>
      <c r="M203" s="3" t="s">
        <v>1634</v>
      </c>
      <c r="N203" s="3" t="s">
        <v>765</v>
      </c>
      <c r="O203" s="3" t="s">
        <v>27</v>
      </c>
      <c r="P203" s="3" t="s">
        <v>113</v>
      </c>
      <c r="Q203" s="3" t="s">
        <v>114</v>
      </c>
      <c r="R203" s="3">
        <v>5</v>
      </c>
      <c r="S203" s="3">
        <v>39882.42</v>
      </c>
      <c r="T203" s="3">
        <v>5</v>
      </c>
      <c r="U203" s="3">
        <v>189441.49</v>
      </c>
      <c r="V203" s="3">
        <v>113911.77</v>
      </c>
      <c r="W203" s="3">
        <v>75529.72</v>
      </c>
      <c r="X203" s="3">
        <v>39.869999999999997</v>
      </c>
      <c r="Y203" s="3">
        <v>49</v>
      </c>
      <c r="Z203" s="3" t="s">
        <v>23</v>
      </c>
      <c r="AA203" s="3" t="s">
        <v>139</v>
      </c>
      <c r="AB203" s="3" t="s">
        <v>140</v>
      </c>
      <c r="AC203" s="3"/>
    </row>
    <row r="204" spans="1:29" x14ac:dyDescent="0.3">
      <c r="A204" s="2" t="s">
        <v>1635</v>
      </c>
      <c r="B204" s="2" t="s">
        <v>1636</v>
      </c>
      <c r="C204" s="2" t="s">
        <v>1637</v>
      </c>
      <c r="D204" s="2" t="s">
        <v>1638</v>
      </c>
      <c r="E204" s="2" t="s">
        <v>42</v>
      </c>
      <c r="F204" s="2" t="s">
        <v>1353</v>
      </c>
      <c r="G204" s="2" t="s">
        <v>1639</v>
      </c>
      <c r="H204" s="2" t="s">
        <v>1640</v>
      </c>
      <c r="I204" s="2">
        <v>5</v>
      </c>
      <c r="J204" s="2" t="s">
        <v>22</v>
      </c>
      <c r="K204" s="2" t="s">
        <v>254</v>
      </c>
      <c r="L204" s="2" t="s">
        <v>254</v>
      </c>
      <c r="M204" s="2" t="s">
        <v>1641</v>
      </c>
      <c r="N204" s="2" t="s">
        <v>266</v>
      </c>
      <c r="O204" s="2" t="s">
        <v>28</v>
      </c>
      <c r="P204" s="2" t="s">
        <v>151</v>
      </c>
      <c r="Q204" s="2" t="s">
        <v>287</v>
      </c>
      <c r="R204" s="2">
        <v>2</v>
      </c>
      <c r="S204" s="2">
        <v>24262.94</v>
      </c>
      <c r="T204" s="2">
        <v>10</v>
      </c>
      <c r="U204" s="2">
        <v>43673.29</v>
      </c>
      <c r="V204" s="2">
        <v>27307.8</v>
      </c>
      <c r="W204" s="2">
        <v>16365.49</v>
      </c>
      <c r="X204" s="2">
        <v>37.47</v>
      </c>
      <c r="Y204" s="2">
        <v>0</v>
      </c>
      <c r="Z204" s="2" t="s">
        <v>23</v>
      </c>
      <c r="AA204" s="2" t="s">
        <v>100</v>
      </c>
      <c r="AB204" s="2" t="s">
        <v>101</v>
      </c>
      <c r="AC204" s="2">
        <v>4</v>
      </c>
    </row>
    <row r="205" spans="1:29" x14ac:dyDescent="0.3">
      <c r="A205" s="3" t="s">
        <v>1642</v>
      </c>
      <c r="B205" s="3" t="s">
        <v>1643</v>
      </c>
      <c r="C205" s="3" t="s">
        <v>1644</v>
      </c>
      <c r="D205" s="3" t="s">
        <v>1645</v>
      </c>
      <c r="E205" s="3" t="s">
        <v>18</v>
      </c>
      <c r="F205" s="3" t="s">
        <v>1646</v>
      </c>
      <c r="G205" s="3" t="s">
        <v>342</v>
      </c>
      <c r="H205" s="3" t="s">
        <v>1647</v>
      </c>
      <c r="I205" s="3">
        <v>6</v>
      </c>
      <c r="J205" s="3" t="s">
        <v>14</v>
      </c>
      <c r="K205" s="3" t="s">
        <v>171</v>
      </c>
      <c r="L205" s="3" t="s">
        <v>541</v>
      </c>
      <c r="M205" s="3" t="s">
        <v>1648</v>
      </c>
      <c r="N205" s="3" t="s">
        <v>185</v>
      </c>
      <c r="O205" s="3" t="s">
        <v>28</v>
      </c>
      <c r="P205" s="3" t="s">
        <v>151</v>
      </c>
      <c r="Q205" s="3" t="s">
        <v>287</v>
      </c>
      <c r="R205" s="3">
        <v>1</v>
      </c>
      <c r="S205" s="3">
        <v>7051.56</v>
      </c>
      <c r="T205" s="3">
        <v>10</v>
      </c>
      <c r="U205" s="3">
        <v>6346.4</v>
      </c>
      <c r="V205" s="3">
        <v>3122.61</v>
      </c>
      <c r="W205" s="3">
        <v>3223.79</v>
      </c>
      <c r="X205" s="3">
        <v>50.8</v>
      </c>
      <c r="Y205" s="3">
        <v>149</v>
      </c>
      <c r="Z205" s="3" t="s">
        <v>48</v>
      </c>
      <c r="AA205" s="3" t="s">
        <v>275</v>
      </c>
      <c r="AB205" s="3" t="s">
        <v>101</v>
      </c>
      <c r="AC205" s="3"/>
    </row>
    <row r="206" spans="1:29" x14ac:dyDescent="0.3">
      <c r="A206" s="2" t="s">
        <v>1649</v>
      </c>
      <c r="B206" s="2" t="s">
        <v>1650</v>
      </c>
      <c r="C206" s="2" t="s">
        <v>1426</v>
      </c>
      <c r="D206" s="2" t="s">
        <v>1651</v>
      </c>
      <c r="E206" s="2" t="s">
        <v>42</v>
      </c>
      <c r="F206" s="2" t="s">
        <v>1652</v>
      </c>
      <c r="G206" s="2" t="s">
        <v>1653</v>
      </c>
      <c r="H206" s="2" t="s">
        <v>1654</v>
      </c>
      <c r="I206" s="2">
        <v>7</v>
      </c>
      <c r="J206" s="2" t="s">
        <v>39</v>
      </c>
      <c r="K206" s="2" t="s">
        <v>109</v>
      </c>
      <c r="L206" s="2" t="s">
        <v>134</v>
      </c>
      <c r="M206" s="2" t="s">
        <v>1655</v>
      </c>
      <c r="N206" s="2" t="s">
        <v>1380</v>
      </c>
      <c r="O206" s="2" t="s">
        <v>28</v>
      </c>
      <c r="P206" s="2" t="s">
        <v>137</v>
      </c>
      <c r="Q206" s="2" t="s">
        <v>99</v>
      </c>
      <c r="R206" s="2">
        <v>4</v>
      </c>
      <c r="S206" s="2">
        <v>1332.07</v>
      </c>
      <c r="T206" s="2">
        <v>30</v>
      </c>
      <c r="U206" s="2">
        <v>3729.8</v>
      </c>
      <c r="V206" s="2">
        <v>2585.87</v>
      </c>
      <c r="W206" s="2">
        <v>1143.93</v>
      </c>
      <c r="X206" s="2">
        <v>30.67</v>
      </c>
      <c r="Y206" s="2">
        <v>149</v>
      </c>
      <c r="Z206" s="2" t="s">
        <v>40</v>
      </c>
      <c r="AA206" s="2" t="s">
        <v>100</v>
      </c>
      <c r="AB206" s="2" t="s">
        <v>101</v>
      </c>
      <c r="AC206" s="2">
        <v>2</v>
      </c>
    </row>
    <row r="207" spans="1:29" x14ac:dyDescent="0.3">
      <c r="A207" s="3" t="s">
        <v>1656</v>
      </c>
      <c r="B207" s="3" t="s">
        <v>1657</v>
      </c>
      <c r="C207" s="3" t="s">
        <v>1590</v>
      </c>
      <c r="D207" s="3" t="s">
        <v>1658</v>
      </c>
      <c r="E207" s="3" t="s">
        <v>33</v>
      </c>
      <c r="F207" s="3" t="s">
        <v>1659</v>
      </c>
      <c r="G207" s="3" t="s">
        <v>1660</v>
      </c>
      <c r="H207" s="3" t="s">
        <v>1661</v>
      </c>
      <c r="I207" s="3">
        <v>6</v>
      </c>
      <c r="J207" s="3" t="s">
        <v>22</v>
      </c>
      <c r="K207" s="3" t="s">
        <v>443</v>
      </c>
      <c r="L207" s="3" t="s">
        <v>444</v>
      </c>
      <c r="M207" s="3" t="s">
        <v>1662</v>
      </c>
      <c r="N207" s="3" t="s">
        <v>889</v>
      </c>
      <c r="O207" s="3" t="s">
        <v>27</v>
      </c>
      <c r="P207" s="3" t="s">
        <v>257</v>
      </c>
      <c r="Q207" s="3" t="s">
        <v>152</v>
      </c>
      <c r="R207" s="3">
        <v>4</v>
      </c>
      <c r="S207" s="3">
        <v>10660.07</v>
      </c>
      <c r="T207" s="3">
        <v>20</v>
      </c>
      <c r="U207" s="3">
        <v>34112.22</v>
      </c>
      <c r="V207" s="3">
        <v>22013.8</v>
      </c>
      <c r="W207" s="3">
        <v>12098.42</v>
      </c>
      <c r="X207" s="3">
        <v>35.47</v>
      </c>
      <c r="Y207" s="3">
        <v>29</v>
      </c>
      <c r="Z207" s="3" t="s">
        <v>23</v>
      </c>
      <c r="AA207" s="3" t="s">
        <v>100</v>
      </c>
      <c r="AB207" s="3" t="s">
        <v>101</v>
      </c>
      <c r="AC207" s="3">
        <v>1</v>
      </c>
    </row>
    <row r="208" spans="1:29" x14ac:dyDescent="0.3">
      <c r="A208" s="2" t="s">
        <v>1663</v>
      </c>
      <c r="B208" s="2" t="s">
        <v>1664</v>
      </c>
      <c r="C208" s="2" t="s">
        <v>1665</v>
      </c>
      <c r="D208" s="2" t="s">
        <v>1666</v>
      </c>
      <c r="E208" s="2" t="s">
        <v>42</v>
      </c>
      <c r="F208" s="2" t="s">
        <v>1667</v>
      </c>
      <c r="G208" s="2" t="s">
        <v>1668</v>
      </c>
      <c r="H208" s="2" t="s">
        <v>1408</v>
      </c>
      <c r="I208" s="2">
        <v>8</v>
      </c>
      <c r="J208" s="2" t="s">
        <v>22</v>
      </c>
      <c r="K208" s="2" t="s">
        <v>122</v>
      </c>
      <c r="L208" s="2" t="s">
        <v>123</v>
      </c>
      <c r="M208" s="2" t="s">
        <v>1669</v>
      </c>
      <c r="N208" s="2" t="s">
        <v>1051</v>
      </c>
      <c r="O208" s="2" t="s">
        <v>28</v>
      </c>
      <c r="P208" s="2" t="s">
        <v>151</v>
      </c>
      <c r="Q208" s="2" t="s">
        <v>355</v>
      </c>
      <c r="R208" s="2">
        <v>4</v>
      </c>
      <c r="S208" s="2">
        <v>25655.05</v>
      </c>
      <c r="T208" s="2">
        <v>30</v>
      </c>
      <c r="U208" s="2">
        <v>71834.14</v>
      </c>
      <c r="V208" s="2">
        <v>37020.120000000003</v>
      </c>
      <c r="W208" s="2">
        <v>34814.019999999997</v>
      </c>
      <c r="X208" s="2">
        <v>48.46</v>
      </c>
      <c r="Y208" s="2">
        <v>0</v>
      </c>
      <c r="Z208" s="2" t="s">
        <v>15</v>
      </c>
      <c r="AA208" s="2" t="s">
        <v>139</v>
      </c>
      <c r="AB208" s="2" t="s">
        <v>140</v>
      </c>
      <c r="AC208" s="2"/>
    </row>
    <row r="209" spans="1:29" x14ac:dyDescent="0.3">
      <c r="A209" s="3" t="s">
        <v>1670</v>
      </c>
      <c r="B209" s="3" t="s">
        <v>458</v>
      </c>
      <c r="C209" s="3" t="s">
        <v>1304</v>
      </c>
      <c r="D209" s="3" t="s">
        <v>1671</v>
      </c>
      <c r="E209" s="3" t="s">
        <v>18</v>
      </c>
      <c r="F209" s="3" t="s">
        <v>1353</v>
      </c>
      <c r="G209" s="3" t="s">
        <v>1639</v>
      </c>
      <c r="H209" s="3" t="s">
        <v>1354</v>
      </c>
      <c r="I209" s="3">
        <v>7</v>
      </c>
      <c r="J209" s="3" t="s">
        <v>22</v>
      </c>
      <c r="K209" s="3" t="s">
        <v>443</v>
      </c>
      <c r="L209" s="3" t="s">
        <v>444</v>
      </c>
      <c r="M209" s="3" t="s">
        <v>1672</v>
      </c>
      <c r="N209" s="3" t="s">
        <v>456</v>
      </c>
      <c r="O209" s="3" t="s">
        <v>21</v>
      </c>
      <c r="P209" s="3" t="s">
        <v>206</v>
      </c>
      <c r="Q209" s="3" t="s">
        <v>197</v>
      </c>
      <c r="R209" s="3">
        <v>5</v>
      </c>
      <c r="S209" s="3">
        <v>34603.06</v>
      </c>
      <c r="T209" s="3">
        <v>10</v>
      </c>
      <c r="U209" s="3">
        <v>155713.76999999999</v>
      </c>
      <c r="V209" s="3">
        <v>85161.75</v>
      </c>
      <c r="W209" s="3">
        <v>70552.02</v>
      </c>
      <c r="X209" s="3">
        <v>45.31</v>
      </c>
      <c r="Y209" s="3">
        <v>29</v>
      </c>
      <c r="Z209" s="3" t="s">
        <v>23</v>
      </c>
      <c r="AA209" s="3" t="s">
        <v>100</v>
      </c>
      <c r="AB209" s="3" t="s">
        <v>101</v>
      </c>
      <c r="AC209" s="3"/>
    </row>
    <row r="210" spans="1:29" x14ac:dyDescent="0.3">
      <c r="A210" s="2" t="s">
        <v>1673</v>
      </c>
      <c r="B210" s="2" t="s">
        <v>1674</v>
      </c>
      <c r="C210" s="2" t="s">
        <v>1675</v>
      </c>
      <c r="D210" s="2" t="s">
        <v>1676</v>
      </c>
      <c r="E210" s="2" t="s">
        <v>42</v>
      </c>
      <c r="F210" s="2" t="s">
        <v>1677</v>
      </c>
      <c r="G210" s="2" t="s">
        <v>1678</v>
      </c>
      <c r="H210" s="2" t="s">
        <v>1679</v>
      </c>
      <c r="I210" s="2">
        <v>3</v>
      </c>
      <c r="J210" s="2" t="s">
        <v>29</v>
      </c>
      <c r="K210" s="2" t="s">
        <v>427</v>
      </c>
      <c r="L210" s="2" t="s">
        <v>428</v>
      </c>
      <c r="M210" s="2" t="s">
        <v>1680</v>
      </c>
      <c r="N210" s="2" t="s">
        <v>484</v>
      </c>
      <c r="O210" s="2" t="s">
        <v>13</v>
      </c>
      <c r="P210" s="2" t="s">
        <v>98</v>
      </c>
      <c r="Q210" s="2" t="s">
        <v>207</v>
      </c>
      <c r="R210" s="2">
        <v>1</v>
      </c>
      <c r="S210" s="2">
        <v>43650.7</v>
      </c>
      <c r="T210" s="2">
        <v>20</v>
      </c>
      <c r="U210" s="2">
        <v>34920.559999999998</v>
      </c>
      <c r="V210" s="2">
        <v>18485.77</v>
      </c>
      <c r="W210" s="2">
        <v>16434.79</v>
      </c>
      <c r="X210" s="2">
        <v>47.06</v>
      </c>
      <c r="Y210" s="2">
        <v>29</v>
      </c>
      <c r="Z210" s="2" t="s">
        <v>15</v>
      </c>
      <c r="AA210" s="2" t="s">
        <v>100</v>
      </c>
      <c r="AB210" s="2" t="s">
        <v>101</v>
      </c>
      <c r="AC210" s="2">
        <v>1</v>
      </c>
    </row>
    <row r="211" spans="1:29" x14ac:dyDescent="0.3">
      <c r="A211" s="3" t="s">
        <v>1681</v>
      </c>
      <c r="B211" s="3" t="s">
        <v>1682</v>
      </c>
      <c r="C211" s="3" t="s">
        <v>1683</v>
      </c>
      <c r="D211" s="3" t="s">
        <v>1684</v>
      </c>
      <c r="E211" s="3" t="s">
        <v>18</v>
      </c>
      <c r="F211" s="3" t="s">
        <v>1397</v>
      </c>
      <c r="G211" s="3" t="s">
        <v>350</v>
      </c>
      <c r="H211" s="3" t="s">
        <v>1315</v>
      </c>
      <c r="I211" s="3">
        <v>2</v>
      </c>
      <c r="J211" s="3" t="s">
        <v>22</v>
      </c>
      <c r="K211" s="3" t="s">
        <v>283</v>
      </c>
      <c r="L211" s="3" t="s">
        <v>748</v>
      </c>
      <c r="M211" s="3" t="s">
        <v>685</v>
      </c>
      <c r="N211" s="3" t="s">
        <v>686</v>
      </c>
      <c r="O211" s="3" t="s">
        <v>13</v>
      </c>
      <c r="P211" s="3" t="s">
        <v>228</v>
      </c>
      <c r="Q211" s="3" t="s">
        <v>218</v>
      </c>
      <c r="R211" s="3">
        <v>1</v>
      </c>
      <c r="S211" s="3">
        <v>979.21</v>
      </c>
      <c r="T211" s="3">
        <v>30</v>
      </c>
      <c r="U211" s="3">
        <v>685.45</v>
      </c>
      <c r="V211" s="3">
        <v>320.35000000000002</v>
      </c>
      <c r="W211" s="3">
        <v>365.1</v>
      </c>
      <c r="X211" s="3">
        <v>53.26</v>
      </c>
      <c r="Y211" s="3">
        <v>149</v>
      </c>
      <c r="Z211" s="3" t="s">
        <v>23</v>
      </c>
      <c r="AA211" s="3" t="s">
        <v>100</v>
      </c>
      <c r="AB211" s="3" t="s">
        <v>101</v>
      </c>
      <c r="AC211" s="3">
        <v>1</v>
      </c>
    </row>
    <row r="212" spans="1:29" x14ac:dyDescent="0.3">
      <c r="A212" s="2" t="s">
        <v>1685</v>
      </c>
      <c r="B212" s="2" t="s">
        <v>1686</v>
      </c>
      <c r="C212" s="2" t="s">
        <v>707</v>
      </c>
      <c r="D212" s="2" t="s">
        <v>1687</v>
      </c>
      <c r="E212" s="2" t="s">
        <v>42</v>
      </c>
      <c r="F212" s="2" t="s">
        <v>1688</v>
      </c>
      <c r="G212" s="2" t="s">
        <v>1689</v>
      </c>
      <c r="H212" s="2" t="s">
        <v>581</v>
      </c>
      <c r="I212" s="2">
        <v>5</v>
      </c>
      <c r="J212" s="2" t="s">
        <v>39</v>
      </c>
      <c r="K212" s="2" t="s">
        <v>109</v>
      </c>
      <c r="L212" s="2" t="s">
        <v>110</v>
      </c>
      <c r="M212" s="2" t="s">
        <v>1690</v>
      </c>
      <c r="N212" s="2" t="s">
        <v>125</v>
      </c>
      <c r="O212" s="2" t="s">
        <v>21</v>
      </c>
      <c r="P212" s="2" t="s">
        <v>126</v>
      </c>
      <c r="Q212" s="2" t="s">
        <v>218</v>
      </c>
      <c r="R212" s="2">
        <v>1</v>
      </c>
      <c r="S212" s="2">
        <v>41634.400000000001</v>
      </c>
      <c r="T212" s="2">
        <v>10</v>
      </c>
      <c r="U212" s="2">
        <v>37470.959999999999</v>
      </c>
      <c r="V212" s="2">
        <v>16907.7</v>
      </c>
      <c r="W212" s="2">
        <v>20563.259999999998</v>
      </c>
      <c r="X212" s="2">
        <v>54.88</v>
      </c>
      <c r="Y212" s="2">
        <v>49</v>
      </c>
      <c r="Z212" s="2" t="s">
        <v>48</v>
      </c>
      <c r="AA212" s="2" t="s">
        <v>100</v>
      </c>
      <c r="AB212" s="2" t="s">
        <v>101</v>
      </c>
      <c r="AC212" s="2">
        <v>3</v>
      </c>
    </row>
    <row r="213" spans="1:29" x14ac:dyDescent="0.3">
      <c r="A213" s="3" t="s">
        <v>1691</v>
      </c>
      <c r="B213" s="3" t="s">
        <v>1692</v>
      </c>
      <c r="C213" s="3" t="s">
        <v>973</v>
      </c>
      <c r="D213" s="3" t="s">
        <v>1693</v>
      </c>
      <c r="E213" s="3" t="s">
        <v>18</v>
      </c>
      <c r="F213" s="3" t="s">
        <v>1694</v>
      </c>
      <c r="G213" s="3" t="s">
        <v>1695</v>
      </c>
      <c r="H213" s="3" t="s">
        <v>1696</v>
      </c>
      <c r="I213" s="3">
        <v>2</v>
      </c>
      <c r="J213" s="3" t="s">
        <v>14</v>
      </c>
      <c r="K213" s="3" t="s">
        <v>183</v>
      </c>
      <c r="L213" s="3" t="s">
        <v>183</v>
      </c>
      <c r="M213" s="3" t="s">
        <v>1697</v>
      </c>
      <c r="N213" s="3" t="s">
        <v>316</v>
      </c>
      <c r="O213" s="3" t="s">
        <v>28</v>
      </c>
      <c r="P213" s="3" t="s">
        <v>137</v>
      </c>
      <c r="Q213" s="3" t="s">
        <v>99</v>
      </c>
      <c r="R213" s="3">
        <v>2</v>
      </c>
      <c r="S213" s="3">
        <v>34510.21</v>
      </c>
      <c r="T213" s="3">
        <v>10</v>
      </c>
      <c r="U213" s="3">
        <v>62118.38</v>
      </c>
      <c r="V213" s="3">
        <v>31504.74</v>
      </c>
      <c r="W213" s="3">
        <v>30613.64</v>
      </c>
      <c r="X213" s="3">
        <v>49.28</v>
      </c>
      <c r="Y213" s="3">
        <v>29</v>
      </c>
      <c r="Z213" s="3" t="s">
        <v>30</v>
      </c>
      <c r="AA213" s="3" t="s">
        <v>139</v>
      </c>
      <c r="AB213" s="3" t="s">
        <v>140</v>
      </c>
      <c r="AC213" s="3"/>
    </row>
    <row r="214" spans="1:29" x14ac:dyDescent="0.3">
      <c r="A214" s="2" t="s">
        <v>1698</v>
      </c>
      <c r="B214" s="2" t="s">
        <v>1699</v>
      </c>
      <c r="C214" s="2" t="s">
        <v>1700</v>
      </c>
      <c r="D214" s="2" t="s">
        <v>1701</v>
      </c>
      <c r="E214" s="2" t="s">
        <v>26</v>
      </c>
      <c r="F214" s="2" t="s">
        <v>831</v>
      </c>
      <c r="G214" s="2" t="s">
        <v>1702</v>
      </c>
      <c r="H214" s="2" t="s">
        <v>1703</v>
      </c>
      <c r="I214" s="2">
        <v>3</v>
      </c>
      <c r="J214" s="2" t="s">
        <v>14</v>
      </c>
      <c r="K214" s="2" t="s">
        <v>712</v>
      </c>
      <c r="L214" s="2" t="s">
        <v>712</v>
      </c>
      <c r="M214" s="2" t="s">
        <v>1704</v>
      </c>
      <c r="N214" s="2" t="s">
        <v>648</v>
      </c>
      <c r="O214" s="2" t="s">
        <v>27</v>
      </c>
      <c r="P214" s="2" t="s">
        <v>113</v>
      </c>
      <c r="Q214" s="2" t="s">
        <v>218</v>
      </c>
      <c r="R214" s="2">
        <v>3</v>
      </c>
      <c r="S214" s="2">
        <v>33293.839999999997</v>
      </c>
      <c r="T214" s="2">
        <v>30</v>
      </c>
      <c r="U214" s="2">
        <v>69917.06</v>
      </c>
      <c r="V214" s="2">
        <v>44208.95</v>
      </c>
      <c r="W214" s="2">
        <v>25708.11</v>
      </c>
      <c r="X214" s="2">
        <v>36.770000000000003</v>
      </c>
      <c r="Y214" s="2">
        <v>49</v>
      </c>
      <c r="Z214" s="2" t="s">
        <v>48</v>
      </c>
      <c r="AA214" s="2" t="s">
        <v>100</v>
      </c>
      <c r="AB214" s="2" t="s">
        <v>140</v>
      </c>
      <c r="AC214" s="2">
        <v>1</v>
      </c>
    </row>
    <row r="215" spans="1:29" x14ac:dyDescent="0.3">
      <c r="A215" s="3" t="s">
        <v>1705</v>
      </c>
      <c r="B215" s="3" t="s">
        <v>1706</v>
      </c>
      <c r="C215" s="3" t="s">
        <v>1395</v>
      </c>
      <c r="D215" s="3" t="s">
        <v>1707</v>
      </c>
      <c r="E215" s="3" t="s">
        <v>18</v>
      </c>
      <c r="F215" s="3" t="s">
        <v>1288</v>
      </c>
      <c r="G215" s="3" t="s">
        <v>1708</v>
      </c>
      <c r="H215" s="3" t="s">
        <v>1058</v>
      </c>
      <c r="I215" s="3">
        <v>3</v>
      </c>
      <c r="J215" s="3" t="s">
        <v>39</v>
      </c>
      <c r="K215" s="3" t="s">
        <v>225</v>
      </c>
      <c r="L215" s="3" t="s">
        <v>225</v>
      </c>
      <c r="M215" s="3" t="s">
        <v>1709</v>
      </c>
      <c r="N215" s="3" t="s">
        <v>364</v>
      </c>
      <c r="O215" s="3" t="s">
        <v>19</v>
      </c>
      <c r="P215" s="3" t="s">
        <v>365</v>
      </c>
      <c r="Q215" s="3" t="s">
        <v>608</v>
      </c>
      <c r="R215" s="3">
        <v>4</v>
      </c>
      <c r="S215" s="3">
        <v>20772.919999999998</v>
      </c>
      <c r="T215" s="3">
        <v>5</v>
      </c>
      <c r="U215" s="3">
        <v>78937.100000000006</v>
      </c>
      <c r="V215" s="3">
        <v>40188.879999999997</v>
      </c>
      <c r="W215" s="3">
        <v>38748.22</v>
      </c>
      <c r="X215" s="3">
        <v>49.09</v>
      </c>
      <c r="Y215" s="3">
        <v>0</v>
      </c>
      <c r="Z215" s="3" t="s">
        <v>30</v>
      </c>
      <c r="AA215" s="3" t="s">
        <v>100</v>
      </c>
      <c r="AB215" s="3" t="s">
        <v>101</v>
      </c>
      <c r="AC215" s="3">
        <v>2</v>
      </c>
    </row>
    <row r="216" spans="1:29" x14ac:dyDescent="0.3">
      <c r="A216" s="2" t="s">
        <v>1710</v>
      </c>
      <c r="B216" s="2" t="s">
        <v>1523</v>
      </c>
      <c r="C216" s="2" t="s">
        <v>1675</v>
      </c>
      <c r="D216" s="2" t="s">
        <v>1711</v>
      </c>
      <c r="E216" s="2" t="s">
        <v>33</v>
      </c>
      <c r="F216" s="2" t="s">
        <v>928</v>
      </c>
      <c r="G216" s="2" t="s">
        <v>1712</v>
      </c>
      <c r="H216" s="2" t="s">
        <v>1713</v>
      </c>
      <c r="I216" s="2">
        <v>6</v>
      </c>
      <c r="J216" s="2" t="s">
        <v>22</v>
      </c>
      <c r="K216" s="2" t="s">
        <v>283</v>
      </c>
      <c r="L216" s="2" t="s">
        <v>1346</v>
      </c>
      <c r="M216" s="2" t="s">
        <v>1714</v>
      </c>
      <c r="N216" s="2" t="s">
        <v>266</v>
      </c>
      <c r="O216" s="2" t="s">
        <v>28</v>
      </c>
      <c r="P216" s="2" t="s">
        <v>151</v>
      </c>
      <c r="Q216" s="2" t="s">
        <v>246</v>
      </c>
      <c r="R216" s="2">
        <v>2</v>
      </c>
      <c r="S216" s="2">
        <v>34099.15</v>
      </c>
      <c r="T216" s="2">
        <v>15</v>
      </c>
      <c r="U216" s="2">
        <v>57968.56</v>
      </c>
      <c r="V216" s="2">
        <v>31311.42</v>
      </c>
      <c r="W216" s="2">
        <v>26657.14</v>
      </c>
      <c r="X216" s="2">
        <v>45.99</v>
      </c>
      <c r="Y216" s="2">
        <v>0</v>
      </c>
      <c r="Z216" s="2" t="s">
        <v>43</v>
      </c>
      <c r="AA216" s="2" t="s">
        <v>100</v>
      </c>
      <c r="AB216" s="2" t="s">
        <v>101</v>
      </c>
      <c r="AC216" s="2"/>
    </row>
    <row r="217" spans="1:29" x14ac:dyDescent="0.3">
      <c r="A217" s="3" t="s">
        <v>1715</v>
      </c>
      <c r="B217" s="3" t="s">
        <v>1716</v>
      </c>
      <c r="C217" s="3" t="s">
        <v>1717</v>
      </c>
      <c r="D217" s="3" t="s">
        <v>1718</v>
      </c>
      <c r="E217" s="3" t="s">
        <v>18</v>
      </c>
      <c r="F217" s="3" t="s">
        <v>1719</v>
      </c>
      <c r="G217" s="3" t="s">
        <v>1720</v>
      </c>
      <c r="H217" s="3" t="s">
        <v>1539</v>
      </c>
      <c r="I217" s="3">
        <v>3</v>
      </c>
      <c r="J217" s="3" t="s">
        <v>14</v>
      </c>
      <c r="K217" s="3" t="s">
        <v>183</v>
      </c>
      <c r="L217" s="3" t="s">
        <v>183</v>
      </c>
      <c r="M217" s="3" t="s">
        <v>1721</v>
      </c>
      <c r="N217" s="3" t="s">
        <v>837</v>
      </c>
      <c r="O217" s="3" t="s">
        <v>27</v>
      </c>
      <c r="P217" s="3" t="s">
        <v>257</v>
      </c>
      <c r="Q217" s="3" t="s">
        <v>608</v>
      </c>
      <c r="R217" s="3">
        <v>2</v>
      </c>
      <c r="S217" s="3">
        <v>2979.78</v>
      </c>
      <c r="T217" s="3">
        <v>20</v>
      </c>
      <c r="U217" s="3">
        <v>4767.6499999999996</v>
      </c>
      <c r="V217" s="3">
        <v>2271.25</v>
      </c>
      <c r="W217" s="3">
        <v>2496.4</v>
      </c>
      <c r="X217" s="3">
        <v>52.36</v>
      </c>
      <c r="Y217" s="3">
        <v>199</v>
      </c>
      <c r="Z217" s="3" t="s">
        <v>43</v>
      </c>
      <c r="AA217" s="3" t="s">
        <v>100</v>
      </c>
      <c r="AB217" s="3" t="s">
        <v>101</v>
      </c>
      <c r="AC217" s="3">
        <v>4</v>
      </c>
    </row>
    <row r="218" spans="1:29" x14ac:dyDescent="0.3">
      <c r="A218" s="2" t="s">
        <v>1722</v>
      </c>
      <c r="B218" s="2" t="s">
        <v>1723</v>
      </c>
      <c r="C218" s="2" t="s">
        <v>155</v>
      </c>
      <c r="D218" s="2" t="s">
        <v>1724</v>
      </c>
      <c r="E218" s="2" t="s">
        <v>26</v>
      </c>
      <c r="F218" s="2" t="s">
        <v>1725</v>
      </c>
      <c r="G218" s="2" t="s">
        <v>1242</v>
      </c>
      <c r="H218" s="2" t="s">
        <v>1726</v>
      </c>
      <c r="I218" s="2">
        <v>5</v>
      </c>
      <c r="J218" s="2" t="s">
        <v>22</v>
      </c>
      <c r="K218" s="2" t="s">
        <v>122</v>
      </c>
      <c r="L218" s="2" t="s">
        <v>236</v>
      </c>
      <c r="M218" s="2" t="s">
        <v>1727</v>
      </c>
      <c r="N218" s="2" t="s">
        <v>174</v>
      </c>
      <c r="O218" s="2" t="s">
        <v>27</v>
      </c>
      <c r="P218" s="2" t="s">
        <v>175</v>
      </c>
      <c r="Q218" s="2" t="s">
        <v>152</v>
      </c>
      <c r="R218" s="2">
        <v>3</v>
      </c>
      <c r="S218" s="2">
        <v>6043.22</v>
      </c>
      <c r="T218" s="2">
        <v>25</v>
      </c>
      <c r="U218" s="2">
        <v>13597.24</v>
      </c>
      <c r="V218" s="2">
        <v>8084.81</v>
      </c>
      <c r="W218" s="2">
        <v>5512.43</v>
      </c>
      <c r="X218" s="2">
        <v>40.54</v>
      </c>
      <c r="Y218" s="2">
        <v>29</v>
      </c>
      <c r="Z218" s="2" t="s">
        <v>23</v>
      </c>
      <c r="AA218" s="2" t="s">
        <v>100</v>
      </c>
      <c r="AB218" s="2" t="s">
        <v>101</v>
      </c>
      <c r="AC218" s="2"/>
    </row>
    <row r="219" spans="1:29" x14ac:dyDescent="0.3">
      <c r="A219" s="3" t="s">
        <v>1728</v>
      </c>
      <c r="B219" s="3" t="s">
        <v>1729</v>
      </c>
      <c r="C219" s="3" t="s">
        <v>1730</v>
      </c>
      <c r="D219" s="3" t="s">
        <v>1731</v>
      </c>
      <c r="E219" s="3" t="s">
        <v>26</v>
      </c>
      <c r="F219" s="3" t="s">
        <v>1277</v>
      </c>
      <c r="G219" s="3" t="s">
        <v>1732</v>
      </c>
      <c r="H219" s="3" t="s">
        <v>1733</v>
      </c>
      <c r="I219" s="3">
        <v>2</v>
      </c>
      <c r="J219" s="3" t="s">
        <v>14</v>
      </c>
      <c r="K219" s="3" t="s">
        <v>95</v>
      </c>
      <c r="L219" s="3" t="s">
        <v>95</v>
      </c>
      <c r="M219" s="3" t="s">
        <v>1734</v>
      </c>
      <c r="N219" s="3" t="s">
        <v>931</v>
      </c>
      <c r="O219" s="3" t="s">
        <v>13</v>
      </c>
      <c r="P219" s="3" t="s">
        <v>419</v>
      </c>
      <c r="Q219" s="3" t="s">
        <v>218</v>
      </c>
      <c r="R219" s="3">
        <v>5</v>
      </c>
      <c r="S219" s="3">
        <v>41589.65</v>
      </c>
      <c r="T219" s="3">
        <v>25</v>
      </c>
      <c r="U219" s="3">
        <v>155961.19</v>
      </c>
      <c r="V219" s="3">
        <v>89640.14</v>
      </c>
      <c r="W219" s="3">
        <v>66321.05</v>
      </c>
      <c r="X219" s="3">
        <v>42.52</v>
      </c>
      <c r="Y219" s="3">
        <v>29</v>
      </c>
      <c r="Z219" s="3" t="s">
        <v>40</v>
      </c>
      <c r="AA219" s="3" t="s">
        <v>100</v>
      </c>
      <c r="AB219" s="3" t="s">
        <v>101</v>
      </c>
      <c r="AC219" s="3"/>
    </row>
    <row r="220" spans="1:29" x14ac:dyDescent="0.3">
      <c r="A220" s="2" t="s">
        <v>1735</v>
      </c>
      <c r="B220" s="2" t="s">
        <v>1736</v>
      </c>
      <c r="C220" s="2" t="s">
        <v>1737</v>
      </c>
      <c r="D220" s="2" t="s">
        <v>1738</v>
      </c>
      <c r="E220" s="2" t="s">
        <v>33</v>
      </c>
      <c r="F220" s="2" t="s">
        <v>718</v>
      </c>
      <c r="G220" s="2" t="s">
        <v>719</v>
      </c>
      <c r="H220" s="2" t="s">
        <v>1211</v>
      </c>
      <c r="I220" s="2">
        <v>7</v>
      </c>
      <c r="J220" s="2" t="s">
        <v>14</v>
      </c>
      <c r="K220" s="2" t="s">
        <v>95</v>
      </c>
      <c r="L220" s="2" t="s">
        <v>95</v>
      </c>
      <c r="M220" s="2" t="s">
        <v>1739</v>
      </c>
      <c r="N220" s="2" t="s">
        <v>600</v>
      </c>
      <c r="O220" s="2" t="s">
        <v>27</v>
      </c>
      <c r="P220" s="2" t="s">
        <v>175</v>
      </c>
      <c r="Q220" s="2" t="s">
        <v>466</v>
      </c>
      <c r="R220" s="2">
        <v>3</v>
      </c>
      <c r="S220" s="2">
        <v>14608.93</v>
      </c>
      <c r="T220" s="2">
        <v>5</v>
      </c>
      <c r="U220" s="2">
        <v>41635.449999999997</v>
      </c>
      <c r="V220" s="2">
        <v>26257.21</v>
      </c>
      <c r="W220" s="2">
        <v>15378.24</v>
      </c>
      <c r="X220" s="2">
        <v>36.94</v>
      </c>
      <c r="Y220" s="2">
        <v>199</v>
      </c>
      <c r="Z220" s="2" t="s">
        <v>15</v>
      </c>
      <c r="AA220" s="2" t="s">
        <v>275</v>
      </c>
      <c r="AB220" s="2" t="s">
        <v>101</v>
      </c>
      <c r="AC220" s="2"/>
    </row>
    <row r="221" spans="1:29" x14ac:dyDescent="0.3">
      <c r="A221" s="3" t="s">
        <v>1740</v>
      </c>
      <c r="B221" s="3" t="s">
        <v>1741</v>
      </c>
      <c r="C221" s="3" t="s">
        <v>1742</v>
      </c>
      <c r="D221" s="3" t="s">
        <v>1743</v>
      </c>
      <c r="E221" s="3" t="s">
        <v>42</v>
      </c>
      <c r="F221" s="3" t="s">
        <v>1744</v>
      </c>
      <c r="G221" s="3" t="s">
        <v>811</v>
      </c>
      <c r="H221" s="3" t="s">
        <v>819</v>
      </c>
      <c r="I221" s="3">
        <v>3</v>
      </c>
      <c r="J221" s="3" t="s">
        <v>14</v>
      </c>
      <c r="K221" s="3" t="s">
        <v>183</v>
      </c>
      <c r="L221" s="3" t="s">
        <v>183</v>
      </c>
      <c r="M221" s="3" t="s">
        <v>1745</v>
      </c>
      <c r="N221" s="3" t="s">
        <v>136</v>
      </c>
      <c r="O221" s="3" t="s">
        <v>28</v>
      </c>
      <c r="P221" s="3" t="s">
        <v>137</v>
      </c>
      <c r="Q221" s="3" t="s">
        <v>509</v>
      </c>
      <c r="R221" s="3">
        <v>5</v>
      </c>
      <c r="S221" s="3">
        <v>44891.78</v>
      </c>
      <c r="T221" s="3">
        <v>15</v>
      </c>
      <c r="U221" s="3">
        <v>190790.07</v>
      </c>
      <c r="V221" s="3">
        <v>120145.24</v>
      </c>
      <c r="W221" s="3">
        <v>70644.83</v>
      </c>
      <c r="X221" s="3">
        <v>37.03</v>
      </c>
      <c r="Y221" s="3">
        <v>49</v>
      </c>
      <c r="Z221" s="3" t="s">
        <v>23</v>
      </c>
      <c r="AA221" s="3" t="s">
        <v>139</v>
      </c>
      <c r="AB221" s="3" t="s">
        <v>140</v>
      </c>
      <c r="AC221" s="3"/>
    </row>
    <row r="222" spans="1:29" x14ac:dyDescent="0.3">
      <c r="A222" s="2" t="s">
        <v>1746</v>
      </c>
      <c r="B222" s="2" t="s">
        <v>1747</v>
      </c>
      <c r="C222" s="2" t="s">
        <v>952</v>
      </c>
      <c r="D222" s="2" t="s">
        <v>1748</v>
      </c>
      <c r="E222" s="2" t="s">
        <v>26</v>
      </c>
      <c r="F222" s="2" t="s">
        <v>1749</v>
      </c>
      <c r="G222" s="2" t="s">
        <v>1750</v>
      </c>
      <c r="H222" s="2" t="s">
        <v>1751</v>
      </c>
      <c r="I222" s="2">
        <v>4</v>
      </c>
      <c r="J222" s="2" t="s">
        <v>14</v>
      </c>
      <c r="K222" s="2" t="s">
        <v>95</v>
      </c>
      <c r="L222" s="2" t="s">
        <v>95</v>
      </c>
      <c r="M222" s="2" t="s">
        <v>1752</v>
      </c>
      <c r="N222" s="2" t="s">
        <v>217</v>
      </c>
      <c r="O222" s="2" t="s">
        <v>21</v>
      </c>
      <c r="P222" s="2" t="s">
        <v>206</v>
      </c>
      <c r="Q222" s="2" t="s">
        <v>400</v>
      </c>
      <c r="R222" s="2">
        <v>5</v>
      </c>
      <c r="S222" s="2">
        <v>26059.360000000001</v>
      </c>
      <c r="T222" s="2">
        <v>5</v>
      </c>
      <c r="U222" s="2">
        <v>123781.96</v>
      </c>
      <c r="V222" s="2">
        <v>63780.85</v>
      </c>
      <c r="W222" s="2">
        <v>60001.11</v>
      </c>
      <c r="X222" s="2">
        <v>48.47</v>
      </c>
      <c r="Y222" s="2">
        <v>0</v>
      </c>
      <c r="Z222" s="2" t="s">
        <v>48</v>
      </c>
      <c r="AA222" s="2" t="s">
        <v>186</v>
      </c>
      <c r="AB222" s="2" t="s">
        <v>101</v>
      </c>
      <c r="AC222" s="2"/>
    </row>
    <row r="223" spans="1:29" x14ac:dyDescent="0.3">
      <c r="A223" s="3" t="s">
        <v>1753</v>
      </c>
      <c r="B223" s="3" t="s">
        <v>1754</v>
      </c>
      <c r="C223" s="3" t="s">
        <v>1683</v>
      </c>
      <c r="D223" s="3" t="s">
        <v>1755</v>
      </c>
      <c r="E223" s="3" t="s">
        <v>33</v>
      </c>
      <c r="F223" s="3" t="s">
        <v>1756</v>
      </c>
      <c r="G223" s="3" t="s">
        <v>873</v>
      </c>
      <c r="H223" s="3" t="s">
        <v>900</v>
      </c>
      <c r="I223" s="3">
        <v>4</v>
      </c>
      <c r="J223" s="3" t="s">
        <v>39</v>
      </c>
      <c r="K223" s="3" t="s">
        <v>225</v>
      </c>
      <c r="L223" s="3" t="s">
        <v>225</v>
      </c>
      <c r="M223" s="3" t="s">
        <v>1757</v>
      </c>
      <c r="N223" s="3" t="s">
        <v>765</v>
      </c>
      <c r="O223" s="3" t="s">
        <v>27</v>
      </c>
      <c r="P223" s="3" t="s">
        <v>113</v>
      </c>
      <c r="Q223" s="3" t="s">
        <v>400</v>
      </c>
      <c r="R223" s="3">
        <v>2</v>
      </c>
      <c r="S223" s="3">
        <v>8714.36</v>
      </c>
      <c r="T223" s="3">
        <v>5</v>
      </c>
      <c r="U223" s="3">
        <v>16557.28</v>
      </c>
      <c r="V223" s="3">
        <v>8840.0400000000009</v>
      </c>
      <c r="W223" s="3">
        <v>7717.24</v>
      </c>
      <c r="X223" s="3">
        <v>46.61</v>
      </c>
      <c r="Y223" s="3">
        <v>29</v>
      </c>
      <c r="Z223" s="3" t="s">
        <v>48</v>
      </c>
      <c r="AA223" s="3" t="s">
        <v>186</v>
      </c>
      <c r="AB223" s="3" t="s">
        <v>101</v>
      </c>
      <c r="AC223" s="3"/>
    </row>
    <row r="224" spans="1:29" x14ac:dyDescent="0.3">
      <c r="A224" s="2" t="s">
        <v>1758</v>
      </c>
      <c r="B224" s="2" t="s">
        <v>1759</v>
      </c>
      <c r="C224" s="2" t="s">
        <v>733</v>
      </c>
      <c r="D224" s="2" t="s">
        <v>1760</v>
      </c>
      <c r="E224" s="2" t="s">
        <v>18</v>
      </c>
      <c r="F224" s="2" t="s">
        <v>1459</v>
      </c>
      <c r="G224" s="2" t="s">
        <v>575</v>
      </c>
      <c r="H224" s="2" t="s">
        <v>1761</v>
      </c>
      <c r="I224" s="2">
        <v>2</v>
      </c>
      <c r="J224" s="2" t="s">
        <v>39</v>
      </c>
      <c r="K224" s="2" t="s">
        <v>225</v>
      </c>
      <c r="L224" s="2" t="s">
        <v>225</v>
      </c>
      <c r="M224" s="2" t="s">
        <v>1762</v>
      </c>
      <c r="N224" s="2" t="s">
        <v>456</v>
      </c>
      <c r="O224" s="2" t="s">
        <v>21</v>
      </c>
      <c r="P224" s="2" t="s">
        <v>206</v>
      </c>
      <c r="Q224" s="2" t="s">
        <v>138</v>
      </c>
      <c r="R224" s="2">
        <v>4</v>
      </c>
      <c r="S224" s="2">
        <v>30722.26</v>
      </c>
      <c r="T224" s="2">
        <v>10</v>
      </c>
      <c r="U224" s="2">
        <v>110600.14</v>
      </c>
      <c r="V224" s="2">
        <v>71098.17</v>
      </c>
      <c r="W224" s="2">
        <v>39501.97</v>
      </c>
      <c r="X224" s="2">
        <v>35.72</v>
      </c>
      <c r="Y224" s="2">
        <v>49</v>
      </c>
      <c r="Z224" s="2" t="s">
        <v>40</v>
      </c>
      <c r="AA224" s="2" t="s">
        <v>100</v>
      </c>
      <c r="AB224" s="2" t="s">
        <v>101</v>
      </c>
      <c r="AC224" s="2">
        <v>5</v>
      </c>
    </row>
    <row r="225" spans="1:29" x14ac:dyDescent="0.3">
      <c r="A225" s="3" t="s">
        <v>1763</v>
      </c>
      <c r="B225" s="3" t="s">
        <v>1764</v>
      </c>
      <c r="C225" s="3" t="s">
        <v>1637</v>
      </c>
      <c r="D225" s="3" t="s">
        <v>1765</v>
      </c>
      <c r="E225" s="3" t="s">
        <v>18</v>
      </c>
      <c r="F225" s="3" t="s">
        <v>224</v>
      </c>
      <c r="G225" s="3" t="s">
        <v>1766</v>
      </c>
      <c r="H225" s="3" t="s">
        <v>1337</v>
      </c>
      <c r="I225" s="3">
        <v>5</v>
      </c>
      <c r="J225" s="3" t="s">
        <v>29</v>
      </c>
      <c r="K225" s="3" t="s">
        <v>148</v>
      </c>
      <c r="L225" s="3" t="s">
        <v>148</v>
      </c>
      <c r="M225" s="3" t="s">
        <v>1767</v>
      </c>
      <c r="N225" s="3" t="s">
        <v>750</v>
      </c>
      <c r="O225" s="3" t="s">
        <v>13</v>
      </c>
      <c r="P225" s="3" t="s">
        <v>419</v>
      </c>
      <c r="Q225" s="3" t="s">
        <v>509</v>
      </c>
      <c r="R225" s="3">
        <v>1</v>
      </c>
      <c r="S225" s="3">
        <v>39082.99</v>
      </c>
      <c r="T225" s="3">
        <v>15</v>
      </c>
      <c r="U225" s="3">
        <v>33220.54</v>
      </c>
      <c r="V225" s="3">
        <v>17315.310000000001</v>
      </c>
      <c r="W225" s="3">
        <v>15905.23</v>
      </c>
      <c r="X225" s="3">
        <v>47.88</v>
      </c>
      <c r="Y225" s="3">
        <v>49</v>
      </c>
      <c r="Z225" s="3" t="s">
        <v>30</v>
      </c>
      <c r="AA225" s="3" t="s">
        <v>100</v>
      </c>
      <c r="AB225" s="3" t="s">
        <v>101</v>
      </c>
      <c r="AC225" s="3">
        <v>1</v>
      </c>
    </row>
    <row r="226" spans="1:29" x14ac:dyDescent="0.3">
      <c r="A226" s="2" t="s">
        <v>1768</v>
      </c>
      <c r="B226" s="2" t="s">
        <v>1769</v>
      </c>
      <c r="C226" s="2" t="s">
        <v>855</v>
      </c>
      <c r="D226" s="2" t="s">
        <v>1770</v>
      </c>
      <c r="E226" s="2" t="s">
        <v>26</v>
      </c>
      <c r="F226" s="2" t="s">
        <v>360</v>
      </c>
      <c r="G226" s="2" t="s">
        <v>1771</v>
      </c>
      <c r="H226" s="2" t="s">
        <v>761</v>
      </c>
      <c r="I226" s="2">
        <v>5</v>
      </c>
      <c r="J226" s="2" t="s">
        <v>14</v>
      </c>
      <c r="K226" s="2" t="s">
        <v>171</v>
      </c>
      <c r="L226" s="2" t="s">
        <v>541</v>
      </c>
      <c r="M226" s="2" t="s">
        <v>1772</v>
      </c>
      <c r="N226" s="2" t="s">
        <v>740</v>
      </c>
      <c r="O226" s="2" t="s">
        <v>21</v>
      </c>
      <c r="P226" s="2" t="s">
        <v>126</v>
      </c>
      <c r="Q226" s="2" t="s">
        <v>138</v>
      </c>
      <c r="R226" s="2">
        <v>5</v>
      </c>
      <c r="S226" s="2">
        <v>29038.44</v>
      </c>
      <c r="T226" s="2">
        <v>5</v>
      </c>
      <c r="U226" s="2">
        <v>137932.59</v>
      </c>
      <c r="V226" s="2">
        <v>74351.95</v>
      </c>
      <c r="W226" s="2">
        <v>63580.639999999999</v>
      </c>
      <c r="X226" s="2">
        <v>46.1</v>
      </c>
      <c r="Y226" s="2">
        <v>0</v>
      </c>
      <c r="Z226" s="2" t="s">
        <v>43</v>
      </c>
      <c r="AA226" s="2" t="s">
        <v>100</v>
      </c>
      <c r="AB226" s="2" t="s">
        <v>101</v>
      </c>
      <c r="AC226" s="2"/>
    </row>
    <row r="227" spans="1:29" x14ac:dyDescent="0.3">
      <c r="A227" s="3" t="s">
        <v>1773</v>
      </c>
      <c r="B227" s="3" t="s">
        <v>1774</v>
      </c>
      <c r="C227" s="3" t="s">
        <v>733</v>
      </c>
      <c r="D227" s="3" t="s">
        <v>1775</v>
      </c>
      <c r="E227" s="3" t="s">
        <v>18</v>
      </c>
      <c r="F227" s="3" t="s">
        <v>1776</v>
      </c>
      <c r="G227" s="3" t="s">
        <v>1777</v>
      </c>
      <c r="H227" s="3" t="s">
        <v>1778</v>
      </c>
      <c r="I227" s="3">
        <v>8</v>
      </c>
      <c r="J227" s="3" t="s">
        <v>14</v>
      </c>
      <c r="K227" s="3" t="s">
        <v>95</v>
      </c>
      <c r="L227" s="3" t="s">
        <v>95</v>
      </c>
      <c r="M227" s="3" t="s">
        <v>1779</v>
      </c>
      <c r="N227" s="3" t="s">
        <v>296</v>
      </c>
      <c r="O227" s="3" t="s">
        <v>19</v>
      </c>
      <c r="P227" s="3" t="s">
        <v>297</v>
      </c>
      <c r="Q227" s="3" t="s">
        <v>355</v>
      </c>
      <c r="R227" s="3">
        <v>4</v>
      </c>
      <c r="S227" s="3">
        <v>16900.509999999998</v>
      </c>
      <c r="T227" s="3">
        <v>20</v>
      </c>
      <c r="U227" s="3">
        <v>54081.63</v>
      </c>
      <c r="V227" s="3">
        <v>25929.72</v>
      </c>
      <c r="W227" s="3">
        <v>28151.91</v>
      </c>
      <c r="X227" s="3">
        <v>52.05</v>
      </c>
      <c r="Y227" s="3">
        <v>0</v>
      </c>
      <c r="Z227" s="3" t="s">
        <v>47</v>
      </c>
      <c r="AA227" s="3" t="s">
        <v>100</v>
      </c>
      <c r="AB227" s="3" t="s">
        <v>101</v>
      </c>
      <c r="AC227" s="3"/>
    </row>
    <row r="228" spans="1:29" x14ac:dyDescent="0.3">
      <c r="A228" s="2" t="s">
        <v>1780</v>
      </c>
      <c r="B228" s="2" t="s">
        <v>1781</v>
      </c>
      <c r="C228" s="2" t="s">
        <v>1782</v>
      </c>
      <c r="D228" s="2" t="s">
        <v>1783</v>
      </c>
      <c r="E228" s="2" t="s">
        <v>18</v>
      </c>
      <c r="F228" s="2" t="s">
        <v>1784</v>
      </c>
      <c r="G228" s="2" t="s">
        <v>1785</v>
      </c>
      <c r="H228" s="2" t="s">
        <v>859</v>
      </c>
      <c r="I228" s="2">
        <v>5</v>
      </c>
      <c r="J228" s="2" t="s">
        <v>39</v>
      </c>
      <c r="K228" s="2" t="s">
        <v>324</v>
      </c>
      <c r="L228" s="2" t="s">
        <v>1422</v>
      </c>
      <c r="M228" s="2" t="s">
        <v>1786</v>
      </c>
      <c r="N228" s="2" t="s">
        <v>136</v>
      </c>
      <c r="O228" s="2" t="s">
        <v>28</v>
      </c>
      <c r="P228" s="2" t="s">
        <v>137</v>
      </c>
      <c r="Q228" s="2" t="s">
        <v>138</v>
      </c>
      <c r="R228" s="2">
        <v>5</v>
      </c>
      <c r="S228" s="2">
        <v>45067.79</v>
      </c>
      <c r="T228" s="2">
        <v>10</v>
      </c>
      <c r="U228" s="2">
        <v>202805.06</v>
      </c>
      <c r="V228" s="2">
        <v>92203.32</v>
      </c>
      <c r="W228" s="2">
        <v>110601.74</v>
      </c>
      <c r="X228" s="2">
        <v>54.54</v>
      </c>
      <c r="Y228" s="2">
        <v>199</v>
      </c>
      <c r="Z228" s="2" t="s">
        <v>48</v>
      </c>
      <c r="AA228" s="2" t="s">
        <v>100</v>
      </c>
      <c r="AB228" s="2" t="s">
        <v>101</v>
      </c>
      <c r="AC228" s="2">
        <v>4</v>
      </c>
    </row>
    <row r="229" spans="1:29" x14ac:dyDescent="0.3">
      <c r="A229" s="3" t="s">
        <v>1787</v>
      </c>
      <c r="B229" s="3" t="s">
        <v>1111</v>
      </c>
      <c r="C229" s="3" t="s">
        <v>1097</v>
      </c>
      <c r="D229" s="3" t="s">
        <v>1788</v>
      </c>
      <c r="E229" s="3" t="s">
        <v>42</v>
      </c>
      <c r="F229" s="3" t="s">
        <v>461</v>
      </c>
      <c r="G229" s="3" t="s">
        <v>462</v>
      </c>
      <c r="H229" s="3" t="s">
        <v>1006</v>
      </c>
      <c r="I229" s="3">
        <v>8</v>
      </c>
      <c r="J229" s="3" t="s">
        <v>39</v>
      </c>
      <c r="K229" s="3" t="s">
        <v>109</v>
      </c>
      <c r="L229" s="3" t="s">
        <v>344</v>
      </c>
      <c r="M229" s="3" t="s">
        <v>1789</v>
      </c>
      <c r="N229" s="3" t="s">
        <v>327</v>
      </c>
      <c r="O229" s="3" t="s">
        <v>27</v>
      </c>
      <c r="P229" s="3" t="s">
        <v>113</v>
      </c>
      <c r="Q229" s="3" t="s">
        <v>197</v>
      </c>
      <c r="R229" s="3">
        <v>4</v>
      </c>
      <c r="S229" s="3">
        <v>14697.21</v>
      </c>
      <c r="T229" s="3">
        <v>30</v>
      </c>
      <c r="U229" s="3">
        <v>41152.19</v>
      </c>
      <c r="V229" s="3">
        <v>21672.14</v>
      </c>
      <c r="W229" s="3">
        <v>19480.05</v>
      </c>
      <c r="X229" s="3">
        <v>47.34</v>
      </c>
      <c r="Y229" s="3">
        <v>199</v>
      </c>
      <c r="Z229" s="3" t="s">
        <v>23</v>
      </c>
      <c r="AA229" s="3" t="s">
        <v>100</v>
      </c>
      <c r="AB229" s="3" t="s">
        <v>101</v>
      </c>
      <c r="AC229" s="3">
        <v>1</v>
      </c>
    </row>
    <row r="230" spans="1:29" x14ac:dyDescent="0.3">
      <c r="A230" s="2" t="s">
        <v>1790</v>
      </c>
      <c r="B230" s="2" t="s">
        <v>1791</v>
      </c>
      <c r="C230" s="2" t="s">
        <v>1792</v>
      </c>
      <c r="D230" s="2" t="s">
        <v>1793</v>
      </c>
      <c r="E230" s="2" t="s">
        <v>33</v>
      </c>
      <c r="F230" s="2" t="s">
        <v>1458</v>
      </c>
      <c r="G230" s="2" t="s">
        <v>1459</v>
      </c>
      <c r="H230" s="2" t="s">
        <v>1761</v>
      </c>
      <c r="I230" s="2">
        <v>5</v>
      </c>
      <c r="J230" s="2" t="s">
        <v>14</v>
      </c>
      <c r="K230" s="2" t="s">
        <v>95</v>
      </c>
      <c r="L230" s="2" t="s">
        <v>95</v>
      </c>
      <c r="M230" s="2" t="s">
        <v>1794</v>
      </c>
      <c r="N230" s="2" t="s">
        <v>964</v>
      </c>
      <c r="O230" s="2" t="s">
        <v>13</v>
      </c>
      <c r="P230" s="2" t="s">
        <v>98</v>
      </c>
      <c r="Q230" s="2" t="s">
        <v>246</v>
      </c>
      <c r="R230" s="2">
        <v>4</v>
      </c>
      <c r="S230" s="2">
        <v>21259.3</v>
      </c>
      <c r="T230" s="2">
        <v>10</v>
      </c>
      <c r="U230" s="2">
        <v>76533.48</v>
      </c>
      <c r="V230" s="2">
        <v>45909.83</v>
      </c>
      <c r="W230" s="2">
        <v>30623.65</v>
      </c>
      <c r="X230" s="2">
        <v>40.01</v>
      </c>
      <c r="Y230" s="2">
        <v>99</v>
      </c>
      <c r="Z230" s="2" t="s">
        <v>23</v>
      </c>
      <c r="AA230" s="2" t="s">
        <v>100</v>
      </c>
      <c r="AB230" s="2" t="s">
        <v>101</v>
      </c>
      <c r="AC230" s="2">
        <v>1</v>
      </c>
    </row>
    <row r="231" spans="1:29" x14ac:dyDescent="0.3">
      <c r="A231" s="3" t="s">
        <v>1795</v>
      </c>
      <c r="B231" s="3" t="s">
        <v>1796</v>
      </c>
      <c r="C231" s="3" t="s">
        <v>1797</v>
      </c>
      <c r="D231" s="3" t="s">
        <v>1798</v>
      </c>
      <c r="E231" s="3" t="s">
        <v>26</v>
      </c>
      <c r="F231" s="3" t="s">
        <v>1799</v>
      </c>
      <c r="G231" s="3" t="s">
        <v>1800</v>
      </c>
      <c r="H231" s="3" t="s">
        <v>108</v>
      </c>
      <c r="I231" s="3">
        <v>2</v>
      </c>
      <c r="J231" s="3" t="s">
        <v>39</v>
      </c>
      <c r="K231" s="3" t="s">
        <v>109</v>
      </c>
      <c r="L231" s="3" t="s">
        <v>110</v>
      </c>
      <c r="M231" s="3" t="s">
        <v>1801</v>
      </c>
      <c r="N231" s="3" t="s">
        <v>1802</v>
      </c>
      <c r="O231" s="3" t="s">
        <v>28</v>
      </c>
      <c r="P231" s="3" t="s">
        <v>137</v>
      </c>
      <c r="Q231" s="3" t="s">
        <v>608</v>
      </c>
      <c r="R231" s="3">
        <v>1</v>
      </c>
      <c r="S231" s="3">
        <v>16356.92</v>
      </c>
      <c r="T231" s="3">
        <v>15</v>
      </c>
      <c r="U231" s="3">
        <v>13903.38</v>
      </c>
      <c r="V231" s="3">
        <v>8914.81</v>
      </c>
      <c r="W231" s="3">
        <v>4988.57</v>
      </c>
      <c r="X231" s="3">
        <v>35.880000000000003</v>
      </c>
      <c r="Y231" s="3">
        <v>199</v>
      </c>
      <c r="Z231" s="3" t="s">
        <v>15</v>
      </c>
      <c r="AA231" s="3" t="s">
        <v>100</v>
      </c>
      <c r="AB231" s="3" t="s">
        <v>101</v>
      </c>
      <c r="AC231" s="3">
        <v>3</v>
      </c>
    </row>
    <row r="232" spans="1:29" x14ac:dyDescent="0.3">
      <c r="A232" s="2" t="s">
        <v>1803</v>
      </c>
      <c r="B232" s="2" t="s">
        <v>1804</v>
      </c>
      <c r="C232" s="2" t="s">
        <v>725</v>
      </c>
      <c r="D232" s="2" t="s">
        <v>1805</v>
      </c>
      <c r="E232" s="2" t="s">
        <v>26</v>
      </c>
      <c r="F232" s="2" t="s">
        <v>1205</v>
      </c>
      <c r="G232" s="2" t="s">
        <v>596</v>
      </c>
      <c r="H232" s="2" t="s">
        <v>598</v>
      </c>
      <c r="I232" s="2">
        <v>8</v>
      </c>
      <c r="J232" s="2" t="s">
        <v>39</v>
      </c>
      <c r="K232" s="2" t="s">
        <v>314</v>
      </c>
      <c r="L232" s="2" t="s">
        <v>314</v>
      </c>
      <c r="M232" s="2" t="s">
        <v>1806</v>
      </c>
      <c r="N232" s="2" t="s">
        <v>112</v>
      </c>
      <c r="O232" s="2" t="s">
        <v>27</v>
      </c>
      <c r="P232" s="2" t="s">
        <v>113</v>
      </c>
      <c r="Q232" s="2" t="s">
        <v>355</v>
      </c>
      <c r="R232" s="2">
        <v>1</v>
      </c>
      <c r="S232" s="2">
        <v>29171.51</v>
      </c>
      <c r="T232" s="2">
        <v>15</v>
      </c>
      <c r="U232" s="2">
        <v>24795.78</v>
      </c>
      <c r="V232" s="2">
        <v>16070.39</v>
      </c>
      <c r="W232" s="2">
        <v>8725.39</v>
      </c>
      <c r="X232" s="2">
        <v>35.19</v>
      </c>
      <c r="Y232" s="2">
        <v>29</v>
      </c>
      <c r="Z232" s="2" t="s">
        <v>48</v>
      </c>
      <c r="AA232" s="2" t="s">
        <v>100</v>
      </c>
      <c r="AB232" s="2" t="s">
        <v>101</v>
      </c>
      <c r="AC232" s="2">
        <v>5</v>
      </c>
    </row>
    <row r="233" spans="1:29" x14ac:dyDescent="0.3">
      <c r="A233" s="3" t="s">
        <v>1807</v>
      </c>
      <c r="B233" s="3" t="s">
        <v>1808</v>
      </c>
      <c r="C233" s="3" t="s">
        <v>1809</v>
      </c>
      <c r="D233" s="3" t="s">
        <v>1810</v>
      </c>
      <c r="E233" s="3" t="s">
        <v>42</v>
      </c>
      <c r="F233" s="3" t="s">
        <v>1811</v>
      </c>
      <c r="G233" s="3" t="s">
        <v>1812</v>
      </c>
      <c r="H233" s="3" t="s">
        <v>370</v>
      </c>
      <c r="I233" s="3">
        <v>7</v>
      </c>
      <c r="J233" s="3" t="s">
        <v>22</v>
      </c>
      <c r="K233" s="3" t="s">
        <v>443</v>
      </c>
      <c r="L233" s="3" t="s">
        <v>444</v>
      </c>
      <c r="M233" s="3" t="s">
        <v>977</v>
      </c>
      <c r="N233" s="3" t="s">
        <v>805</v>
      </c>
      <c r="O233" s="3" t="s">
        <v>28</v>
      </c>
      <c r="P233" s="3" t="s">
        <v>151</v>
      </c>
      <c r="Q233" s="3" t="s">
        <v>287</v>
      </c>
      <c r="R233" s="3">
        <v>1</v>
      </c>
      <c r="S233" s="3">
        <v>9462.69</v>
      </c>
      <c r="T233" s="3">
        <v>30</v>
      </c>
      <c r="U233" s="3">
        <v>6623.88</v>
      </c>
      <c r="V233" s="3">
        <v>4096.8100000000004</v>
      </c>
      <c r="W233" s="3">
        <v>2527.0700000000002</v>
      </c>
      <c r="X233" s="3">
        <v>38.15</v>
      </c>
      <c r="Y233" s="3">
        <v>199</v>
      </c>
      <c r="Z233" s="3" t="s">
        <v>23</v>
      </c>
      <c r="AA233" s="3" t="s">
        <v>100</v>
      </c>
      <c r="AB233" s="3" t="s">
        <v>101</v>
      </c>
      <c r="AC233" s="3">
        <v>5</v>
      </c>
    </row>
    <row r="234" spans="1:29" x14ac:dyDescent="0.3">
      <c r="A234" s="2" t="s">
        <v>1813</v>
      </c>
      <c r="B234" s="2" t="s">
        <v>1814</v>
      </c>
      <c r="C234" s="2" t="s">
        <v>1226</v>
      </c>
      <c r="D234" s="2" t="s">
        <v>1815</v>
      </c>
      <c r="E234" s="2" t="s">
        <v>42</v>
      </c>
      <c r="F234" s="2" t="s">
        <v>1816</v>
      </c>
      <c r="G234" s="2" t="s">
        <v>1817</v>
      </c>
      <c r="H234" s="2" t="s">
        <v>1818</v>
      </c>
      <c r="I234" s="2">
        <v>8</v>
      </c>
      <c r="J234" s="2" t="s">
        <v>22</v>
      </c>
      <c r="K234" s="2" t="s">
        <v>254</v>
      </c>
      <c r="L234" s="2" t="s">
        <v>254</v>
      </c>
      <c r="M234" s="2" t="s">
        <v>1819</v>
      </c>
      <c r="N234" s="2" t="s">
        <v>931</v>
      </c>
      <c r="O234" s="2" t="s">
        <v>13</v>
      </c>
      <c r="P234" s="2" t="s">
        <v>419</v>
      </c>
      <c r="Q234" s="2" t="s">
        <v>152</v>
      </c>
      <c r="R234" s="2">
        <v>2</v>
      </c>
      <c r="S234" s="2">
        <v>36662.639999999999</v>
      </c>
      <c r="T234" s="2">
        <v>10</v>
      </c>
      <c r="U234" s="2">
        <v>65992.75</v>
      </c>
      <c r="V234" s="2">
        <v>31693.71</v>
      </c>
      <c r="W234" s="2">
        <v>34299.040000000001</v>
      </c>
      <c r="X234" s="2">
        <v>51.97</v>
      </c>
      <c r="Y234" s="2">
        <v>49</v>
      </c>
      <c r="Z234" s="2" t="s">
        <v>15</v>
      </c>
      <c r="AA234" s="2" t="s">
        <v>100</v>
      </c>
      <c r="AB234" s="2" t="s">
        <v>101</v>
      </c>
      <c r="AC234" s="2">
        <v>5</v>
      </c>
    </row>
    <row r="235" spans="1:29" x14ac:dyDescent="0.3">
      <c r="A235" s="3" t="s">
        <v>1820</v>
      </c>
      <c r="B235" s="3" t="s">
        <v>1821</v>
      </c>
      <c r="C235" s="3" t="s">
        <v>1822</v>
      </c>
      <c r="D235" s="3" t="s">
        <v>1823</v>
      </c>
      <c r="E235" s="3" t="s">
        <v>18</v>
      </c>
      <c r="F235" s="3" t="s">
        <v>596</v>
      </c>
      <c r="G235" s="3" t="s">
        <v>1824</v>
      </c>
      <c r="H235" s="3" t="s">
        <v>1825</v>
      </c>
      <c r="I235" s="3">
        <v>6</v>
      </c>
      <c r="J235" s="3" t="s">
        <v>14</v>
      </c>
      <c r="K235" s="3" t="s">
        <v>215</v>
      </c>
      <c r="L235" s="3" t="s">
        <v>215</v>
      </c>
      <c r="M235" s="3" t="s">
        <v>1826</v>
      </c>
      <c r="N235" s="3" t="s">
        <v>639</v>
      </c>
      <c r="O235" s="3" t="s">
        <v>27</v>
      </c>
      <c r="P235" s="3" t="s">
        <v>175</v>
      </c>
      <c r="Q235" s="3" t="s">
        <v>152</v>
      </c>
      <c r="R235" s="3">
        <v>1</v>
      </c>
      <c r="S235" s="3">
        <v>739.02</v>
      </c>
      <c r="T235" s="3">
        <v>30</v>
      </c>
      <c r="U235" s="3">
        <v>517.30999999999995</v>
      </c>
      <c r="V235" s="3">
        <v>316.48</v>
      </c>
      <c r="W235" s="3">
        <v>200.83</v>
      </c>
      <c r="X235" s="3">
        <v>38.82</v>
      </c>
      <c r="Y235" s="3">
        <v>149</v>
      </c>
      <c r="Z235" s="3" t="s">
        <v>30</v>
      </c>
      <c r="AA235" s="3" t="s">
        <v>100</v>
      </c>
      <c r="AB235" s="3" t="s">
        <v>101</v>
      </c>
      <c r="AC235" s="3">
        <v>3</v>
      </c>
    </row>
    <row r="236" spans="1:29" x14ac:dyDescent="0.3">
      <c r="A236" s="2" t="s">
        <v>1827</v>
      </c>
      <c r="B236" s="2" t="s">
        <v>706</v>
      </c>
      <c r="C236" s="2" t="s">
        <v>1261</v>
      </c>
      <c r="D236" s="2" t="s">
        <v>1828</v>
      </c>
      <c r="E236" s="2" t="s">
        <v>26</v>
      </c>
      <c r="F236" s="2" t="s">
        <v>158</v>
      </c>
      <c r="G236" s="2" t="s">
        <v>786</v>
      </c>
      <c r="H236" s="2" t="s">
        <v>159</v>
      </c>
      <c r="I236" s="2">
        <v>4</v>
      </c>
      <c r="J236" s="2" t="s">
        <v>39</v>
      </c>
      <c r="K236" s="2" t="s">
        <v>109</v>
      </c>
      <c r="L236" s="2" t="s">
        <v>344</v>
      </c>
      <c r="M236" s="2" t="s">
        <v>1829</v>
      </c>
      <c r="N236" s="2" t="s">
        <v>286</v>
      </c>
      <c r="O236" s="2" t="s">
        <v>28</v>
      </c>
      <c r="P236" s="2" t="s">
        <v>137</v>
      </c>
      <c r="Q236" s="2" t="s">
        <v>218</v>
      </c>
      <c r="R236" s="2">
        <v>1</v>
      </c>
      <c r="S236" s="2">
        <v>25437.360000000001</v>
      </c>
      <c r="T236" s="2">
        <v>20</v>
      </c>
      <c r="U236" s="2">
        <v>20349.89</v>
      </c>
      <c r="V236" s="2">
        <v>9349.49</v>
      </c>
      <c r="W236" s="2">
        <v>11000.4</v>
      </c>
      <c r="X236" s="2">
        <v>54.06</v>
      </c>
      <c r="Y236" s="2">
        <v>199</v>
      </c>
      <c r="Z236" s="2" t="s">
        <v>48</v>
      </c>
      <c r="AA236" s="2" t="s">
        <v>275</v>
      </c>
      <c r="AB236" s="2" t="s">
        <v>101</v>
      </c>
      <c r="AC236" s="2"/>
    </row>
    <row r="237" spans="1:29" x14ac:dyDescent="0.3">
      <c r="A237" s="3" t="s">
        <v>1830</v>
      </c>
      <c r="B237" s="3" t="s">
        <v>1831</v>
      </c>
      <c r="C237" s="3" t="s">
        <v>210</v>
      </c>
      <c r="D237" s="3" t="s">
        <v>1832</v>
      </c>
      <c r="E237" s="3" t="s">
        <v>26</v>
      </c>
      <c r="F237" s="3" t="s">
        <v>1833</v>
      </c>
      <c r="G237" s="3" t="s">
        <v>1834</v>
      </c>
      <c r="H237" s="3" t="s">
        <v>1835</v>
      </c>
      <c r="I237" s="3">
        <v>3</v>
      </c>
      <c r="J237" s="3" t="s">
        <v>39</v>
      </c>
      <c r="K237" s="3" t="s">
        <v>324</v>
      </c>
      <c r="L237" s="3" t="s">
        <v>1028</v>
      </c>
      <c r="M237" s="3" t="s">
        <v>1836</v>
      </c>
      <c r="N237" s="3" t="s">
        <v>327</v>
      </c>
      <c r="O237" s="3" t="s">
        <v>27</v>
      </c>
      <c r="P237" s="3" t="s">
        <v>113</v>
      </c>
      <c r="Q237" s="3" t="s">
        <v>152</v>
      </c>
      <c r="R237" s="3">
        <v>2</v>
      </c>
      <c r="S237" s="3">
        <v>38216.839999999997</v>
      </c>
      <c r="T237" s="3">
        <v>15</v>
      </c>
      <c r="U237" s="3">
        <v>64968.63</v>
      </c>
      <c r="V237" s="3">
        <v>42789.94</v>
      </c>
      <c r="W237" s="3">
        <v>22178.69</v>
      </c>
      <c r="X237" s="3">
        <v>34.14</v>
      </c>
      <c r="Y237" s="3">
        <v>0</v>
      </c>
      <c r="Z237" s="3" t="s">
        <v>43</v>
      </c>
      <c r="AA237" s="3" t="s">
        <v>100</v>
      </c>
      <c r="AB237" s="3" t="s">
        <v>101</v>
      </c>
      <c r="AC237" s="3">
        <v>1</v>
      </c>
    </row>
    <row r="238" spans="1:29" x14ac:dyDescent="0.3">
      <c r="A238" s="2" t="s">
        <v>1837</v>
      </c>
      <c r="B238" s="2" t="s">
        <v>1838</v>
      </c>
      <c r="C238" s="2" t="s">
        <v>1792</v>
      </c>
      <c r="D238" s="2" t="s">
        <v>1839</v>
      </c>
      <c r="E238" s="2" t="s">
        <v>18</v>
      </c>
      <c r="F238" s="2" t="s">
        <v>873</v>
      </c>
      <c r="G238" s="2" t="s">
        <v>1840</v>
      </c>
      <c r="H238" s="2" t="s">
        <v>1841</v>
      </c>
      <c r="I238" s="2">
        <v>4</v>
      </c>
      <c r="J238" s="2" t="s">
        <v>22</v>
      </c>
      <c r="K238" s="2" t="s">
        <v>738</v>
      </c>
      <c r="L238" s="2" t="s">
        <v>738</v>
      </c>
      <c r="M238" s="2" t="s">
        <v>1842</v>
      </c>
      <c r="N238" s="2" t="s">
        <v>163</v>
      </c>
      <c r="O238" s="2" t="s">
        <v>21</v>
      </c>
      <c r="P238" s="2" t="s">
        <v>126</v>
      </c>
      <c r="Q238" s="2" t="s">
        <v>400</v>
      </c>
      <c r="R238" s="2">
        <v>5</v>
      </c>
      <c r="S238" s="2">
        <v>39366.370000000003</v>
      </c>
      <c r="T238" s="2">
        <v>5</v>
      </c>
      <c r="U238" s="2">
        <v>186990.26</v>
      </c>
      <c r="V238" s="2">
        <v>97103.3</v>
      </c>
      <c r="W238" s="2">
        <v>89886.96</v>
      </c>
      <c r="X238" s="2">
        <v>48.07</v>
      </c>
      <c r="Y238" s="2">
        <v>0</v>
      </c>
      <c r="Z238" s="2" t="s">
        <v>23</v>
      </c>
      <c r="AA238" s="2" t="s">
        <v>100</v>
      </c>
      <c r="AB238" s="2" t="s">
        <v>101</v>
      </c>
      <c r="AC238" s="2">
        <v>1</v>
      </c>
    </row>
    <row r="239" spans="1:29" x14ac:dyDescent="0.3">
      <c r="A239" s="3" t="s">
        <v>1843</v>
      </c>
      <c r="B239" s="3" t="s">
        <v>1844</v>
      </c>
      <c r="C239" s="3" t="s">
        <v>1350</v>
      </c>
      <c r="D239" s="3" t="s">
        <v>1845</v>
      </c>
      <c r="E239" s="3" t="s">
        <v>18</v>
      </c>
      <c r="F239" s="3" t="s">
        <v>1846</v>
      </c>
      <c r="G239" s="3" t="s">
        <v>352</v>
      </c>
      <c r="H239" s="3" t="s">
        <v>1228</v>
      </c>
      <c r="I239" s="3">
        <v>7</v>
      </c>
      <c r="J239" s="3" t="s">
        <v>39</v>
      </c>
      <c r="K239" s="3" t="s">
        <v>324</v>
      </c>
      <c r="L239" s="3" t="s">
        <v>325</v>
      </c>
      <c r="M239" s="3" t="s">
        <v>1847</v>
      </c>
      <c r="N239" s="3" t="s">
        <v>1332</v>
      </c>
      <c r="O239" s="3" t="s">
        <v>19</v>
      </c>
      <c r="P239" s="3" t="s">
        <v>447</v>
      </c>
      <c r="Q239" s="3" t="s">
        <v>355</v>
      </c>
      <c r="R239" s="3">
        <v>5</v>
      </c>
      <c r="S239" s="3">
        <v>5208.09</v>
      </c>
      <c r="T239" s="3">
        <v>0</v>
      </c>
      <c r="U239" s="3">
        <v>26040.45</v>
      </c>
      <c r="V239" s="3">
        <v>14086.44</v>
      </c>
      <c r="W239" s="3">
        <v>11954.01</v>
      </c>
      <c r="X239" s="3">
        <v>45.91</v>
      </c>
      <c r="Y239" s="3">
        <v>29</v>
      </c>
      <c r="Z239" s="3" t="s">
        <v>48</v>
      </c>
      <c r="AA239" s="3" t="s">
        <v>100</v>
      </c>
      <c r="AB239" s="3" t="s">
        <v>101</v>
      </c>
      <c r="AC239" s="3">
        <v>1</v>
      </c>
    </row>
    <row r="240" spans="1:29" x14ac:dyDescent="0.3">
      <c r="A240" s="2" t="s">
        <v>1848</v>
      </c>
      <c r="B240" s="2" t="s">
        <v>1849</v>
      </c>
      <c r="C240" s="2" t="s">
        <v>689</v>
      </c>
      <c r="D240" s="2" t="s">
        <v>1850</v>
      </c>
      <c r="E240" s="2" t="s">
        <v>33</v>
      </c>
      <c r="F240" s="2" t="s">
        <v>1851</v>
      </c>
      <c r="G240" s="2" t="s">
        <v>1712</v>
      </c>
      <c r="H240" s="2" t="s">
        <v>929</v>
      </c>
      <c r="I240" s="2">
        <v>2</v>
      </c>
      <c r="J240" s="2" t="s">
        <v>29</v>
      </c>
      <c r="K240" s="2" t="s">
        <v>427</v>
      </c>
      <c r="L240" s="2" t="s">
        <v>1081</v>
      </c>
      <c r="M240" s="2" t="s">
        <v>1852</v>
      </c>
      <c r="N240" s="2" t="s">
        <v>475</v>
      </c>
      <c r="O240" s="2" t="s">
        <v>13</v>
      </c>
      <c r="P240" s="2" t="s">
        <v>228</v>
      </c>
      <c r="Q240" s="2" t="s">
        <v>355</v>
      </c>
      <c r="R240" s="2">
        <v>5</v>
      </c>
      <c r="S240" s="2">
        <v>22781.08</v>
      </c>
      <c r="T240" s="2">
        <v>0</v>
      </c>
      <c r="U240" s="2">
        <v>113905.4</v>
      </c>
      <c r="V240" s="2">
        <v>55658.18</v>
      </c>
      <c r="W240" s="2">
        <v>58247.22</v>
      </c>
      <c r="X240" s="2">
        <v>51.14</v>
      </c>
      <c r="Y240" s="2">
        <v>99</v>
      </c>
      <c r="Z240" s="2" t="s">
        <v>48</v>
      </c>
      <c r="AA240" s="2" t="s">
        <v>100</v>
      </c>
      <c r="AB240" s="2" t="s">
        <v>101</v>
      </c>
      <c r="AC240" s="2">
        <v>4</v>
      </c>
    </row>
    <row r="241" spans="1:29" x14ac:dyDescent="0.3">
      <c r="A241" s="3" t="s">
        <v>1853</v>
      </c>
      <c r="B241" s="3" t="s">
        <v>1854</v>
      </c>
      <c r="C241" s="3" t="s">
        <v>278</v>
      </c>
      <c r="D241" s="3" t="s">
        <v>1855</v>
      </c>
      <c r="E241" s="3" t="s">
        <v>26</v>
      </c>
      <c r="F241" s="3" t="s">
        <v>1856</v>
      </c>
      <c r="G241" s="3" t="s">
        <v>1057</v>
      </c>
      <c r="H241" s="3" t="s">
        <v>1857</v>
      </c>
      <c r="I241" s="3">
        <v>7</v>
      </c>
      <c r="J241" s="3" t="s">
        <v>29</v>
      </c>
      <c r="K241" s="3" t="s">
        <v>148</v>
      </c>
      <c r="L241" s="3" t="s">
        <v>148</v>
      </c>
      <c r="M241" s="3" t="s">
        <v>1858</v>
      </c>
      <c r="N241" s="3" t="s">
        <v>852</v>
      </c>
      <c r="O241" s="3" t="s">
        <v>27</v>
      </c>
      <c r="P241" s="3" t="s">
        <v>175</v>
      </c>
      <c r="Q241" s="3" t="s">
        <v>466</v>
      </c>
      <c r="R241" s="3">
        <v>2</v>
      </c>
      <c r="S241" s="3">
        <v>26577.73</v>
      </c>
      <c r="T241" s="3">
        <v>25</v>
      </c>
      <c r="U241" s="3">
        <v>39866.6</v>
      </c>
      <c r="V241" s="3">
        <v>20365.32</v>
      </c>
      <c r="W241" s="3">
        <v>19501.28</v>
      </c>
      <c r="X241" s="3">
        <v>48.92</v>
      </c>
      <c r="Y241" s="3">
        <v>149</v>
      </c>
      <c r="Z241" s="3" t="s">
        <v>47</v>
      </c>
      <c r="AA241" s="3" t="s">
        <v>100</v>
      </c>
      <c r="AB241" s="3" t="s">
        <v>101</v>
      </c>
      <c r="AC241" s="3"/>
    </row>
    <row r="242" spans="1:29" x14ac:dyDescent="0.3">
      <c r="A242" s="2" t="s">
        <v>1859</v>
      </c>
      <c r="B242" s="2" t="s">
        <v>1860</v>
      </c>
      <c r="C242" s="2" t="s">
        <v>1861</v>
      </c>
      <c r="D242" s="2" t="s">
        <v>1862</v>
      </c>
      <c r="E242" s="2" t="s">
        <v>18</v>
      </c>
      <c r="F242" s="2" t="s">
        <v>473</v>
      </c>
      <c r="G242" s="2" t="s">
        <v>386</v>
      </c>
      <c r="H242" s="2" t="s">
        <v>735</v>
      </c>
      <c r="I242" s="2">
        <v>8</v>
      </c>
      <c r="J242" s="2" t="s">
        <v>22</v>
      </c>
      <c r="K242" s="2" t="s">
        <v>738</v>
      </c>
      <c r="L242" s="2" t="s">
        <v>738</v>
      </c>
      <c r="M242" s="2" t="s">
        <v>1863</v>
      </c>
      <c r="N242" s="2" t="s">
        <v>805</v>
      </c>
      <c r="O242" s="2" t="s">
        <v>28</v>
      </c>
      <c r="P242" s="2" t="s">
        <v>151</v>
      </c>
      <c r="Q242" s="2" t="s">
        <v>114</v>
      </c>
      <c r="R242" s="2">
        <v>3</v>
      </c>
      <c r="S242" s="2">
        <v>12292.06</v>
      </c>
      <c r="T242" s="2">
        <v>30</v>
      </c>
      <c r="U242" s="2">
        <v>25813.33</v>
      </c>
      <c r="V242" s="2">
        <v>14337.65</v>
      </c>
      <c r="W242" s="2">
        <v>11475.68</v>
      </c>
      <c r="X242" s="2">
        <v>44.46</v>
      </c>
      <c r="Y242" s="2">
        <v>149</v>
      </c>
      <c r="Z242" s="2" t="s">
        <v>47</v>
      </c>
      <c r="AA242" s="2" t="s">
        <v>100</v>
      </c>
      <c r="AB242" s="2" t="s">
        <v>101</v>
      </c>
      <c r="AC242" s="2">
        <v>3</v>
      </c>
    </row>
    <row r="243" spans="1:29" x14ac:dyDescent="0.3">
      <c r="A243" s="3" t="s">
        <v>1864</v>
      </c>
      <c r="B243" s="3" t="s">
        <v>1865</v>
      </c>
      <c r="C243" s="3" t="s">
        <v>1866</v>
      </c>
      <c r="D243" s="3" t="s">
        <v>1867</v>
      </c>
      <c r="E243" s="3" t="s">
        <v>33</v>
      </c>
      <c r="F243" s="3" t="s">
        <v>1868</v>
      </c>
      <c r="G243" s="3" t="s">
        <v>1869</v>
      </c>
      <c r="H243" s="3" t="s">
        <v>1870</v>
      </c>
      <c r="I243" s="3">
        <v>7</v>
      </c>
      <c r="J243" s="3" t="s">
        <v>29</v>
      </c>
      <c r="K243" s="3" t="s">
        <v>427</v>
      </c>
      <c r="L243" s="3" t="s">
        <v>1871</v>
      </c>
      <c r="M243" s="3" t="s">
        <v>1872</v>
      </c>
      <c r="N243" s="3" t="s">
        <v>852</v>
      </c>
      <c r="O243" s="3" t="s">
        <v>27</v>
      </c>
      <c r="P243" s="3" t="s">
        <v>175</v>
      </c>
      <c r="Q243" s="3" t="s">
        <v>400</v>
      </c>
      <c r="R243" s="3">
        <v>1</v>
      </c>
      <c r="S243" s="3">
        <v>33974.660000000003</v>
      </c>
      <c r="T243" s="3">
        <v>10</v>
      </c>
      <c r="U243" s="3">
        <v>30577.19</v>
      </c>
      <c r="V243" s="3">
        <v>16708.259999999998</v>
      </c>
      <c r="W243" s="3">
        <v>13868.93</v>
      </c>
      <c r="X243" s="3">
        <v>45.36</v>
      </c>
      <c r="Y243" s="3">
        <v>0</v>
      </c>
      <c r="Z243" s="3" t="s">
        <v>48</v>
      </c>
      <c r="AA243" s="3" t="s">
        <v>139</v>
      </c>
      <c r="AB243" s="3" t="s">
        <v>140</v>
      </c>
      <c r="AC243" s="3"/>
    </row>
    <row r="244" spans="1:29" x14ac:dyDescent="0.3">
      <c r="A244" s="2" t="s">
        <v>1873</v>
      </c>
      <c r="B244" s="2" t="s">
        <v>1874</v>
      </c>
      <c r="C244" s="2" t="s">
        <v>166</v>
      </c>
      <c r="D244" s="2" t="s">
        <v>1875</v>
      </c>
      <c r="E244" s="2" t="s">
        <v>42</v>
      </c>
      <c r="F244" s="2" t="s">
        <v>850</v>
      </c>
      <c r="G244" s="2" t="s">
        <v>1580</v>
      </c>
      <c r="H244" s="2" t="s">
        <v>1876</v>
      </c>
      <c r="I244" s="2">
        <v>6</v>
      </c>
      <c r="J244" s="2" t="s">
        <v>29</v>
      </c>
      <c r="K244" s="2" t="s">
        <v>334</v>
      </c>
      <c r="L244" s="2" t="s">
        <v>614</v>
      </c>
      <c r="M244" s="2" t="s">
        <v>1877</v>
      </c>
      <c r="N244" s="2" t="s">
        <v>1611</v>
      </c>
      <c r="O244" s="2" t="s">
        <v>19</v>
      </c>
      <c r="P244" s="2" t="s">
        <v>365</v>
      </c>
      <c r="Q244" s="2" t="s">
        <v>287</v>
      </c>
      <c r="R244" s="2">
        <v>5</v>
      </c>
      <c r="S244" s="2">
        <v>22349.43</v>
      </c>
      <c r="T244" s="2">
        <v>20</v>
      </c>
      <c r="U244" s="2">
        <v>89397.72</v>
      </c>
      <c r="V244" s="2">
        <v>47598.17</v>
      </c>
      <c r="W244" s="2">
        <v>41799.550000000003</v>
      </c>
      <c r="X244" s="2">
        <v>46.76</v>
      </c>
      <c r="Y244" s="2">
        <v>29</v>
      </c>
      <c r="Z244" s="2" t="s">
        <v>47</v>
      </c>
      <c r="AA244" s="2" t="s">
        <v>100</v>
      </c>
      <c r="AB244" s="2" t="s">
        <v>101</v>
      </c>
      <c r="AC244" s="2">
        <v>1</v>
      </c>
    </row>
    <row r="245" spans="1:29" x14ac:dyDescent="0.3">
      <c r="A245" s="3" t="s">
        <v>1878</v>
      </c>
      <c r="B245" s="3" t="s">
        <v>1879</v>
      </c>
      <c r="C245" s="3" t="s">
        <v>1880</v>
      </c>
      <c r="D245" s="3" t="s">
        <v>1881</v>
      </c>
      <c r="E245" s="3" t="s">
        <v>26</v>
      </c>
      <c r="F245" s="3" t="s">
        <v>1079</v>
      </c>
      <c r="G245" s="3" t="s">
        <v>1080</v>
      </c>
      <c r="H245" s="3" t="s">
        <v>857</v>
      </c>
      <c r="I245" s="3">
        <v>8</v>
      </c>
      <c r="J245" s="3" t="s">
        <v>22</v>
      </c>
      <c r="K245" s="3" t="s">
        <v>254</v>
      </c>
      <c r="L245" s="3" t="s">
        <v>254</v>
      </c>
      <c r="M245" s="3" t="s">
        <v>1882</v>
      </c>
      <c r="N245" s="3" t="s">
        <v>266</v>
      </c>
      <c r="O245" s="3" t="s">
        <v>28</v>
      </c>
      <c r="P245" s="3" t="s">
        <v>151</v>
      </c>
      <c r="Q245" s="3" t="s">
        <v>99</v>
      </c>
      <c r="R245" s="3">
        <v>2</v>
      </c>
      <c r="S245" s="3">
        <v>20411.57</v>
      </c>
      <c r="T245" s="3">
        <v>20</v>
      </c>
      <c r="U245" s="3">
        <v>32658.51</v>
      </c>
      <c r="V245" s="3">
        <v>21716.38</v>
      </c>
      <c r="W245" s="3">
        <v>10942.13</v>
      </c>
      <c r="X245" s="3">
        <v>33.5</v>
      </c>
      <c r="Y245" s="3">
        <v>0</v>
      </c>
      <c r="Z245" s="3" t="s">
        <v>47</v>
      </c>
      <c r="AA245" s="3" t="s">
        <v>100</v>
      </c>
      <c r="AB245" s="3" t="s">
        <v>101</v>
      </c>
      <c r="AC245" s="3">
        <v>4</v>
      </c>
    </row>
    <row r="246" spans="1:29" x14ac:dyDescent="0.3">
      <c r="A246" s="2" t="s">
        <v>1883</v>
      </c>
      <c r="B246" s="2" t="s">
        <v>1884</v>
      </c>
      <c r="C246" s="2" t="s">
        <v>1885</v>
      </c>
      <c r="D246" s="2" t="s">
        <v>1886</v>
      </c>
      <c r="E246" s="2" t="s">
        <v>33</v>
      </c>
      <c r="F246" s="2" t="s">
        <v>1887</v>
      </c>
      <c r="G246" s="2" t="s">
        <v>1888</v>
      </c>
      <c r="H246" s="2" t="s">
        <v>1889</v>
      </c>
      <c r="I246" s="2">
        <v>5</v>
      </c>
      <c r="J246" s="2" t="s">
        <v>39</v>
      </c>
      <c r="K246" s="2" t="s">
        <v>324</v>
      </c>
      <c r="L246" s="2" t="s">
        <v>325</v>
      </c>
      <c r="M246" s="2" t="s">
        <v>1890</v>
      </c>
      <c r="N246" s="2" t="s">
        <v>1603</v>
      </c>
      <c r="O246" s="2" t="s">
        <v>19</v>
      </c>
      <c r="P246" s="2" t="s">
        <v>365</v>
      </c>
      <c r="Q246" s="2" t="s">
        <v>246</v>
      </c>
      <c r="R246" s="2">
        <v>1</v>
      </c>
      <c r="S246" s="2">
        <v>45314.36</v>
      </c>
      <c r="T246" s="2">
        <v>20</v>
      </c>
      <c r="U246" s="2">
        <v>36251.49</v>
      </c>
      <c r="V246" s="2">
        <v>18781.52</v>
      </c>
      <c r="W246" s="2">
        <v>17469.97</v>
      </c>
      <c r="X246" s="2">
        <v>48.19</v>
      </c>
      <c r="Y246" s="2">
        <v>29</v>
      </c>
      <c r="Z246" s="2" t="s">
        <v>30</v>
      </c>
      <c r="AA246" s="2" t="s">
        <v>100</v>
      </c>
      <c r="AB246" s="2" t="s">
        <v>101</v>
      </c>
      <c r="AC246" s="2">
        <v>4</v>
      </c>
    </row>
    <row r="247" spans="1:29" x14ac:dyDescent="0.3">
      <c r="A247" s="3" t="s">
        <v>1891</v>
      </c>
      <c r="B247" s="3" t="s">
        <v>1892</v>
      </c>
      <c r="C247" s="3" t="s">
        <v>1183</v>
      </c>
      <c r="D247" s="3" t="s">
        <v>1893</v>
      </c>
      <c r="E247" s="3" t="s">
        <v>18</v>
      </c>
      <c r="F247" s="3" t="s">
        <v>272</v>
      </c>
      <c r="G247" s="3" t="s">
        <v>1894</v>
      </c>
      <c r="H247" s="3" t="s">
        <v>1895</v>
      </c>
      <c r="I247" s="3">
        <v>4</v>
      </c>
      <c r="J247" s="3" t="s">
        <v>29</v>
      </c>
      <c r="K247" s="3" t="s">
        <v>160</v>
      </c>
      <c r="L247" s="3" t="s">
        <v>161</v>
      </c>
      <c r="M247" s="3" t="s">
        <v>1896</v>
      </c>
      <c r="N247" s="3" t="s">
        <v>316</v>
      </c>
      <c r="O247" s="3" t="s">
        <v>28</v>
      </c>
      <c r="P247" s="3" t="s">
        <v>137</v>
      </c>
      <c r="Q247" s="3" t="s">
        <v>287</v>
      </c>
      <c r="R247" s="3">
        <v>3</v>
      </c>
      <c r="S247" s="3">
        <v>27089.27</v>
      </c>
      <c r="T247" s="3">
        <v>20</v>
      </c>
      <c r="U247" s="3">
        <v>65014.25</v>
      </c>
      <c r="V247" s="3">
        <v>43949.18</v>
      </c>
      <c r="W247" s="3">
        <v>21065.07</v>
      </c>
      <c r="X247" s="3">
        <v>32.4</v>
      </c>
      <c r="Y247" s="3">
        <v>29</v>
      </c>
      <c r="Z247" s="3" t="s">
        <v>48</v>
      </c>
      <c r="AA247" s="3" t="s">
        <v>100</v>
      </c>
      <c r="AB247" s="3" t="s">
        <v>101</v>
      </c>
      <c r="AC247" s="3">
        <v>2</v>
      </c>
    </row>
    <row r="248" spans="1:29" x14ac:dyDescent="0.3">
      <c r="A248" s="2" t="s">
        <v>1897</v>
      </c>
      <c r="B248" s="2" t="s">
        <v>1898</v>
      </c>
      <c r="C248" s="2" t="s">
        <v>1899</v>
      </c>
      <c r="D248" s="2" t="s">
        <v>1900</v>
      </c>
      <c r="E248" s="2" t="s">
        <v>26</v>
      </c>
      <c r="F248" s="2" t="s">
        <v>342</v>
      </c>
      <c r="G248" s="2" t="s">
        <v>1901</v>
      </c>
      <c r="H248" s="2" t="s">
        <v>1647</v>
      </c>
      <c r="I248" s="2">
        <v>5</v>
      </c>
      <c r="J248" s="2" t="s">
        <v>39</v>
      </c>
      <c r="K248" s="2" t="s">
        <v>193</v>
      </c>
      <c r="L248" s="2" t="s">
        <v>193</v>
      </c>
      <c r="M248" s="2" t="s">
        <v>1902</v>
      </c>
      <c r="N248" s="2" t="s">
        <v>185</v>
      </c>
      <c r="O248" s="2" t="s">
        <v>28</v>
      </c>
      <c r="P248" s="2" t="s">
        <v>151</v>
      </c>
      <c r="Q248" s="2" t="s">
        <v>207</v>
      </c>
      <c r="R248" s="2">
        <v>5</v>
      </c>
      <c r="S248" s="2">
        <v>45653.64</v>
      </c>
      <c r="T248" s="2">
        <v>15</v>
      </c>
      <c r="U248" s="2">
        <v>194027.97</v>
      </c>
      <c r="V248" s="2">
        <v>124130.56</v>
      </c>
      <c r="W248" s="2">
        <v>69897.41</v>
      </c>
      <c r="X248" s="2">
        <v>36.020000000000003</v>
      </c>
      <c r="Y248" s="2">
        <v>199</v>
      </c>
      <c r="Z248" s="2" t="s">
        <v>40</v>
      </c>
      <c r="AA248" s="2" t="s">
        <v>186</v>
      </c>
      <c r="AB248" s="2" t="s">
        <v>101</v>
      </c>
      <c r="AC248" s="2"/>
    </row>
    <row r="249" spans="1:29" x14ac:dyDescent="0.3">
      <c r="A249" s="3" t="s">
        <v>1903</v>
      </c>
      <c r="B249" s="3" t="s">
        <v>1904</v>
      </c>
      <c r="C249" s="3" t="s">
        <v>995</v>
      </c>
      <c r="D249" s="3" t="s">
        <v>1905</v>
      </c>
      <c r="E249" s="3" t="s">
        <v>42</v>
      </c>
      <c r="F249" s="3" t="s">
        <v>1906</v>
      </c>
      <c r="G249" s="3" t="s">
        <v>1047</v>
      </c>
      <c r="H249" s="3" t="s">
        <v>1907</v>
      </c>
      <c r="I249" s="3">
        <v>5</v>
      </c>
      <c r="J249" s="3" t="s">
        <v>22</v>
      </c>
      <c r="K249" s="3" t="s">
        <v>738</v>
      </c>
      <c r="L249" s="3" t="s">
        <v>738</v>
      </c>
      <c r="M249" s="3" t="s">
        <v>1908</v>
      </c>
      <c r="N249" s="3" t="s">
        <v>174</v>
      </c>
      <c r="O249" s="3" t="s">
        <v>27</v>
      </c>
      <c r="P249" s="3" t="s">
        <v>175</v>
      </c>
      <c r="Q249" s="3" t="s">
        <v>608</v>
      </c>
      <c r="R249" s="3">
        <v>2</v>
      </c>
      <c r="S249" s="3">
        <v>21880.31</v>
      </c>
      <c r="T249" s="3">
        <v>30</v>
      </c>
      <c r="U249" s="3">
        <v>30632.43</v>
      </c>
      <c r="V249" s="3">
        <v>17988.3</v>
      </c>
      <c r="W249" s="3">
        <v>12644.13</v>
      </c>
      <c r="X249" s="3">
        <v>41.28</v>
      </c>
      <c r="Y249" s="3">
        <v>0</v>
      </c>
      <c r="Z249" s="3" t="s">
        <v>48</v>
      </c>
      <c r="AA249" s="3" t="s">
        <v>100</v>
      </c>
      <c r="AB249" s="3" t="s">
        <v>101</v>
      </c>
      <c r="AC249" s="3">
        <v>3</v>
      </c>
    </row>
    <row r="250" spans="1:29" x14ac:dyDescent="0.3">
      <c r="A250" s="2" t="s">
        <v>1909</v>
      </c>
      <c r="B250" s="2" t="s">
        <v>1910</v>
      </c>
      <c r="C250" s="2" t="s">
        <v>1911</v>
      </c>
      <c r="D250" s="2" t="s">
        <v>1912</v>
      </c>
      <c r="E250" s="2" t="s">
        <v>33</v>
      </c>
      <c r="F250" s="2" t="s">
        <v>1913</v>
      </c>
      <c r="G250" s="2" t="s">
        <v>1914</v>
      </c>
      <c r="H250" s="2" t="s">
        <v>1198</v>
      </c>
      <c r="I250" s="2">
        <v>4</v>
      </c>
      <c r="J250" s="2" t="s">
        <v>39</v>
      </c>
      <c r="K250" s="2" t="s">
        <v>193</v>
      </c>
      <c r="L250" s="2" t="s">
        <v>193</v>
      </c>
      <c r="M250" s="2" t="s">
        <v>1915</v>
      </c>
      <c r="N250" s="2" t="s">
        <v>136</v>
      </c>
      <c r="O250" s="2" t="s">
        <v>28</v>
      </c>
      <c r="P250" s="2" t="s">
        <v>137</v>
      </c>
      <c r="Q250" s="2" t="s">
        <v>138</v>
      </c>
      <c r="R250" s="2">
        <v>2</v>
      </c>
      <c r="S250" s="2">
        <v>31142.97</v>
      </c>
      <c r="T250" s="2">
        <v>0</v>
      </c>
      <c r="U250" s="2">
        <v>62285.94</v>
      </c>
      <c r="V250" s="2">
        <v>30620.83</v>
      </c>
      <c r="W250" s="2">
        <v>31665.11</v>
      </c>
      <c r="X250" s="2">
        <v>50.84</v>
      </c>
      <c r="Y250" s="2">
        <v>99</v>
      </c>
      <c r="Z250" s="2" t="s">
        <v>47</v>
      </c>
      <c r="AA250" s="2" t="s">
        <v>100</v>
      </c>
      <c r="AB250" s="2" t="s">
        <v>101</v>
      </c>
      <c r="AC250" s="2">
        <v>2</v>
      </c>
    </row>
    <row r="251" spans="1:29" x14ac:dyDescent="0.3">
      <c r="A251" s="3" t="s">
        <v>1916</v>
      </c>
      <c r="B251" s="3" t="s">
        <v>1917</v>
      </c>
      <c r="C251" s="3" t="s">
        <v>1918</v>
      </c>
      <c r="D251" s="3" t="s">
        <v>1919</v>
      </c>
      <c r="E251" s="3" t="s">
        <v>33</v>
      </c>
      <c r="F251" s="3" t="s">
        <v>342</v>
      </c>
      <c r="G251" s="3" t="s">
        <v>1920</v>
      </c>
      <c r="H251" s="3" t="s">
        <v>1921</v>
      </c>
      <c r="I251" s="3">
        <v>5</v>
      </c>
      <c r="J251" s="3" t="s">
        <v>14</v>
      </c>
      <c r="K251" s="3" t="s">
        <v>215</v>
      </c>
      <c r="L251" s="3" t="s">
        <v>215</v>
      </c>
      <c r="M251" s="3" t="s">
        <v>1922</v>
      </c>
      <c r="N251" s="3" t="s">
        <v>465</v>
      </c>
      <c r="O251" s="3" t="s">
        <v>19</v>
      </c>
      <c r="P251" s="3" t="s">
        <v>447</v>
      </c>
      <c r="Q251" s="3" t="s">
        <v>207</v>
      </c>
      <c r="R251" s="3">
        <v>1</v>
      </c>
      <c r="S251" s="3">
        <v>48628.55</v>
      </c>
      <c r="T251" s="3">
        <v>25</v>
      </c>
      <c r="U251" s="3">
        <v>36471.410000000003</v>
      </c>
      <c r="V251" s="3">
        <v>24678.27</v>
      </c>
      <c r="W251" s="3">
        <v>11793.14</v>
      </c>
      <c r="X251" s="3">
        <v>32.340000000000003</v>
      </c>
      <c r="Y251" s="3">
        <v>99</v>
      </c>
      <c r="Z251" s="3" t="s">
        <v>48</v>
      </c>
      <c r="AA251" s="3" t="s">
        <v>100</v>
      </c>
      <c r="AB251" s="3" t="s">
        <v>101</v>
      </c>
      <c r="AC251" s="3">
        <v>1</v>
      </c>
    </row>
    <row r="252" spans="1:29" x14ac:dyDescent="0.3">
      <c r="A252" s="2" t="s">
        <v>1923</v>
      </c>
      <c r="B252" s="2" t="s">
        <v>1924</v>
      </c>
      <c r="C252" s="2" t="s">
        <v>1737</v>
      </c>
      <c r="D252" s="2" t="s">
        <v>1925</v>
      </c>
      <c r="E252" s="2" t="s">
        <v>42</v>
      </c>
      <c r="F252" s="2" t="s">
        <v>613</v>
      </c>
      <c r="G252" s="2" t="s">
        <v>1895</v>
      </c>
      <c r="H252" s="2" t="s">
        <v>1926</v>
      </c>
      <c r="I252" s="2">
        <v>2</v>
      </c>
      <c r="J252" s="2" t="s">
        <v>39</v>
      </c>
      <c r="K252" s="2" t="s">
        <v>109</v>
      </c>
      <c r="L252" s="2" t="s">
        <v>110</v>
      </c>
      <c r="M252" s="2" t="s">
        <v>1927</v>
      </c>
      <c r="N252" s="2" t="s">
        <v>174</v>
      </c>
      <c r="O252" s="2" t="s">
        <v>27</v>
      </c>
      <c r="P252" s="2" t="s">
        <v>175</v>
      </c>
      <c r="Q252" s="2" t="s">
        <v>246</v>
      </c>
      <c r="R252" s="2">
        <v>1</v>
      </c>
      <c r="S252" s="2">
        <v>33016.57</v>
      </c>
      <c r="T252" s="2">
        <v>5</v>
      </c>
      <c r="U252" s="2">
        <v>31365.74</v>
      </c>
      <c r="V252" s="2">
        <v>21826.04</v>
      </c>
      <c r="W252" s="2">
        <v>9539.7000000000007</v>
      </c>
      <c r="X252" s="2">
        <v>30.41</v>
      </c>
      <c r="Y252" s="2">
        <v>99</v>
      </c>
      <c r="Z252" s="2" t="s">
        <v>15</v>
      </c>
      <c r="AA252" s="2" t="s">
        <v>672</v>
      </c>
      <c r="AB252" s="2" t="s">
        <v>101</v>
      </c>
      <c r="AC252" s="2"/>
    </row>
    <row r="253" spans="1:29" x14ac:dyDescent="0.3">
      <c r="A253" s="3" t="s">
        <v>1928</v>
      </c>
      <c r="B253" s="3" t="s">
        <v>1929</v>
      </c>
      <c r="C253" s="3" t="s">
        <v>1273</v>
      </c>
      <c r="D253" s="3" t="s">
        <v>1930</v>
      </c>
      <c r="E253" s="3" t="s">
        <v>18</v>
      </c>
      <c r="F253" s="3" t="s">
        <v>1931</v>
      </c>
      <c r="G253" s="3" t="s">
        <v>1695</v>
      </c>
      <c r="H253" s="3" t="s">
        <v>281</v>
      </c>
      <c r="I253" s="3">
        <v>5</v>
      </c>
      <c r="J253" s="3" t="s">
        <v>22</v>
      </c>
      <c r="K253" s="3" t="s">
        <v>122</v>
      </c>
      <c r="L253" s="3" t="s">
        <v>236</v>
      </c>
      <c r="M253" s="3" t="s">
        <v>1932</v>
      </c>
      <c r="N253" s="3" t="s">
        <v>227</v>
      </c>
      <c r="O253" s="3" t="s">
        <v>13</v>
      </c>
      <c r="P253" s="3" t="s">
        <v>228</v>
      </c>
      <c r="Q253" s="3" t="s">
        <v>355</v>
      </c>
      <c r="R253" s="3">
        <v>4</v>
      </c>
      <c r="S253" s="3">
        <v>43347.1</v>
      </c>
      <c r="T253" s="3">
        <v>15</v>
      </c>
      <c r="U253" s="3">
        <v>147380.14000000001</v>
      </c>
      <c r="V253" s="3">
        <v>78411.42</v>
      </c>
      <c r="W253" s="3">
        <v>68968.72</v>
      </c>
      <c r="X253" s="3">
        <v>46.8</v>
      </c>
      <c r="Y253" s="3">
        <v>49</v>
      </c>
      <c r="Z253" s="3" t="s">
        <v>23</v>
      </c>
      <c r="AA253" s="3" t="s">
        <v>186</v>
      </c>
      <c r="AB253" s="3" t="s">
        <v>101</v>
      </c>
      <c r="AC253" s="3"/>
    </row>
    <row r="254" spans="1:29" x14ac:dyDescent="0.3">
      <c r="A254" s="2" t="s">
        <v>1933</v>
      </c>
      <c r="B254" s="2" t="s">
        <v>1934</v>
      </c>
      <c r="C254" s="2" t="s">
        <v>1590</v>
      </c>
      <c r="D254" s="2" t="s">
        <v>1935</v>
      </c>
      <c r="E254" s="2" t="s">
        <v>18</v>
      </c>
      <c r="F254" s="2" t="s">
        <v>727</v>
      </c>
      <c r="G254" s="2" t="s">
        <v>728</v>
      </c>
      <c r="H254" s="2" t="s">
        <v>1811</v>
      </c>
      <c r="I254" s="2">
        <v>5</v>
      </c>
      <c r="J254" s="2" t="s">
        <v>29</v>
      </c>
      <c r="K254" s="2" t="s">
        <v>148</v>
      </c>
      <c r="L254" s="2" t="s">
        <v>148</v>
      </c>
      <c r="M254" s="2" t="s">
        <v>1936</v>
      </c>
      <c r="N254" s="2" t="s">
        <v>484</v>
      </c>
      <c r="O254" s="2" t="s">
        <v>13</v>
      </c>
      <c r="P254" s="2" t="s">
        <v>98</v>
      </c>
      <c r="Q254" s="2" t="s">
        <v>246</v>
      </c>
      <c r="R254" s="2">
        <v>5</v>
      </c>
      <c r="S254" s="2">
        <v>20042.79</v>
      </c>
      <c r="T254" s="2">
        <v>25</v>
      </c>
      <c r="U254" s="2">
        <v>75160.460000000006</v>
      </c>
      <c r="V254" s="2">
        <v>34765.08</v>
      </c>
      <c r="W254" s="2">
        <v>40395.379999999997</v>
      </c>
      <c r="X254" s="2">
        <v>53.75</v>
      </c>
      <c r="Y254" s="2">
        <v>199</v>
      </c>
      <c r="Z254" s="2" t="s">
        <v>47</v>
      </c>
      <c r="AA254" s="2" t="s">
        <v>186</v>
      </c>
      <c r="AB254" s="2" t="s">
        <v>101</v>
      </c>
      <c r="AC254" s="2"/>
    </row>
    <row r="255" spans="1:29" x14ac:dyDescent="0.3">
      <c r="A255" s="3" t="s">
        <v>1937</v>
      </c>
      <c r="B255" s="3" t="s">
        <v>1938</v>
      </c>
      <c r="C255" s="3" t="s">
        <v>178</v>
      </c>
      <c r="D255" s="3" t="s">
        <v>1939</v>
      </c>
      <c r="E255" s="3" t="s">
        <v>26</v>
      </c>
      <c r="F255" s="3" t="s">
        <v>1940</v>
      </c>
      <c r="G255" s="3" t="s">
        <v>920</v>
      </c>
      <c r="H255" s="3" t="s">
        <v>233</v>
      </c>
      <c r="I255" s="3">
        <v>6</v>
      </c>
      <c r="J255" s="3" t="s">
        <v>29</v>
      </c>
      <c r="K255" s="3" t="s">
        <v>834</v>
      </c>
      <c r="L255" s="3" t="s">
        <v>835</v>
      </c>
      <c r="M255" s="3" t="s">
        <v>1941</v>
      </c>
      <c r="N255" s="3" t="s">
        <v>600</v>
      </c>
      <c r="O255" s="3" t="s">
        <v>27</v>
      </c>
      <c r="P255" s="3" t="s">
        <v>175</v>
      </c>
      <c r="Q255" s="3" t="s">
        <v>466</v>
      </c>
      <c r="R255" s="3">
        <v>2</v>
      </c>
      <c r="S255" s="3">
        <v>40109.699999999997</v>
      </c>
      <c r="T255" s="3">
        <v>15</v>
      </c>
      <c r="U255" s="3">
        <v>68186.490000000005</v>
      </c>
      <c r="V255" s="3">
        <v>32745.54</v>
      </c>
      <c r="W255" s="3">
        <v>35440.949999999997</v>
      </c>
      <c r="X255" s="3">
        <v>51.98</v>
      </c>
      <c r="Y255" s="3">
        <v>149</v>
      </c>
      <c r="Z255" s="3" t="s">
        <v>48</v>
      </c>
      <c r="AA255" s="3" t="s">
        <v>100</v>
      </c>
      <c r="AB255" s="3" t="s">
        <v>101</v>
      </c>
      <c r="AC255" s="3"/>
    </row>
    <row r="256" spans="1:29" x14ac:dyDescent="0.3">
      <c r="A256" s="2" t="s">
        <v>1942</v>
      </c>
      <c r="B256" s="2" t="s">
        <v>1943</v>
      </c>
      <c r="C256" s="2" t="s">
        <v>1730</v>
      </c>
      <c r="D256" s="2" t="s">
        <v>1944</v>
      </c>
      <c r="E256" s="2" t="s">
        <v>42</v>
      </c>
      <c r="F256" s="2" t="s">
        <v>1027</v>
      </c>
      <c r="G256" s="2" t="s">
        <v>1945</v>
      </c>
      <c r="H256" s="2" t="s">
        <v>132</v>
      </c>
      <c r="I256" s="2">
        <v>4</v>
      </c>
      <c r="J256" s="2" t="s">
        <v>29</v>
      </c>
      <c r="K256" s="2" t="s">
        <v>334</v>
      </c>
      <c r="L256" s="2" t="s">
        <v>1073</v>
      </c>
      <c r="M256" s="2" t="s">
        <v>1946</v>
      </c>
      <c r="N256" s="2" t="s">
        <v>964</v>
      </c>
      <c r="O256" s="2" t="s">
        <v>13</v>
      </c>
      <c r="P256" s="2" t="s">
        <v>98</v>
      </c>
      <c r="Q256" s="2" t="s">
        <v>197</v>
      </c>
      <c r="R256" s="2">
        <v>4</v>
      </c>
      <c r="S256" s="2">
        <v>30352.61</v>
      </c>
      <c r="T256" s="2">
        <v>20</v>
      </c>
      <c r="U256" s="2">
        <v>97128.35</v>
      </c>
      <c r="V256" s="2">
        <v>44449.7</v>
      </c>
      <c r="W256" s="2">
        <v>52678.65</v>
      </c>
      <c r="X256" s="2">
        <v>54.24</v>
      </c>
      <c r="Y256" s="2">
        <v>0</v>
      </c>
      <c r="Z256" s="2" t="s">
        <v>23</v>
      </c>
      <c r="AA256" s="2" t="s">
        <v>100</v>
      </c>
      <c r="AB256" s="2" t="s">
        <v>101</v>
      </c>
      <c r="AC256" s="2">
        <v>1</v>
      </c>
    </row>
    <row r="257" spans="1:29" x14ac:dyDescent="0.3">
      <c r="A257" s="3" t="s">
        <v>1947</v>
      </c>
      <c r="B257" s="3" t="s">
        <v>1948</v>
      </c>
      <c r="C257" s="3" t="s">
        <v>1700</v>
      </c>
      <c r="D257" s="3" t="s">
        <v>1949</v>
      </c>
      <c r="E257" s="3" t="s">
        <v>26</v>
      </c>
      <c r="F257" s="3" t="s">
        <v>1007</v>
      </c>
      <c r="G257" s="3" t="s">
        <v>1950</v>
      </c>
      <c r="H257" s="3" t="s">
        <v>1951</v>
      </c>
      <c r="I257" s="3">
        <v>3</v>
      </c>
      <c r="J257" s="3" t="s">
        <v>39</v>
      </c>
      <c r="K257" s="3" t="s">
        <v>225</v>
      </c>
      <c r="L257" s="3" t="s">
        <v>225</v>
      </c>
      <c r="M257" s="3" t="s">
        <v>1952</v>
      </c>
      <c r="N257" s="3" t="s">
        <v>316</v>
      </c>
      <c r="O257" s="3" t="s">
        <v>28</v>
      </c>
      <c r="P257" s="3" t="s">
        <v>137</v>
      </c>
      <c r="Q257" s="3" t="s">
        <v>99</v>
      </c>
      <c r="R257" s="3">
        <v>1</v>
      </c>
      <c r="S257" s="3">
        <v>32385.18</v>
      </c>
      <c r="T257" s="3">
        <v>10</v>
      </c>
      <c r="U257" s="3">
        <v>29146.66</v>
      </c>
      <c r="V257" s="3">
        <v>13911.4</v>
      </c>
      <c r="W257" s="3">
        <v>15235.26</v>
      </c>
      <c r="X257" s="3">
        <v>52.27</v>
      </c>
      <c r="Y257" s="3">
        <v>0</v>
      </c>
      <c r="Z257" s="3" t="s">
        <v>23</v>
      </c>
      <c r="AA257" s="3" t="s">
        <v>100</v>
      </c>
      <c r="AB257" s="3" t="s">
        <v>101</v>
      </c>
      <c r="AC257" s="3">
        <v>4</v>
      </c>
    </row>
    <row r="258" spans="1:29" x14ac:dyDescent="0.3">
      <c r="A258" s="2" t="s">
        <v>1953</v>
      </c>
      <c r="B258" s="2" t="s">
        <v>1954</v>
      </c>
      <c r="C258" s="2" t="s">
        <v>1955</v>
      </c>
      <c r="D258" s="2" t="s">
        <v>1956</v>
      </c>
      <c r="E258" s="2" t="s">
        <v>33</v>
      </c>
      <c r="F258" s="2" t="s">
        <v>1957</v>
      </c>
      <c r="G258" s="2" t="s">
        <v>729</v>
      </c>
      <c r="H258" s="2" t="s">
        <v>1360</v>
      </c>
      <c r="I258" s="2">
        <v>2</v>
      </c>
      <c r="J258" s="2" t="s">
        <v>29</v>
      </c>
      <c r="K258" s="2" t="s">
        <v>834</v>
      </c>
      <c r="L258" s="2" t="s">
        <v>835</v>
      </c>
      <c r="M258" s="2" t="s">
        <v>1958</v>
      </c>
      <c r="N258" s="2" t="s">
        <v>639</v>
      </c>
      <c r="O258" s="2" t="s">
        <v>27</v>
      </c>
      <c r="P258" s="2" t="s">
        <v>175</v>
      </c>
      <c r="Q258" s="2" t="s">
        <v>152</v>
      </c>
      <c r="R258" s="2">
        <v>1</v>
      </c>
      <c r="S258" s="2">
        <v>29488.2</v>
      </c>
      <c r="T258" s="2">
        <v>15</v>
      </c>
      <c r="U258" s="2">
        <v>25064.97</v>
      </c>
      <c r="V258" s="2">
        <v>13244.38</v>
      </c>
      <c r="W258" s="2">
        <v>11820.59</v>
      </c>
      <c r="X258" s="2">
        <v>47.16</v>
      </c>
      <c r="Y258" s="2">
        <v>99</v>
      </c>
      <c r="Z258" s="2" t="s">
        <v>30</v>
      </c>
      <c r="AA258" s="2" t="s">
        <v>672</v>
      </c>
      <c r="AB258" s="2" t="s">
        <v>101</v>
      </c>
      <c r="AC258" s="2"/>
    </row>
    <row r="259" spans="1:29" x14ac:dyDescent="0.3">
      <c r="A259" s="3" t="s">
        <v>1959</v>
      </c>
      <c r="B259" s="3" t="s">
        <v>1960</v>
      </c>
      <c r="C259" s="3" t="s">
        <v>1246</v>
      </c>
      <c r="D259" s="3" t="s">
        <v>1961</v>
      </c>
      <c r="E259" s="3" t="s">
        <v>18</v>
      </c>
      <c r="F259" s="3" t="s">
        <v>1241</v>
      </c>
      <c r="G259" s="3" t="s">
        <v>1688</v>
      </c>
      <c r="H259" s="3" t="s">
        <v>1725</v>
      </c>
      <c r="I259" s="3">
        <v>4</v>
      </c>
      <c r="J259" s="3" t="s">
        <v>29</v>
      </c>
      <c r="K259" s="3" t="s">
        <v>148</v>
      </c>
      <c r="L259" s="3" t="s">
        <v>148</v>
      </c>
      <c r="M259" s="3" t="s">
        <v>1962</v>
      </c>
      <c r="N259" s="3" t="s">
        <v>889</v>
      </c>
      <c r="O259" s="3" t="s">
        <v>27</v>
      </c>
      <c r="P259" s="3" t="s">
        <v>257</v>
      </c>
      <c r="Q259" s="3" t="s">
        <v>246</v>
      </c>
      <c r="R259" s="3">
        <v>5</v>
      </c>
      <c r="S259" s="3">
        <v>13977.57</v>
      </c>
      <c r="T259" s="3">
        <v>0</v>
      </c>
      <c r="U259" s="3">
        <v>69887.850000000006</v>
      </c>
      <c r="V259" s="3">
        <v>35565</v>
      </c>
      <c r="W259" s="3">
        <v>34322.85</v>
      </c>
      <c r="X259" s="3">
        <v>49.11</v>
      </c>
      <c r="Y259" s="3">
        <v>99</v>
      </c>
      <c r="Z259" s="3" t="s">
        <v>40</v>
      </c>
      <c r="AA259" s="3" t="s">
        <v>186</v>
      </c>
      <c r="AB259" s="3" t="s">
        <v>101</v>
      </c>
      <c r="AC259" s="3"/>
    </row>
    <row r="260" spans="1:29" x14ac:dyDescent="0.3">
      <c r="A260" s="2" t="s">
        <v>1963</v>
      </c>
      <c r="B260" s="2" t="s">
        <v>1964</v>
      </c>
      <c r="C260" s="2" t="s">
        <v>918</v>
      </c>
      <c r="D260" s="2" t="s">
        <v>1965</v>
      </c>
      <c r="E260" s="2" t="s">
        <v>18</v>
      </c>
      <c r="F260" s="2" t="s">
        <v>1950</v>
      </c>
      <c r="G260" s="2" t="s">
        <v>1951</v>
      </c>
      <c r="H260" s="2" t="s">
        <v>1966</v>
      </c>
      <c r="I260" s="2">
        <v>2</v>
      </c>
      <c r="J260" s="2" t="s">
        <v>39</v>
      </c>
      <c r="K260" s="2" t="s">
        <v>193</v>
      </c>
      <c r="L260" s="2" t="s">
        <v>193</v>
      </c>
      <c r="M260" s="2" t="s">
        <v>1967</v>
      </c>
      <c r="N260" s="2" t="s">
        <v>583</v>
      </c>
      <c r="O260" s="2" t="s">
        <v>19</v>
      </c>
      <c r="P260" s="2" t="s">
        <v>447</v>
      </c>
      <c r="Q260" s="2" t="s">
        <v>287</v>
      </c>
      <c r="R260" s="2">
        <v>1</v>
      </c>
      <c r="S260" s="2">
        <v>26984.58</v>
      </c>
      <c r="T260" s="2">
        <v>5</v>
      </c>
      <c r="U260" s="2">
        <v>25635.35</v>
      </c>
      <c r="V260" s="2">
        <v>13609.5</v>
      </c>
      <c r="W260" s="2">
        <v>12025.85</v>
      </c>
      <c r="X260" s="2">
        <v>46.91</v>
      </c>
      <c r="Y260" s="2">
        <v>0</v>
      </c>
      <c r="Z260" s="2" t="s">
        <v>23</v>
      </c>
      <c r="AA260" s="2" t="s">
        <v>100</v>
      </c>
      <c r="AB260" s="2" t="s">
        <v>101</v>
      </c>
      <c r="AC260" s="2">
        <v>2</v>
      </c>
    </row>
    <row r="261" spans="1:29" x14ac:dyDescent="0.3">
      <c r="A261" s="3" t="s">
        <v>1968</v>
      </c>
      <c r="B261" s="3" t="s">
        <v>1969</v>
      </c>
      <c r="C261" s="3" t="s">
        <v>680</v>
      </c>
      <c r="D261" s="3" t="s">
        <v>1970</v>
      </c>
      <c r="E261" s="3" t="s">
        <v>26</v>
      </c>
      <c r="F261" s="3" t="s">
        <v>1255</v>
      </c>
      <c r="G261" s="3" t="s">
        <v>1257</v>
      </c>
      <c r="H261" s="3" t="s">
        <v>1971</v>
      </c>
      <c r="I261" s="3">
        <v>3</v>
      </c>
      <c r="J261" s="3" t="s">
        <v>14</v>
      </c>
      <c r="K261" s="3" t="s">
        <v>183</v>
      </c>
      <c r="L261" s="3" t="s">
        <v>183</v>
      </c>
      <c r="M261" s="3" t="s">
        <v>1972</v>
      </c>
      <c r="N261" s="3" t="s">
        <v>551</v>
      </c>
      <c r="O261" s="3" t="s">
        <v>13</v>
      </c>
      <c r="P261" s="3" t="s">
        <v>98</v>
      </c>
      <c r="Q261" s="3" t="s">
        <v>152</v>
      </c>
      <c r="R261" s="3">
        <v>5</v>
      </c>
      <c r="S261" s="3">
        <v>20627.64</v>
      </c>
      <c r="T261" s="3">
        <v>0</v>
      </c>
      <c r="U261" s="3">
        <v>103138.2</v>
      </c>
      <c r="V261" s="3">
        <v>61923.39</v>
      </c>
      <c r="W261" s="3">
        <v>41214.81</v>
      </c>
      <c r="X261" s="3">
        <v>39.96</v>
      </c>
      <c r="Y261" s="3">
        <v>49</v>
      </c>
      <c r="Z261" s="3" t="s">
        <v>48</v>
      </c>
      <c r="AA261" s="3" t="s">
        <v>100</v>
      </c>
      <c r="AB261" s="3" t="s">
        <v>101</v>
      </c>
      <c r="AC261" s="3">
        <v>2</v>
      </c>
    </row>
    <row r="262" spans="1:29" x14ac:dyDescent="0.3">
      <c r="A262" s="2" t="s">
        <v>1973</v>
      </c>
      <c r="B262" s="2" t="s">
        <v>1974</v>
      </c>
      <c r="C262" s="2" t="s">
        <v>995</v>
      </c>
      <c r="D262" s="2" t="s">
        <v>1975</v>
      </c>
      <c r="E262" s="2" t="s">
        <v>42</v>
      </c>
      <c r="F262" s="2" t="s">
        <v>1976</v>
      </c>
      <c r="G262" s="2" t="s">
        <v>1977</v>
      </c>
      <c r="H262" s="2" t="s">
        <v>1322</v>
      </c>
      <c r="I262" s="2">
        <v>6</v>
      </c>
      <c r="J262" s="2" t="s">
        <v>14</v>
      </c>
      <c r="K262" s="2" t="s">
        <v>712</v>
      </c>
      <c r="L262" s="2" t="s">
        <v>712</v>
      </c>
      <c r="M262" s="2" t="s">
        <v>1978</v>
      </c>
      <c r="N262" s="2" t="s">
        <v>364</v>
      </c>
      <c r="O262" s="2" t="s">
        <v>19</v>
      </c>
      <c r="P262" s="2" t="s">
        <v>365</v>
      </c>
      <c r="Q262" s="2" t="s">
        <v>509</v>
      </c>
      <c r="R262" s="2">
        <v>5</v>
      </c>
      <c r="S262" s="2">
        <v>47034.37</v>
      </c>
      <c r="T262" s="2">
        <v>0</v>
      </c>
      <c r="U262" s="2">
        <v>235171.85</v>
      </c>
      <c r="V262" s="2">
        <v>119254.92</v>
      </c>
      <c r="W262" s="2">
        <v>115916.93</v>
      </c>
      <c r="X262" s="2">
        <v>49.29</v>
      </c>
      <c r="Y262" s="2">
        <v>99</v>
      </c>
      <c r="Z262" s="2" t="s">
        <v>47</v>
      </c>
      <c r="AA262" s="2" t="s">
        <v>100</v>
      </c>
      <c r="AB262" s="2" t="s">
        <v>101</v>
      </c>
      <c r="AC262" s="2">
        <v>5</v>
      </c>
    </row>
    <row r="263" spans="1:29" x14ac:dyDescent="0.3">
      <c r="A263" s="3" t="s">
        <v>1979</v>
      </c>
      <c r="B263" s="3" t="s">
        <v>1980</v>
      </c>
      <c r="C263" s="3" t="s">
        <v>1981</v>
      </c>
      <c r="D263" s="3" t="s">
        <v>1982</v>
      </c>
      <c r="E263" s="3" t="s">
        <v>26</v>
      </c>
      <c r="F263" s="3" t="s">
        <v>1983</v>
      </c>
      <c r="G263" s="3" t="s">
        <v>1984</v>
      </c>
      <c r="H263" s="3" t="s">
        <v>1985</v>
      </c>
      <c r="I263" s="3">
        <v>5</v>
      </c>
      <c r="J263" s="3" t="s">
        <v>22</v>
      </c>
      <c r="K263" s="3" t="s">
        <v>254</v>
      </c>
      <c r="L263" s="3" t="s">
        <v>254</v>
      </c>
      <c r="M263" s="3" t="s">
        <v>1986</v>
      </c>
      <c r="N263" s="3" t="s">
        <v>592</v>
      </c>
      <c r="O263" s="3" t="s">
        <v>21</v>
      </c>
      <c r="P263" s="3" t="s">
        <v>206</v>
      </c>
      <c r="Q263" s="3" t="s">
        <v>114</v>
      </c>
      <c r="R263" s="3">
        <v>5</v>
      </c>
      <c r="S263" s="3">
        <v>10813.85</v>
      </c>
      <c r="T263" s="3">
        <v>30</v>
      </c>
      <c r="U263" s="3">
        <v>37848.47</v>
      </c>
      <c r="V263" s="3">
        <v>22715.05</v>
      </c>
      <c r="W263" s="3">
        <v>15133.42</v>
      </c>
      <c r="X263" s="3">
        <v>39.979999999999997</v>
      </c>
      <c r="Y263" s="3">
        <v>29</v>
      </c>
      <c r="Z263" s="3" t="s">
        <v>40</v>
      </c>
      <c r="AA263" s="3" t="s">
        <v>672</v>
      </c>
      <c r="AB263" s="3" t="s">
        <v>101</v>
      </c>
      <c r="AC263" s="3"/>
    </row>
    <row r="264" spans="1:29" x14ac:dyDescent="0.3">
      <c r="A264" s="2" t="s">
        <v>1987</v>
      </c>
      <c r="B264" s="2" t="s">
        <v>1988</v>
      </c>
      <c r="C264" s="2" t="s">
        <v>1989</v>
      </c>
      <c r="D264" s="2" t="s">
        <v>1990</v>
      </c>
      <c r="E264" s="2" t="s">
        <v>18</v>
      </c>
      <c r="F264" s="2" t="s">
        <v>426</v>
      </c>
      <c r="G264" s="2" t="s">
        <v>191</v>
      </c>
      <c r="H264" s="2" t="s">
        <v>1264</v>
      </c>
      <c r="I264" s="2">
        <v>5</v>
      </c>
      <c r="J264" s="2" t="s">
        <v>39</v>
      </c>
      <c r="K264" s="2" t="s">
        <v>314</v>
      </c>
      <c r="L264" s="2" t="s">
        <v>314</v>
      </c>
      <c r="M264" s="2" t="s">
        <v>1991</v>
      </c>
      <c r="N264" s="2" t="s">
        <v>805</v>
      </c>
      <c r="O264" s="2" t="s">
        <v>28</v>
      </c>
      <c r="P264" s="2" t="s">
        <v>151</v>
      </c>
      <c r="Q264" s="2" t="s">
        <v>246</v>
      </c>
      <c r="R264" s="2">
        <v>4</v>
      </c>
      <c r="S264" s="2">
        <v>36569.370000000003</v>
      </c>
      <c r="T264" s="2">
        <v>25</v>
      </c>
      <c r="U264" s="2">
        <v>109708.11</v>
      </c>
      <c r="V264" s="2">
        <v>70356.77</v>
      </c>
      <c r="W264" s="2">
        <v>39351.339999999997</v>
      </c>
      <c r="X264" s="2">
        <v>35.869999999999997</v>
      </c>
      <c r="Y264" s="2">
        <v>149</v>
      </c>
      <c r="Z264" s="2" t="s">
        <v>48</v>
      </c>
      <c r="AA264" s="2" t="s">
        <v>275</v>
      </c>
      <c r="AB264" s="2" t="s">
        <v>101</v>
      </c>
      <c r="AC264" s="2"/>
    </row>
    <row r="265" spans="1:29" x14ac:dyDescent="0.3">
      <c r="A265" s="3" t="s">
        <v>1992</v>
      </c>
      <c r="B265" s="3" t="s">
        <v>1993</v>
      </c>
      <c r="C265" s="3" t="s">
        <v>603</v>
      </c>
      <c r="D265" s="3" t="s">
        <v>1994</v>
      </c>
      <c r="E265" s="3" t="s">
        <v>33</v>
      </c>
      <c r="F265" s="3" t="s">
        <v>1995</v>
      </c>
      <c r="G265" s="3" t="s">
        <v>1996</v>
      </c>
      <c r="H265" s="3" t="s">
        <v>1997</v>
      </c>
      <c r="I265" s="3">
        <v>4</v>
      </c>
      <c r="J265" s="3" t="s">
        <v>29</v>
      </c>
      <c r="K265" s="3" t="s">
        <v>427</v>
      </c>
      <c r="L265" s="3" t="s">
        <v>1081</v>
      </c>
      <c r="M265" s="3" t="s">
        <v>1998</v>
      </c>
      <c r="N265" s="3" t="s">
        <v>112</v>
      </c>
      <c r="O265" s="3" t="s">
        <v>27</v>
      </c>
      <c r="P265" s="3" t="s">
        <v>113</v>
      </c>
      <c r="Q265" s="3" t="s">
        <v>608</v>
      </c>
      <c r="R265" s="3">
        <v>5</v>
      </c>
      <c r="S265" s="3">
        <v>25809.87</v>
      </c>
      <c r="T265" s="3">
        <v>10</v>
      </c>
      <c r="U265" s="3">
        <v>116144.41</v>
      </c>
      <c r="V265" s="3">
        <v>53055.519999999997</v>
      </c>
      <c r="W265" s="3">
        <v>63088.89</v>
      </c>
      <c r="X265" s="3">
        <v>54.32</v>
      </c>
      <c r="Y265" s="3">
        <v>49</v>
      </c>
      <c r="Z265" s="3" t="s">
        <v>47</v>
      </c>
      <c r="AA265" s="3" t="s">
        <v>672</v>
      </c>
      <c r="AB265" s="3" t="s">
        <v>101</v>
      </c>
      <c r="AC265" s="3"/>
    </row>
    <row r="266" spans="1:29" x14ac:dyDescent="0.3">
      <c r="A266" s="2" t="s">
        <v>1999</v>
      </c>
      <c r="B266" s="2" t="s">
        <v>1943</v>
      </c>
      <c r="C266" s="2" t="s">
        <v>1261</v>
      </c>
      <c r="D266" s="2" t="s">
        <v>2000</v>
      </c>
      <c r="E266" s="2" t="s">
        <v>33</v>
      </c>
      <c r="F266" s="2" t="s">
        <v>1072</v>
      </c>
      <c r="G266" s="2" t="s">
        <v>2001</v>
      </c>
      <c r="H266" s="2" t="s">
        <v>2002</v>
      </c>
      <c r="I266" s="2">
        <v>7</v>
      </c>
      <c r="J266" s="2" t="s">
        <v>14</v>
      </c>
      <c r="K266" s="2" t="s">
        <v>183</v>
      </c>
      <c r="L266" s="2" t="s">
        <v>183</v>
      </c>
      <c r="M266" s="2" t="s">
        <v>1908</v>
      </c>
      <c r="N266" s="2" t="s">
        <v>964</v>
      </c>
      <c r="O266" s="2" t="s">
        <v>13</v>
      </c>
      <c r="P266" s="2" t="s">
        <v>98</v>
      </c>
      <c r="Q266" s="2" t="s">
        <v>287</v>
      </c>
      <c r="R266" s="2">
        <v>1</v>
      </c>
      <c r="S266" s="2">
        <v>6641.2</v>
      </c>
      <c r="T266" s="2">
        <v>25</v>
      </c>
      <c r="U266" s="2">
        <v>4980.8999999999996</v>
      </c>
      <c r="V266" s="2">
        <v>2820.53</v>
      </c>
      <c r="W266" s="2">
        <v>2160.37</v>
      </c>
      <c r="X266" s="2">
        <v>43.37</v>
      </c>
      <c r="Y266" s="2">
        <v>29</v>
      </c>
      <c r="Z266" s="2" t="s">
        <v>15</v>
      </c>
      <c r="AA266" s="2" t="s">
        <v>100</v>
      </c>
      <c r="AB266" s="2" t="s">
        <v>101</v>
      </c>
      <c r="AC266" s="2">
        <v>4</v>
      </c>
    </row>
    <row r="267" spans="1:29" x14ac:dyDescent="0.3">
      <c r="A267" s="3" t="s">
        <v>2003</v>
      </c>
      <c r="B267" s="3" t="s">
        <v>2004</v>
      </c>
      <c r="C267" s="3" t="s">
        <v>1880</v>
      </c>
      <c r="D267" s="3" t="s">
        <v>2005</v>
      </c>
      <c r="E267" s="3" t="s">
        <v>18</v>
      </c>
      <c r="F267" s="3" t="s">
        <v>2006</v>
      </c>
      <c r="G267" s="3" t="s">
        <v>2007</v>
      </c>
      <c r="H267" s="3" t="s">
        <v>2008</v>
      </c>
      <c r="I267" s="3">
        <v>4</v>
      </c>
      <c r="J267" s="3" t="s">
        <v>29</v>
      </c>
      <c r="K267" s="3" t="s">
        <v>148</v>
      </c>
      <c r="L267" s="3" t="s">
        <v>148</v>
      </c>
      <c r="M267" s="3" t="s">
        <v>2009</v>
      </c>
      <c r="N267" s="3" t="s">
        <v>125</v>
      </c>
      <c r="O267" s="3" t="s">
        <v>21</v>
      </c>
      <c r="P267" s="3" t="s">
        <v>126</v>
      </c>
      <c r="Q267" s="3" t="s">
        <v>509</v>
      </c>
      <c r="R267" s="3">
        <v>1</v>
      </c>
      <c r="S267" s="3">
        <v>17799.75</v>
      </c>
      <c r="T267" s="3">
        <v>30</v>
      </c>
      <c r="U267" s="3">
        <v>12459.82</v>
      </c>
      <c r="V267" s="3">
        <v>6807.18</v>
      </c>
      <c r="W267" s="3">
        <v>5652.64</v>
      </c>
      <c r="X267" s="3">
        <v>45.37</v>
      </c>
      <c r="Y267" s="3">
        <v>0</v>
      </c>
      <c r="Z267" s="3" t="s">
        <v>23</v>
      </c>
      <c r="AA267" s="3" t="s">
        <v>100</v>
      </c>
      <c r="AB267" s="3" t="s">
        <v>101</v>
      </c>
      <c r="AC267" s="3"/>
    </row>
    <row r="268" spans="1:29" x14ac:dyDescent="0.3">
      <c r="A268" s="2" t="s">
        <v>2010</v>
      </c>
      <c r="B268" s="2" t="s">
        <v>2011</v>
      </c>
      <c r="C268" s="2" t="s">
        <v>300</v>
      </c>
      <c r="D268" s="2" t="s">
        <v>2012</v>
      </c>
      <c r="E268" s="2" t="s">
        <v>18</v>
      </c>
      <c r="F268" s="2" t="s">
        <v>1601</v>
      </c>
      <c r="G268" s="2" t="s">
        <v>2013</v>
      </c>
      <c r="H268" s="2" t="s">
        <v>1255</v>
      </c>
      <c r="I268" s="2">
        <v>6</v>
      </c>
      <c r="J268" s="2" t="s">
        <v>29</v>
      </c>
      <c r="K268" s="2" t="s">
        <v>427</v>
      </c>
      <c r="L268" s="2" t="s">
        <v>1871</v>
      </c>
      <c r="M268" s="2" t="s">
        <v>2014</v>
      </c>
      <c r="N268" s="2" t="s">
        <v>438</v>
      </c>
      <c r="O268" s="2" t="s">
        <v>13</v>
      </c>
      <c r="P268" s="2" t="s">
        <v>228</v>
      </c>
      <c r="Q268" s="2" t="s">
        <v>400</v>
      </c>
      <c r="R268" s="2">
        <v>3</v>
      </c>
      <c r="S268" s="2">
        <v>44622.47</v>
      </c>
      <c r="T268" s="2">
        <v>0</v>
      </c>
      <c r="U268" s="2">
        <v>133867.41</v>
      </c>
      <c r="V268" s="2">
        <v>91292.62</v>
      </c>
      <c r="W268" s="2">
        <v>42574.79</v>
      </c>
      <c r="X268" s="2">
        <v>31.8</v>
      </c>
      <c r="Y268" s="2">
        <v>199</v>
      </c>
      <c r="Z268" s="2" t="s">
        <v>40</v>
      </c>
      <c r="AA268" s="2" t="s">
        <v>100</v>
      </c>
      <c r="AB268" s="2" t="s">
        <v>101</v>
      </c>
      <c r="AC268" s="2">
        <v>3</v>
      </c>
    </row>
    <row r="269" spans="1:29" x14ac:dyDescent="0.3">
      <c r="A269" s="3" t="s">
        <v>2015</v>
      </c>
      <c r="B269" s="3" t="s">
        <v>2016</v>
      </c>
      <c r="C269" s="3" t="s">
        <v>1918</v>
      </c>
      <c r="D269" s="3" t="s">
        <v>2017</v>
      </c>
      <c r="E269" s="3" t="s">
        <v>42</v>
      </c>
      <c r="F269" s="3" t="s">
        <v>556</v>
      </c>
      <c r="G269" s="3" t="s">
        <v>1712</v>
      </c>
      <c r="H269" s="3" t="s">
        <v>929</v>
      </c>
      <c r="I269" s="3">
        <v>2</v>
      </c>
      <c r="J269" s="3" t="s">
        <v>29</v>
      </c>
      <c r="K269" s="3" t="s">
        <v>160</v>
      </c>
      <c r="L269" s="3" t="s">
        <v>559</v>
      </c>
      <c r="M269" s="3" t="s">
        <v>2018</v>
      </c>
      <c r="N269" s="3" t="s">
        <v>1380</v>
      </c>
      <c r="O269" s="3" t="s">
        <v>28</v>
      </c>
      <c r="P269" s="3" t="s">
        <v>137</v>
      </c>
      <c r="Q269" s="3" t="s">
        <v>138</v>
      </c>
      <c r="R269" s="3">
        <v>2</v>
      </c>
      <c r="S269" s="3">
        <v>41456.800000000003</v>
      </c>
      <c r="T269" s="3">
        <v>15</v>
      </c>
      <c r="U269" s="3">
        <v>70476.56</v>
      </c>
      <c r="V269" s="3">
        <v>48252.6</v>
      </c>
      <c r="W269" s="3">
        <v>22223.96</v>
      </c>
      <c r="X269" s="3">
        <v>31.53</v>
      </c>
      <c r="Y269" s="3">
        <v>149</v>
      </c>
      <c r="Z269" s="3" t="s">
        <v>40</v>
      </c>
      <c r="AA269" s="3" t="s">
        <v>100</v>
      </c>
      <c r="AB269" s="3" t="s">
        <v>101</v>
      </c>
      <c r="AC269" s="3">
        <v>3</v>
      </c>
    </row>
    <row r="270" spans="1:29" x14ac:dyDescent="0.3">
      <c r="A270" s="2" t="s">
        <v>2019</v>
      </c>
      <c r="B270" s="2" t="s">
        <v>2020</v>
      </c>
      <c r="C270" s="2" t="s">
        <v>1484</v>
      </c>
      <c r="D270" s="2" t="s">
        <v>2021</v>
      </c>
      <c r="E270" s="2" t="s">
        <v>33</v>
      </c>
      <c r="F270" s="2" t="s">
        <v>2022</v>
      </c>
      <c r="G270" s="2" t="s">
        <v>243</v>
      </c>
      <c r="H270" s="2" t="s">
        <v>2023</v>
      </c>
      <c r="I270" s="2">
        <v>7</v>
      </c>
      <c r="J270" s="2" t="s">
        <v>29</v>
      </c>
      <c r="K270" s="2" t="s">
        <v>148</v>
      </c>
      <c r="L270" s="2" t="s">
        <v>148</v>
      </c>
      <c r="M270" s="2" t="s">
        <v>2024</v>
      </c>
      <c r="N270" s="2" t="s">
        <v>306</v>
      </c>
      <c r="O270" s="2" t="s">
        <v>21</v>
      </c>
      <c r="P270" s="2" t="s">
        <v>126</v>
      </c>
      <c r="Q270" s="2" t="s">
        <v>287</v>
      </c>
      <c r="R270" s="2">
        <v>1</v>
      </c>
      <c r="S270" s="2">
        <v>743.8</v>
      </c>
      <c r="T270" s="2">
        <v>0</v>
      </c>
      <c r="U270" s="2">
        <v>743.8</v>
      </c>
      <c r="V270" s="2">
        <v>434.13</v>
      </c>
      <c r="W270" s="2">
        <v>309.67</v>
      </c>
      <c r="X270" s="2">
        <v>41.63</v>
      </c>
      <c r="Y270" s="2">
        <v>0</v>
      </c>
      <c r="Z270" s="2" t="s">
        <v>47</v>
      </c>
      <c r="AA270" s="2" t="s">
        <v>100</v>
      </c>
      <c r="AB270" s="2" t="s">
        <v>101</v>
      </c>
      <c r="AC270" s="2">
        <v>2</v>
      </c>
    </row>
    <row r="271" spans="1:29" x14ac:dyDescent="0.3">
      <c r="A271" s="3" t="s">
        <v>2025</v>
      </c>
      <c r="B271" s="3" t="s">
        <v>2026</v>
      </c>
      <c r="C271" s="3" t="s">
        <v>1246</v>
      </c>
      <c r="D271" s="3" t="s">
        <v>2027</v>
      </c>
      <c r="E271" s="3" t="s">
        <v>18</v>
      </c>
      <c r="F271" s="3" t="s">
        <v>1413</v>
      </c>
      <c r="G271" s="3" t="s">
        <v>2028</v>
      </c>
      <c r="H271" s="3" t="s">
        <v>1352</v>
      </c>
      <c r="I271" s="3">
        <v>8</v>
      </c>
      <c r="J271" s="3" t="s">
        <v>22</v>
      </c>
      <c r="K271" s="3" t="s">
        <v>443</v>
      </c>
      <c r="L271" s="3" t="s">
        <v>498</v>
      </c>
      <c r="M271" s="3" t="s">
        <v>582</v>
      </c>
      <c r="N271" s="3" t="s">
        <v>217</v>
      </c>
      <c r="O271" s="3" t="s">
        <v>21</v>
      </c>
      <c r="P271" s="3" t="s">
        <v>206</v>
      </c>
      <c r="Q271" s="3" t="s">
        <v>287</v>
      </c>
      <c r="R271" s="3">
        <v>4</v>
      </c>
      <c r="S271" s="3">
        <v>22775.31</v>
      </c>
      <c r="T271" s="3">
        <v>5</v>
      </c>
      <c r="U271" s="3">
        <v>86546.18</v>
      </c>
      <c r="V271" s="3">
        <v>48370.51</v>
      </c>
      <c r="W271" s="3">
        <v>38175.67</v>
      </c>
      <c r="X271" s="3">
        <v>44.11</v>
      </c>
      <c r="Y271" s="3">
        <v>49</v>
      </c>
      <c r="Z271" s="3" t="s">
        <v>30</v>
      </c>
      <c r="AA271" s="3" t="s">
        <v>100</v>
      </c>
      <c r="AB271" s="3" t="s">
        <v>101</v>
      </c>
      <c r="AC271" s="3">
        <v>1</v>
      </c>
    </row>
    <row r="272" spans="1:29" x14ac:dyDescent="0.3">
      <c r="A272" s="2" t="s">
        <v>2029</v>
      </c>
      <c r="B272" s="2" t="s">
        <v>2030</v>
      </c>
      <c r="C272" s="2" t="s">
        <v>1797</v>
      </c>
      <c r="D272" s="2" t="s">
        <v>2031</v>
      </c>
      <c r="E272" s="2" t="s">
        <v>26</v>
      </c>
      <c r="F272" s="2" t="s">
        <v>2032</v>
      </c>
      <c r="G272" s="2" t="s">
        <v>1408</v>
      </c>
      <c r="H272" s="2" t="s">
        <v>404</v>
      </c>
      <c r="I272" s="2">
        <v>7</v>
      </c>
      <c r="J272" s="2" t="s">
        <v>29</v>
      </c>
      <c r="K272" s="2" t="s">
        <v>834</v>
      </c>
      <c r="L272" s="2" t="s">
        <v>1000</v>
      </c>
      <c r="M272" s="2" t="s">
        <v>2033</v>
      </c>
      <c r="N272" s="2" t="s">
        <v>964</v>
      </c>
      <c r="O272" s="2" t="s">
        <v>13</v>
      </c>
      <c r="P272" s="2" t="s">
        <v>98</v>
      </c>
      <c r="Q272" s="2" t="s">
        <v>127</v>
      </c>
      <c r="R272" s="2">
        <v>2</v>
      </c>
      <c r="S272" s="2">
        <v>17175.43</v>
      </c>
      <c r="T272" s="2">
        <v>25</v>
      </c>
      <c r="U272" s="2">
        <v>25763.15</v>
      </c>
      <c r="V272" s="2">
        <v>17802.34</v>
      </c>
      <c r="W272" s="2">
        <v>7960.81</v>
      </c>
      <c r="X272" s="2">
        <v>30.9</v>
      </c>
      <c r="Y272" s="2">
        <v>99</v>
      </c>
      <c r="Z272" s="2" t="s">
        <v>15</v>
      </c>
      <c r="AA272" s="2" t="s">
        <v>275</v>
      </c>
      <c r="AB272" s="2" t="s">
        <v>101</v>
      </c>
      <c r="AC272" s="2"/>
    </row>
    <row r="273" spans="1:29" x14ac:dyDescent="0.3">
      <c r="A273" s="3" t="s">
        <v>2034</v>
      </c>
      <c r="B273" s="3" t="s">
        <v>2035</v>
      </c>
      <c r="C273" s="3" t="s">
        <v>1217</v>
      </c>
      <c r="D273" s="3" t="s">
        <v>2036</v>
      </c>
      <c r="E273" s="3" t="s">
        <v>33</v>
      </c>
      <c r="F273" s="3" t="s">
        <v>682</v>
      </c>
      <c r="G273" s="3" t="s">
        <v>702</v>
      </c>
      <c r="H273" s="3" t="s">
        <v>331</v>
      </c>
      <c r="I273" s="3">
        <v>4</v>
      </c>
      <c r="J273" s="3" t="s">
        <v>14</v>
      </c>
      <c r="K273" s="3" t="s">
        <v>712</v>
      </c>
      <c r="L273" s="3" t="s">
        <v>712</v>
      </c>
      <c r="M273" s="3" t="s">
        <v>2037</v>
      </c>
      <c r="N273" s="3" t="s">
        <v>616</v>
      </c>
      <c r="O273" s="3" t="s">
        <v>21</v>
      </c>
      <c r="P273" s="3" t="s">
        <v>206</v>
      </c>
      <c r="Q273" s="3" t="s">
        <v>355</v>
      </c>
      <c r="R273" s="3">
        <v>1</v>
      </c>
      <c r="S273" s="3">
        <v>23186.77</v>
      </c>
      <c r="T273" s="3">
        <v>10</v>
      </c>
      <c r="U273" s="3">
        <v>20868.09</v>
      </c>
      <c r="V273" s="3">
        <v>12617.04</v>
      </c>
      <c r="W273" s="3">
        <v>8251.0499999999993</v>
      </c>
      <c r="X273" s="3">
        <v>39.54</v>
      </c>
      <c r="Y273" s="3">
        <v>149</v>
      </c>
      <c r="Z273" s="3" t="s">
        <v>30</v>
      </c>
      <c r="AA273" s="3" t="s">
        <v>100</v>
      </c>
      <c r="AB273" s="3" t="s">
        <v>101</v>
      </c>
      <c r="AC273" s="3"/>
    </row>
    <row r="274" spans="1:29" x14ac:dyDescent="0.3">
      <c r="A274" s="2" t="s">
        <v>2038</v>
      </c>
      <c r="B274" s="2" t="s">
        <v>2039</v>
      </c>
      <c r="C274" s="2" t="s">
        <v>1364</v>
      </c>
      <c r="D274" s="2" t="s">
        <v>2040</v>
      </c>
      <c r="E274" s="2" t="s">
        <v>33</v>
      </c>
      <c r="F274" s="2" t="s">
        <v>1816</v>
      </c>
      <c r="G274" s="2" t="s">
        <v>2041</v>
      </c>
      <c r="H274" s="2" t="s">
        <v>669</v>
      </c>
      <c r="I274" s="2">
        <v>5</v>
      </c>
      <c r="J274" s="2" t="s">
        <v>39</v>
      </c>
      <c r="K274" s="2" t="s">
        <v>225</v>
      </c>
      <c r="L274" s="2" t="s">
        <v>225</v>
      </c>
      <c r="M274" s="2" t="s">
        <v>2042</v>
      </c>
      <c r="N274" s="2" t="s">
        <v>623</v>
      </c>
      <c r="O274" s="2" t="s">
        <v>19</v>
      </c>
      <c r="P274" s="2" t="s">
        <v>297</v>
      </c>
      <c r="Q274" s="2" t="s">
        <v>114</v>
      </c>
      <c r="R274" s="2">
        <v>1</v>
      </c>
      <c r="S274" s="2">
        <v>33110.519999999997</v>
      </c>
      <c r="T274" s="2">
        <v>25</v>
      </c>
      <c r="U274" s="2">
        <v>24832.89</v>
      </c>
      <c r="V274" s="2">
        <v>13849.04</v>
      </c>
      <c r="W274" s="2">
        <v>10983.85</v>
      </c>
      <c r="X274" s="2">
        <v>44.23</v>
      </c>
      <c r="Y274" s="2">
        <v>0</v>
      </c>
      <c r="Z274" s="2" t="s">
        <v>30</v>
      </c>
      <c r="AA274" s="2" t="s">
        <v>100</v>
      </c>
      <c r="AB274" s="2" t="s">
        <v>101</v>
      </c>
      <c r="AC274" s="2"/>
    </row>
    <row r="275" spans="1:29" x14ac:dyDescent="0.3">
      <c r="A275" s="3" t="s">
        <v>2043</v>
      </c>
      <c r="B275" s="3" t="s">
        <v>2044</v>
      </c>
      <c r="C275" s="3" t="s">
        <v>1226</v>
      </c>
      <c r="D275" s="3" t="s">
        <v>2045</v>
      </c>
      <c r="E275" s="3" t="s">
        <v>18</v>
      </c>
      <c r="F275" s="3" t="s">
        <v>2046</v>
      </c>
      <c r="G275" s="3" t="s">
        <v>2047</v>
      </c>
      <c r="H275" s="3" t="s">
        <v>2048</v>
      </c>
      <c r="I275" s="3">
        <v>6</v>
      </c>
      <c r="J275" s="3" t="s">
        <v>39</v>
      </c>
      <c r="K275" s="3" t="s">
        <v>225</v>
      </c>
      <c r="L275" s="3" t="s">
        <v>225</v>
      </c>
      <c r="M275" s="3" t="s">
        <v>2049</v>
      </c>
      <c r="N275" s="3" t="s">
        <v>1051</v>
      </c>
      <c r="O275" s="3" t="s">
        <v>28</v>
      </c>
      <c r="P275" s="3" t="s">
        <v>151</v>
      </c>
      <c r="Q275" s="3" t="s">
        <v>218</v>
      </c>
      <c r="R275" s="3">
        <v>2</v>
      </c>
      <c r="S275" s="3">
        <v>27375.14</v>
      </c>
      <c r="T275" s="3">
        <v>25</v>
      </c>
      <c r="U275" s="3">
        <v>41062.71</v>
      </c>
      <c r="V275" s="3">
        <v>21767.52</v>
      </c>
      <c r="W275" s="3">
        <v>19295.189999999999</v>
      </c>
      <c r="X275" s="3">
        <v>46.99</v>
      </c>
      <c r="Y275" s="3">
        <v>199</v>
      </c>
      <c r="Z275" s="3" t="s">
        <v>47</v>
      </c>
      <c r="AA275" s="3" t="s">
        <v>139</v>
      </c>
      <c r="AB275" s="3" t="s">
        <v>140</v>
      </c>
      <c r="AC275" s="3"/>
    </row>
    <row r="276" spans="1:29" x14ac:dyDescent="0.3">
      <c r="A276" s="2" t="s">
        <v>2050</v>
      </c>
      <c r="B276" s="2" t="s">
        <v>2051</v>
      </c>
      <c r="C276" s="2" t="s">
        <v>847</v>
      </c>
      <c r="D276" s="2" t="s">
        <v>2052</v>
      </c>
      <c r="E276" s="2" t="s">
        <v>33</v>
      </c>
      <c r="F276" s="2" t="s">
        <v>590</v>
      </c>
      <c r="G276" s="2" t="s">
        <v>754</v>
      </c>
      <c r="H276" s="2" t="s">
        <v>2053</v>
      </c>
      <c r="I276" s="2">
        <v>7</v>
      </c>
      <c r="J276" s="2" t="s">
        <v>39</v>
      </c>
      <c r="K276" s="2" t="s">
        <v>324</v>
      </c>
      <c r="L276" s="2" t="s">
        <v>1422</v>
      </c>
      <c r="M276" s="2" t="s">
        <v>2054</v>
      </c>
      <c r="N276" s="2" t="s">
        <v>551</v>
      </c>
      <c r="O276" s="2" t="s">
        <v>13</v>
      </c>
      <c r="P276" s="2" t="s">
        <v>98</v>
      </c>
      <c r="Q276" s="2" t="s">
        <v>114</v>
      </c>
      <c r="R276" s="2">
        <v>1</v>
      </c>
      <c r="S276" s="2">
        <v>42464.160000000003</v>
      </c>
      <c r="T276" s="2">
        <v>5</v>
      </c>
      <c r="U276" s="2">
        <v>40340.949999999997</v>
      </c>
      <c r="V276" s="2">
        <v>25808.18</v>
      </c>
      <c r="W276" s="2">
        <v>14532.77</v>
      </c>
      <c r="X276" s="2">
        <v>36.020000000000003</v>
      </c>
      <c r="Y276" s="2">
        <v>199</v>
      </c>
      <c r="Z276" s="2" t="s">
        <v>30</v>
      </c>
      <c r="AA276" s="2" t="s">
        <v>100</v>
      </c>
      <c r="AB276" s="2" t="s">
        <v>101</v>
      </c>
      <c r="AC276" s="2">
        <v>2</v>
      </c>
    </row>
    <row r="277" spans="1:29" x14ac:dyDescent="0.3">
      <c r="A277" s="3" t="s">
        <v>2055</v>
      </c>
      <c r="B277" s="3" t="s">
        <v>2056</v>
      </c>
      <c r="C277" s="3" t="s">
        <v>1326</v>
      </c>
      <c r="D277" s="3" t="s">
        <v>2057</v>
      </c>
      <c r="E277" s="3" t="s">
        <v>33</v>
      </c>
      <c r="F277" s="3" t="s">
        <v>1513</v>
      </c>
      <c r="G277" s="3" t="s">
        <v>2058</v>
      </c>
      <c r="H277" s="3" t="s">
        <v>1057</v>
      </c>
      <c r="I277" s="3">
        <v>6</v>
      </c>
      <c r="J277" s="3" t="s">
        <v>39</v>
      </c>
      <c r="K277" s="3" t="s">
        <v>324</v>
      </c>
      <c r="L277" s="3" t="s">
        <v>325</v>
      </c>
      <c r="M277" s="3" t="s">
        <v>2059</v>
      </c>
      <c r="N277" s="3" t="s">
        <v>97</v>
      </c>
      <c r="O277" s="3" t="s">
        <v>13</v>
      </c>
      <c r="P277" s="3" t="s">
        <v>98</v>
      </c>
      <c r="Q277" s="3" t="s">
        <v>197</v>
      </c>
      <c r="R277" s="3">
        <v>4</v>
      </c>
      <c r="S277" s="3">
        <v>39843.06</v>
      </c>
      <c r="T277" s="3">
        <v>25</v>
      </c>
      <c r="U277" s="3">
        <v>119529.18</v>
      </c>
      <c r="V277" s="3">
        <v>81402.740000000005</v>
      </c>
      <c r="W277" s="3">
        <v>38126.44</v>
      </c>
      <c r="X277" s="3">
        <v>31.9</v>
      </c>
      <c r="Y277" s="3">
        <v>149</v>
      </c>
      <c r="Z277" s="3" t="s">
        <v>15</v>
      </c>
      <c r="AA277" s="3" t="s">
        <v>100</v>
      </c>
      <c r="AB277" s="3" t="s">
        <v>101</v>
      </c>
      <c r="AC277" s="3"/>
    </row>
    <row r="278" spans="1:29" x14ac:dyDescent="0.3">
      <c r="A278" s="2" t="s">
        <v>2060</v>
      </c>
      <c r="B278" s="2" t="s">
        <v>2061</v>
      </c>
      <c r="C278" s="2" t="s">
        <v>1665</v>
      </c>
      <c r="D278" s="2" t="s">
        <v>2062</v>
      </c>
      <c r="E278" s="2" t="s">
        <v>33</v>
      </c>
      <c r="F278" s="2" t="s">
        <v>997</v>
      </c>
      <c r="G278" s="2" t="s">
        <v>998</v>
      </c>
      <c r="H278" s="2" t="s">
        <v>2063</v>
      </c>
      <c r="I278" s="2">
        <v>6</v>
      </c>
      <c r="J278" s="2" t="s">
        <v>14</v>
      </c>
      <c r="K278" s="2" t="s">
        <v>712</v>
      </c>
      <c r="L278" s="2" t="s">
        <v>712</v>
      </c>
      <c r="M278" s="2" t="s">
        <v>2064</v>
      </c>
      <c r="N278" s="2" t="s">
        <v>1802</v>
      </c>
      <c r="O278" s="2" t="s">
        <v>28</v>
      </c>
      <c r="P278" s="2" t="s">
        <v>137</v>
      </c>
      <c r="Q278" s="2" t="s">
        <v>127</v>
      </c>
      <c r="R278" s="2">
        <v>1</v>
      </c>
      <c r="S278" s="2">
        <v>33958.71</v>
      </c>
      <c r="T278" s="2">
        <v>20</v>
      </c>
      <c r="U278" s="2">
        <v>27166.97</v>
      </c>
      <c r="V278" s="2">
        <v>14535.05</v>
      </c>
      <c r="W278" s="2">
        <v>12631.92</v>
      </c>
      <c r="X278" s="2">
        <v>46.5</v>
      </c>
      <c r="Y278" s="2">
        <v>29</v>
      </c>
      <c r="Z278" s="2" t="s">
        <v>43</v>
      </c>
      <c r="AA278" s="2" t="s">
        <v>100</v>
      </c>
      <c r="AB278" s="2" t="s">
        <v>101</v>
      </c>
      <c r="AC278" s="2">
        <v>4</v>
      </c>
    </row>
    <row r="279" spans="1:29" x14ac:dyDescent="0.3">
      <c r="A279" s="3" t="s">
        <v>2065</v>
      </c>
      <c r="B279" s="3" t="s">
        <v>2066</v>
      </c>
      <c r="C279" s="3" t="s">
        <v>2067</v>
      </c>
      <c r="D279" s="3" t="s">
        <v>2068</v>
      </c>
      <c r="E279" s="3" t="s">
        <v>42</v>
      </c>
      <c r="F279" s="3" t="s">
        <v>1402</v>
      </c>
      <c r="G279" s="3" t="s">
        <v>2069</v>
      </c>
      <c r="H279" s="3" t="s">
        <v>719</v>
      </c>
      <c r="I279" s="3">
        <v>3</v>
      </c>
      <c r="J279" s="3" t="s">
        <v>14</v>
      </c>
      <c r="K279" s="3" t="s">
        <v>712</v>
      </c>
      <c r="L279" s="3" t="s">
        <v>712</v>
      </c>
      <c r="M279" s="3" t="s">
        <v>2070</v>
      </c>
      <c r="N279" s="3" t="s">
        <v>600</v>
      </c>
      <c r="O279" s="3" t="s">
        <v>27</v>
      </c>
      <c r="P279" s="3" t="s">
        <v>175</v>
      </c>
      <c r="Q279" s="3" t="s">
        <v>127</v>
      </c>
      <c r="R279" s="3">
        <v>4</v>
      </c>
      <c r="S279" s="3">
        <v>7910.39</v>
      </c>
      <c r="T279" s="3">
        <v>10</v>
      </c>
      <c r="U279" s="3">
        <v>28477.4</v>
      </c>
      <c r="V279" s="3">
        <v>17648.259999999998</v>
      </c>
      <c r="W279" s="3">
        <v>10829.14</v>
      </c>
      <c r="X279" s="3">
        <v>38.03</v>
      </c>
      <c r="Y279" s="3">
        <v>99</v>
      </c>
      <c r="Z279" s="3" t="s">
        <v>30</v>
      </c>
      <c r="AA279" s="3" t="s">
        <v>275</v>
      </c>
      <c r="AB279" s="3" t="s">
        <v>101</v>
      </c>
      <c r="AC279" s="3"/>
    </row>
    <row r="280" spans="1:29" x14ac:dyDescent="0.3">
      <c r="A280" s="2" t="s">
        <v>2071</v>
      </c>
      <c r="B280" s="2" t="s">
        <v>2072</v>
      </c>
      <c r="C280" s="2" t="s">
        <v>725</v>
      </c>
      <c r="D280" s="2" t="s">
        <v>2073</v>
      </c>
      <c r="E280" s="2" t="s">
        <v>18</v>
      </c>
      <c r="F280" s="2" t="s">
        <v>2074</v>
      </c>
      <c r="G280" s="2" t="s">
        <v>2075</v>
      </c>
      <c r="H280" s="2" t="s">
        <v>2076</v>
      </c>
      <c r="I280" s="2">
        <v>8</v>
      </c>
      <c r="J280" s="2" t="s">
        <v>22</v>
      </c>
      <c r="K280" s="2" t="s">
        <v>122</v>
      </c>
      <c r="L280" s="2" t="s">
        <v>812</v>
      </c>
      <c r="M280" s="2" t="s">
        <v>2077</v>
      </c>
      <c r="N280" s="2" t="s">
        <v>163</v>
      </c>
      <c r="O280" s="2" t="s">
        <v>21</v>
      </c>
      <c r="P280" s="2" t="s">
        <v>126</v>
      </c>
      <c r="Q280" s="2" t="s">
        <v>400</v>
      </c>
      <c r="R280" s="2">
        <v>4</v>
      </c>
      <c r="S280" s="2">
        <v>17103</v>
      </c>
      <c r="T280" s="2">
        <v>25</v>
      </c>
      <c r="U280" s="2">
        <v>51309</v>
      </c>
      <c r="V280" s="2">
        <v>34713.870000000003</v>
      </c>
      <c r="W280" s="2">
        <v>16595.13</v>
      </c>
      <c r="X280" s="2">
        <v>32.340000000000003</v>
      </c>
      <c r="Y280" s="2">
        <v>0</v>
      </c>
      <c r="Z280" s="2" t="s">
        <v>47</v>
      </c>
      <c r="AA280" s="2" t="s">
        <v>275</v>
      </c>
      <c r="AB280" s="2" t="s">
        <v>101</v>
      </c>
      <c r="AC280" s="2"/>
    </row>
    <row r="281" spans="1:29" x14ac:dyDescent="0.3">
      <c r="A281" s="3" t="s">
        <v>2078</v>
      </c>
      <c r="B281" s="3" t="s">
        <v>2079</v>
      </c>
      <c r="C281" s="3" t="s">
        <v>1233</v>
      </c>
      <c r="D281" s="3" t="s">
        <v>2080</v>
      </c>
      <c r="E281" s="3" t="s">
        <v>18</v>
      </c>
      <c r="F281" s="3" t="s">
        <v>1824</v>
      </c>
      <c r="G281" s="3" t="s">
        <v>597</v>
      </c>
      <c r="H281" s="3" t="s">
        <v>2081</v>
      </c>
      <c r="I281" s="3">
        <v>7</v>
      </c>
      <c r="J281" s="3" t="s">
        <v>14</v>
      </c>
      <c r="K281" s="3" t="s">
        <v>215</v>
      </c>
      <c r="L281" s="3" t="s">
        <v>215</v>
      </c>
      <c r="M281" s="3" t="s">
        <v>2082</v>
      </c>
      <c r="N281" s="3" t="s">
        <v>639</v>
      </c>
      <c r="O281" s="3" t="s">
        <v>27</v>
      </c>
      <c r="P281" s="3" t="s">
        <v>175</v>
      </c>
      <c r="Q281" s="3" t="s">
        <v>114</v>
      </c>
      <c r="R281" s="3">
        <v>2</v>
      </c>
      <c r="S281" s="3">
        <v>2119.59</v>
      </c>
      <c r="T281" s="3">
        <v>10</v>
      </c>
      <c r="U281" s="3">
        <v>3815.26</v>
      </c>
      <c r="V281" s="3">
        <v>2316.9299999999998</v>
      </c>
      <c r="W281" s="3">
        <v>1498.33</v>
      </c>
      <c r="X281" s="3">
        <v>39.270000000000003</v>
      </c>
      <c r="Y281" s="3">
        <v>49</v>
      </c>
      <c r="Z281" s="3" t="s">
        <v>48</v>
      </c>
      <c r="AA281" s="3" t="s">
        <v>100</v>
      </c>
      <c r="AB281" s="3" t="s">
        <v>101</v>
      </c>
      <c r="AC281" s="3"/>
    </row>
    <row r="282" spans="1:29" x14ac:dyDescent="0.3">
      <c r="A282" s="2" t="s">
        <v>2083</v>
      </c>
      <c r="B282" s="2" t="s">
        <v>2084</v>
      </c>
      <c r="C282" s="2" t="s">
        <v>619</v>
      </c>
      <c r="D282" s="2" t="s">
        <v>2085</v>
      </c>
      <c r="E282" s="2" t="s">
        <v>42</v>
      </c>
      <c r="F282" s="2" t="s">
        <v>2032</v>
      </c>
      <c r="G282" s="2" t="s">
        <v>2086</v>
      </c>
      <c r="H282" s="2" t="s">
        <v>372</v>
      </c>
      <c r="I282" s="2">
        <v>2</v>
      </c>
      <c r="J282" s="2" t="s">
        <v>29</v>
      </c>
      <c r="K282" s="2" t="s">
        <v>334</v>
      </c>
      <c r="L282" s="2" t="s">
        <v>1073</v>
      </c>
      <c r="M282" s="2" t="s">
        <v>2087</v>
      </c>
      <c r="N282" s="2" t="s">
        <v>639</v>
      </c>
      <c r="O282" s="2" t="s">
        <v>27</v>
      </c>
      <c r="P282" s="2" t="s">
        <v>175</v>
      </c>
      <c r="Q282" s="2" t="s">
        <v>114</v>
      </c>
      <c r="R282" s="2">
        <v>1</v>
      </c>
      <c r="S282" s="2">
        <v>36761.97</v>
      </c>
      <c r="T282" s="2">
        <v>20</v>
      </c>
      <c r="U282" s="2">
        <v>29409.58</v>
      </c>
      <c r="V282" s="2">
        <v>19156.43</v>
      </c>
      <c r="W282" s="2">
        <v>10253.15</v>
      </c>
      <c r="X282" s="2">
        <v>34.86</v>
      </c>
      <c r="Y282" s="2">
        <v>49</v>
      </c>
      <c r="Z282" s="2" t="s">
        <v>48</v>
      </c>
      <c r="AA282" s="2" t="s">
        <v>139</v>
      </c>
      <c r="AB282" s="2" t="s">
        <v>140</v>
      </c>
      <c r="AC282" s="2"/>
    </row>
    <row r="283" spans="1:29" x14ac:dyDescent="0.3">
      <c r="A283" s="3" t="s">
        <v>2088</v>
      </c>
      <c r="B283" s="3" t="s">
        <v>2089</v>
      </c>
      <c r="C283" s="3" t="s">
        <v>2090</v>
      </c>
      <c r="D283" s="3" t="s">
        <v>2091</v>
      </c>
      <c r="E283" s="3" t="s">
        <v>42</v>
      </c>
      <c r="F283" s="3" t="s">
        <v>235</v>
      </c>
      <c r="G283" s="3" t="s">
        <v>2092</v>
      </c>
      <c r="H283" s="3" t="s">
        <v>2093</v>
      </c>
      <c r="I283" s="3">
        <v>7</v>
      </c>
      <c r="J283" s="3" t="s">
        <v>39</v>
      </c>
      <c r="K283" s="3" t="s">
        <v>193</v>
      </c>
      <c r="L283" s="3" t="s">
        <v>193</v>
      </c>
      <c r="M283" s="3" t="s">
        <v>2094</v>
      </c>
      <c r="N283" s="3" t="s">
        <v>475</v>
      </c>
      <c r="O283" s="3" t="s">
        <v>13</v>
      </c>
      <c r="P283" s="3" t="s">
        <v>228</v>
      </c>
      <c r="Q283" s="3" t="s">
        <v>197</v>
      </c>
      <c r="R283" s="3">
        <v>4</v>
      </c>
      <c r="S283" s="3">
        <v>18365.12</v>
      </c>
      <c r="T283" s="3">
        <v>25</v>
      </c>
      <c r="U283" s="3">
        <v>55095.360000000001</v>
      </c>
      <c r="V283" s="3">
        <v>34534.44</v>
      </c>
      <c r="W283" s="3">
        <v>20560.919999999998</v>
      </c>
      <c r="X283" s="3">
        <v>37.32</v>
      </c>
      <c r="Y283" s="3">
        <v>149</v>
      </c>
      <c r="Z283" s="3" t="s">
        <v>43</v>
      </c>
      <c r="AA283" s="3" t="s">
        <v>275</v>
      </c>
      <c r="AB283" s="3" t="s">
        <v>101</v>
      </c>
      <c r="AC283" s="3"/>
    </row>
    <row r="284" spans="1:29" x14ac:dyDescent="0.3">
      <c r="A284" s="2" t="s">
        <v>2095</v>
      </c>
      <c r="B284" s="2" t="s">
        <v>2096</v>
      </c>
      <c r="C284" s="2" t="s">
        <v>2097</v>
      </c>
      <c r="D284" s="2" t="s">
        <v>2098</v>
      </c>
      <c r="E284" s="2" t="s">
        <v>33</v>
      </c>
      <c r="F284" s="2" t="s">
        <v>2099</v>
      </c>
      <c r="G284" s="2" t="s">
        <v>2100</v>
      </c>
      <c r="H284" s="2" t="s">
        <v>2101</v>
      </c>
      <c r="I284" s="2">
        <v>7</v>
      </c>
      <c r="J284" s="2" t="s">
        <v>29</v>
      </c>
      <c r="K284" s="2" t="s">
        <v>427</v>
      </c>
      <c r="L284" s="2" t="s">
        <v>1871</v>
      </c>
      <c r="M284" s="2" t="s">
        <v>2102</v>
      </c>
      <c r="N284" s="2" t="s">
        <v>924</v>
      </c>
      <c r="O284" s="2" t="s">
        <v>13</v>
      </c>
      <c r="P284" s="2" t="s">
        <v>228</v>
      </c>
      <c r="Q284" s="2" t="s">
        <v>218</v>
      </c>
      <c r="R284" s="2">
        <v>1</v>
      </c>
      <c r="S284" s="2">
        <v>3017.78</v>
      </c>
      <c r="T284" s="2">
        <v>15</v>
      </c>
      <c r="U284" s="2">
        <v>2565.11</v>
      </c>
      <c r="V284" s="2">
        <v>1343.61</v>
      </c>
      <c r="W284" s="2">
        <v>1221.5</v>
      </c>
      <c r="X284" s="2">
        <v>47.62</v>
      </c>
      <c r="Y284" s="2">
        <v>199</v>
      </c>
      <c r="Z284" s="2" t="s">
        <v>15</v>
      </c>
      <c r="AA284" s="2" t="s">
        <v>100</v>
      </c>
      <c r="AB284" s="2" t="s">
        <v>101</v>
      </c>
      <c r="AC284" s="2">
        <v>3</v>
      </c>
    </row>
    <row r="285" spans="1:29" x14ac:dyDescent="0.3">
      <c r="A285" s="3" t="s">
        <v>2103</v>
      </c>
      <c r="B285" s="3" t="s">
        <v>2104</v>
      </c>
      <c r="C285" s="3" t="s">
        <v>743</v>
      </c>
      <c r="D285" s="3" t="s">
        <v>2105</v>
      </c>
      <c r="E285" s="3" t="s">
        <v>42</v>
      </c>
      <c r="F285" s="3" t="s">
        <v>2106</v>
      </c>
      <c r="G285" s="3" t="s">
        <v>1026</v>
      </c>
      <c r="H285" s="3" t="s">
        <v>1945</v>
      </c>
      <c r="I285" s="3">
        <v>2</v>
      </c>
      <c r="J285" s="3" t="s">
        <v>29</v>
      </c>
      <c r="K285" s="3" t="s">
        <v>334</v>
      </c>
      <c r="L285" s="3" t="s">
        <v>335</v>
      </c>
      <c r="M285" s="3" t="s">
        <v>2107</v>
      </c>
      <c r="N285" s="3" t="s">
        <v>788</v>
      </c>
      <c r="O285" s="3" t="s">
        <v>27</v>
      </c>
      <c r="P285" s="3" t="s">
        <v>113</v>
      </c>
      <c r="Q285" s="3" t="s">
        <v>509</v>
      </c>
      <c r="R285" s="3">
        <v>3</v>
      </c>
      <c r="S285" s="3">
        <v>19130.14</v>
      </c>
      <c r="T285" s="3">
        <v>25</v>
      </c>
      <c r="U285" s="3">
        <v>43042.82</v>
      </c>
      <c r="V285" s="3">
        <v>22082.400000000001</v>
      </c>
      <c r="W285" s="3">
        <v>20960.419999999998</v>
      </c>
      <c r="X285" s="3">
        <v>48.7</v>
      </c>
      <c r="Y285" s="3">
        <v>49</v>
      </c>
      <c r="Z285" s="3" t="s">
        <v>15</v>
      </c>
      <c r="AA285" s="3" t="s">
        <v>100</v>
      </c>
      <c r="AB285" s="3" t="s">
        <v>101</v>
      </c>
      <c r="AC285" s="3">
        <v>3</v>
      </c>
    </row>
    <row r="286" spans="1:29" x14ac:dyDescent="0.3">
      <c r="A286" s="2" t="s">
        <v>2108</v>
      </c>
      <c r="B286" s="2" t="s">
        <v>2109</v>
      </c>
      <c r="C286" s="2" t="s">
        <v>2110</v>
      </c>
      <c r="D286" s="2" t="s">
        <v>2111</v>
      </c>
      <c r="E286" s="2" t="s">
        <v>18</v>
      </c>
      <c r="F286" s="2" t="s">
        <v>2076</v>
      </c>
      <c r="G286" s="2" t="s">
        <v>2112</v>
      </c>
      <c r="H286" s="2" t="s">
        <v>2113</v>
      </c>
      <c r="I286" s="2">
        <v>6</v>
      </c>
      <c r="J286" s="2" t="s">
        <v>29</v>
      </c>
      <c r="K286" s="2" t="s">
        <v>334</v>
      </c>
      <c r="L286" s="2" t="s">
        <v>335</v>
      </c>
      <c r="M286" s="2" t="s">
        <v>2114</v>
      </c>
      <c r="N286" s="2" t="s">
        <v>274</v>
      </c>
      <c r="O286" s="2" t="s">
        <v>21</v>
      </c>
      <c r="P286" s="2" t="s">
        <v>126</v>
      </c>
      <c r="Q286" s="2" t="s">
        <v>400</v>
      </c>
      <c r="R286" s="2">
        <v>1</v>
      </c>
      <c r="S286" s="2">
        <v>22983.63</v>
      </c>
      <c r="T286" s="2">
        <v>30</v>
      </c>
      <c r="U286" s="2">
        <v>16088.54</v>
      </c>
      <c r="V286" s="2">
        <v>9685.61</v>
      </c>
      <c r="W286" s="2">
        <v>6402.93</v>
      </c>
      <c r="X286" s="2">
        <v>39.799999999999997</v>
      </c>
      <c r="Y286" s="2">
        <v>149</v>
      </c>
      <c r="Z286" s="2" t="s">
        <v>30</v>
      </c>
      <c r="AA286" s="2" t="s">
        <v>672</v>
      </c>
      <c r="AB286" s="2" t="s">
        <v>101</v>
      </c>
      <c r="AC286" s="2"/>
    </row>
    <row r="287" spans="1:29" x14ac:dyDescent="0.3">
      <c r="A287" s="3" t="s">
        <v>2115</v>
      </c>
      <c r="B287" s="3" t="s">
        <v>2116</v>
      </c>
      <c r="C287" s="3" t="s">
        <v>1433</v>
      </c>
      <c r="D287" s="3" t="s">
        <v>2117</v>
      </c>
      <c r="E287" s="3" t="s">
        <v>42</v>
      </c>
      <c r="F287" s="3" t="s">
        <v>2118</v>
      </c>
      <c r="G287" s="3" t="s">
        <v>2119</v>
      </c>
      <c r="H287" s="3" t="s">
        <v>2120</v>
      </c>
      <c r="I287" s="3">
        <v>3</v>
      </c>
      <c r="J287" s="3" t="s">
        <v>39</v>
      </c>
      <c r="K287" s="3" t="s">
        <v>225</v>
      </c>
      <c r="L287" s="3" t="s">
        <v>225</v>
      </c>
      <c r="M287" s="3" t="s">
        <v>2121</v>
      </c>
      <c r="N287" s="3" t="s">
        <v>837</v>
      </c>
      <c r="O287" s="3" t="s">
        <v>27</v>
      </c>
      <c r="P287" s="3" t="s">
        <v>257</v>
      </c>
      <c r="Q287" s="3" t="s">
        <v>207</v>
      </c>
      <c r="R287" s="3">
        <v>3</v>
      </c>
      <c r="S287" s="3">
        <v>22754.41</v>
      </c>
      <c r="T287" s="3">
        <v>10</v>
      </c>
      <c r="U287" s="3">
        <v>61436.91</v>
      </c>
      <c r="V287" s="3">
        <v>34556.120000000003</v>
      </c>
      <c r="W287" s="3">
        <v>26880.79</v>
      </c>
      <c r="X287" s="3">
        <v>43.75</v>
      </c>
      <c r="Y287" s="3">
        <v>0</v>
      </c>
      <c r="Z287" s="3" t="s">
        <v>15</v>
      </c>
      <c r="AA287" s="3" t="s">
        <v>100</v>
      </c>
      <c r="AB287" s="3" t="s">
        <v>101</v>
      </c>
      <c r="AC287" s="3">
        <v>5</v>
      </c>
    </row>
    <row r="288" spans="1:29" x14ac:dyDescent="0.3">
      <c r="A288" s="2" t="s">
        <v>2122</v>
      </c>
      <c r="B288" s="2" t="s">
        <v>2123</v>
      </c>
      <c r="C288" s="2" t="s">
        <v>2124</v>
      </c>
      <c r="D288" s="2" t="s">
        <v>2125</v>
      </c>
      <c r="E288" s="2" t="s">
        <v>33</v>
      </c>
      <c r="F288" s="2" t="s">
        <v>2126</v>
      </c>
      <c r="G288" s="2" t="s">
        <v>2127</v>
      </c>
      <c r="H288" s="2" t="s">
        <v>1585</v>
      </c>
      <c r="I288" s="2">
        <v>6</v>
      </c>
      <c r="J288" s="2" t="s">
        <v>22</v>
      </c>
      <c r="K288" s="2" t="s">
        <v>283</v>
      </c>
      <c r="L288" s="2" t="s">
        <v>748</v>
      </c>
      <c r="M288" s="2" t="s">
        <v>2128</v>
      </c>
      <c r="N288" s="2" t="s">
        <v>316</v>
      </c>
      <c r="O288" s="2" t="s">
        <v>28</v>
      </c>
      <c r="P288" s="2" t="s">
        <v>137</v>
      </c>
      <c r="Q288" s="2" t="s">
        <v>207</v>
      </c>
      <c r="R288" s="2">
        <v>3</v>
      </c>
      <c r="S288" s="2">
        <v>27019.7</v>
      </c>
      <c r="T288" s="2">
        <v>30</v>
      </c>
      <c r="U288" s="2">
        <v>56741.37</v>
      </c>
      <c r="V288" s="2">
        <v>31239.18</v>
      </c>
      <c r="W288" s="2">
        <v>25502.19</v>
      </c>
      <c r="X288" s="2">
        <v>44.94</v>
      </c>
      <c r="Y288" s="2">
        <v>29</v>
      </c>
      <c r="Z288" s="2" t="s">
        <v>40</v>
      </c>
      <c r="AA288" s="2" t="s">
        <v>100</v>
      </c>
      <c r="AB288" s="2" t="s">
        <v>101</v>
      </c>
      <c r="AC288" s="2">
        <v>2</v>
      </c>
    </row>
    <row r="289" spans="1:29" x14ac:dyDescent="0.3">
      <c r="A289" s="3" t="s">
        <v>2129</v>
      </c>
      <c r="B289" s="3" t="s">
        <v>2130</v>
      </c>
      <c r="C289" s="3" t="s">
        <v>1742</v>
      </c>
      <c r="D289" s="3" t="s">
        <v>2131</v>
      </c>
      <c r="E289" s="3" t="s">
        <v>42</v>
      </c>
      <c r="F289" s="3" t="s">
        <v>381</v>
      </c>
      <c r="G289" s="3" t="s">
        <v>1442</v>
      </c>
      <c r="H289" s="3" t="s">
        <v>2132</v>
      </c>
      <c r="I289" s="3">
        <v>3</v>
      </c>
      <c r="J289" s="3" t="s">
        <v>29</v>
      </c>
      <c r="K289" s="3" t="s">
        <v>334</v>
      </c>
      <c r="L289" s="3" t="s">
        <v>335</v>
      </c>
      <c r="M289" s="3" t="s">
        <v>2133</v>
      </c>
      <c r="N289" s="3" t="s">
        <v>205</v>
      </c>
      <c r="O289" s="3" t="s">
        <v>21</v>
      </c>
      <c r="P289" s="3" t="s">
        <v>206</v>
      </c>
      <c r="Q289" s="3" t="s">
        <v>509</v>
      </c>
      <c r="R289" s="3">
        <v>4</v>
      </c>
      <c r="S289" s="3">
        <v>47650.41</v>
      </c>
      <c r="T289" s="3">
        <v>15</v>
      </c>
      <c r="U289" s="3">
        <v>162011.39000000001</v>
      </c>
      <c r="V289" s="3">
        <v>87061.43</v>
      </c>
      <c r="W289" s="3">
        <v>74949.960000000006</v>
      </c>
      <c r="X289" s="3">
        <v>46.26</v>
      </c>
      <c r="Y289" s="3">
        <v>49</v>
      </c>
      <c r="Z289" s="3" t="s">
        <v>15</v>
      </c>
      <c r="AA289" s="3" t="s">
        <v>672</v>
      </c>
      <c r="AB289" s="3" t="s">
        <v>101</v>
      </c>
      <c r="AC289" s="3"/>
    </row>
    <row r="290" spans="1:29" x14ac:dyDescent="0.3">
      <c r="A290" s="2" t="s">
        <v>2134</v>
      </c>
      <c r="B290" s="2" t="s">
        <v>2135</v>
      </c>
      <c r="C290" s="2" t="s">
        <v>2136</v>
      </c>
      <c r="D290" s="2" t="s">
        <v>2137</v>
      </c>
      <c r="E290" s="2" t="s">
        <v>18</v>
      </c>
      <c r="F290" s="2" t="s">
        <v>573</v>
      </c>
      <c r="G290" s="2" t="s">
        <v>574</v>
      </c>
      <c r="H290" s="2" t="s">
        <v>1460</v>
      </c>
      <c r="I290" s="2">
        <v>5</v>
      </c>
      <c r="J290" s="2" t="s">
        <v>29</v>
      </c>
      <c r="K290" s="2" t="s">
        <v>834</v>
      </c>
      <c r="L290" s="2" t="s">
        <v>1000</v>
      </c>
      <c r="M290" s="2" t="s">
        <v>2138</v>
      </c>
      <c r="N290" s="2" t="s">
        <v>195</v>
      </c>
      <c r="O290" s="2" t="s">
        <v>21</v>
      </c>
      <c r="P290" s="2" t="s">
        <v>196</v>
      </c>
      <c r="Q290" s="2" t="s">
        <v>127</v>
      </c>
      <c r="R290" s="2">
        <v>2</v>
      </c>
      <c r="S290" s="2">
        <v>2682.26</v>
      </c>
      <c r="T290" s="2">
        <v>30</v>
      </c>
      <c r="U290" s="2">
        <v>3755.16</v>
      </c>
      <c r="V290" s="2">
        <v>2449.4899999999998</v>
      </c>
      <c r="W290" s="2">
        <v>1305.67</v>
      </c>
      <c r="X290" s="2">
        <v>34.770000000000003</v>
      </c>
      <c r="Y290" s="2">
        <v>149</v>
      </c>
      <c r="Z290" s="2" t="s">
        <v>40</v>
      </c>
      <c r="AA290" s="2" t="s">
        <v>672</v>
      </c>
      <c r="AB290" s="2" t="s">
        <v>101</v>
      </c>
      <c r="AC290" s="2"/>
    </row>
    <row r="291" spans="1:29" x14ac:dyDescent="0.3">
      <c r="A291" s="3" t="s">
        <v>2139</v>
      </c>
      <c r="B291" s="3" t="s">
        <v>2140</v>
      </c>
      <c r="C291" s="3" t="s">
        <v>2141</v>
      </c>
      <c r="D291" s="3" t="s">
        <v>2142</v>
      </c>
      <c r="E291" s="3" t="s">
        <v>18</v>
      </c>
      <c r="F291" s="3" t="s">
        <v>2143</v>
      </c>
      <c r="G291" s="3" t="s">
        <v>1568</v>
      </c>
      <c r="H291" s="3" t="s">
        <v>1569</v>
      </c>
      <c r="I291" s="3">
        <v>5</v>
      </c>
      <c r="J291" s="3" t="s">
        <v>22</v>
      </c>
      <c r="K291" s="3" t="s">
        <v>738</v>
      </c>
      <c r="L291" s="3" t="s">
        <v>738</v>
      </c>
      <c r="M291" s="3" t="s">
        <v>2144</v>
      </c>
      <c r="N291" s="3" t="s">
        <v>266</v>
      </c>
      <c r="O291" s="3" t="s">
        <v>28</v>
      </c>
      <c r="P291" s="3" t="s">
        <v>151</v>
      </c>
      <c r="Q291" s="3" t="s">
        <v>466</v>
      </c>
      <c r="R291" s="3">
        <v>2</v>
      </c>
      <c r="S291" s="3">
        <v>38600.04</v>
      </c>
      <c r="T291" s="3">
        <v>20</v>
      </c>
      <c r="U291" s="3">
        <v>61760.06</v>
      </c>
      <c r="V291" s="3">
        <v>28111.599999999999</v>
      </c>
      <c r="W291" s="3">
        <v>33648.46</v>
      </c>
      <c r="X291" s="3">
        <v>54.48</v>
      </c>
      <c r="Y291" s="3">
        <v>49</v>
      </c>
      <c r="Z291" s="3" t="s">
        <v>47</v>
      </c>
      <c r="AA291" s="3" t="s">
        <v>139</v>
      </c>
      <c r="AB291" s="3" t="s">
        <v>140</v>
      </c>
      <c r="AC291" s="3"/>
    </row>
    <row r="292" spans="1:29" x14ac:dyDescent="0.3">
      <c r="A292" s="2" t="s">
        <v>2145</v>
      </c>
      <c r="B292" s="2" t="s">
        <v>2146</v>
      </c>
      <c r="C292" s="2" t="s">
        <v>2147</v>
      </c>
      <c r="D292" s="2" t="s">
        <v>2148</v>
      </c>
      <c r="E292" s="2" t="s">
        <v>26</v>
      </c>
      <c r="F292" s="2" t="s">
        <v>1221</v>
      </c>
      <c r="G292" s="2" t="s">
        <v>1265</v>
      </c>
      <c r="H292" s="2" t="s">
        <v>936</v>
      </c>
      <c r="I292" s="2">
        <v>3</v>
      </c>
      <c r="J292" s="2" t="s">
        <v>22</v>
      </c>
      <c r="K292" s="2" t="s">
        <v>254</v>
      </c>
      <c r="L292" s="2" t="s">
        <v>254</v>
      </c>
      <c r="M292" s="2" t="s">
        <v>353</v>
      </c>
      <c r="N292" s="2" t="s">
        <v>125</v>
      </c>
      <c r="O292" s="2" t="s">
        <v>21</v>
      </c>
      <c r="P292" s="2" t="s">
        <v>126</v>
      </c>
      <c r="Q292" s="2" t="s">
        <v>218</v>
      </c>
      <c r="R292" s="2">
        <v>1</v>
      </c>
      <c r="S292" s="2">
        <v>48229.48</v>
      </c>
      <c r="T292" s="2">
        <v>30</v>
      </c>
      <c r="U292" s="2">
        <v>33760.639999999999</v>
      </c>
      <c r="V292" s="2">
        <v>20758.64</v>
      </c>
      <c r="W292" s="2">
        <v>13002</v>
      </c>
      <c r="X292" s="2">
        <v>38.51</v>
      </c>
      <c r="Y292" s="2">
        <v>99</v>
      </c>
      <c r="Z292" s="2" t="s">
        <v>43</v>
      </c>
      <c r="AA292" s="2" t="s">
        <v>275</v>
      </c>
      <c r="AB292" s="2" t="s">
        <v>101</v>
      </c>
      <c r="AC292" s="2"/>
    </row>
    <row r="293" spans="1:29" x14ac:dyDescent="0.3">
      <c r="A293" s="3" t="s">
        <v>2149</v>
      </c>
      <c r="B293" s="3" t="s">
        <v>2150</v>
      </c>
      <c r="C293" s="3" t="s">
        <v>2151</v>
      </c>
      <c r="D293" s="3" t="s">
        <v>2152</v>
      </c>
      <c r="E293" s="3" t="s">
        <v>33</v>
      </c>
      <c r="F293" s="3" t="s">
        <v>937</v>
      </c>
      <c r="G293" s="3" t="s">
        <v>2153</v>
      </c>
      <c r="H293" s="3" t="s">
        <v>2154</v>
      </c>
      <c r="I293" s="3">
        <v>8</v>
      </c>
      <c r="J293" s="3" t="s">
        <v>39</v>
      </c>
      <c r="K293" s="3" t="s">
        <v>109</v>
      </c>
      <c r="L293" s="3" t="s">
        <v>110</v>
      </c>
      <c r="M293" s="3" t="s">
        <v>2155</v>
      </c>
      <c r="N293" s="3" t="s">
        <v>354</v>
      </c>
      <c r="O293" s="3" t="s">
        <v>21</v>
      </c>
      <c r="P293" s="3" t="s">
        <v>196</v>
      </c>
      <c r="Q293" s="3" t="s">
        <v>218</v>
      </c>
      <c r="R293" s="3">
        <v>4</v>
      </c>
      <c r="S293" s="3">
        <v>26729.87</v>
      </c>
      <c r="T293" s="3">
        <v>20</v>
      </c>
      <c r="U293" s="3">
        <v>85535.58</v>
      </c>
      <c r="V293" s="3">
        <v>52278.89</v>
      </c>
      <c r="W293" s="3">
        <v>33256.69</v>
      </c>
      <c r="X293" s="3">
        <v>38.880000000000003</v>
      </c>
      <c r="Y293" s="3">
        <v>49</v>
      </c>
      <c r="Z293" s="3" t="s">
        <v>43</v>
      </c>
      <c r="AA293" s="3" t="s">
        <v>100</v>
      </c>
      <c r="AB293" s="3" t="s">
        <v>101</v>
      </c>
      <c r="AC293" s="3">
        <v>4</v>
      </c>
    </row>
    <row r="294" spans="1:29" x14ac:dyDescent="0.3">
      <c r="A294" s="2" t="s">
        <v>2156</v>
      </c>
      <c r="B294" s="2" t="s">
        <v>2157</v>
      </c>
      <c r="C294" s="2" t="s">
        <v>967</v>
      </c>
      <c r="D294" s="2" t="s">
        <v>2158</v>
      </c>
      <c r="E294" s="2" t="s">
        <v>42</v>
      </c>
      <c r="F294" s="2" t="s">
        <v>776</v>
      </c>
      <c r="G294" s="2" t="s">
        <v>213</v>
      </c>
      <c r="H294" s="2" t="s">
        <v>778</v>
      </c>
      <c r="I294" s="2">
        <v>5</v>
      </c>
      <c r="J294" s="2" t="s">
        <v>39</v>
      </c>
      <c r="K294" s="2" t="s">
        <v>225</v>
      </c>
      <c r="L294" s="2" t="s">
        <v>225</v>
      </c>
      <c r="M294" s="2" t="s">
        <v>2159</v>
      </c>
      <c r="N294" s="2" t="s">
        <v>438</v>
      </c>
      <c r="O294" s="2" t="s">
        <v>13</v>
      </c>
      <c r="P294" s="2" t="s">
        <v>228</v>
      </c>
      <c r="Q294" s="2" t="s">
        <v>152</v>
      </c>
      <c r="R294" s="2">
        <v>4</v>
      </c>
      <c r="S294" s="2">
        <v>46272.91</v>
      </c>
      <c r="T294" s="2">
        <v>20</v>
      </c>
      <c r="U294" s="2">
        <v>148073.31</v>
      </c>
      <c r="V294" s="2">
        <v>88212.51</v>
      </c>
      <c r="W294" s="2">
        <v>59860.800000000003</v>
      </c>
      <c r="X294" s="2">
        <v>40.43</v>
      </c>
      <c r="Y294" s="2">
        <v>149</v>
      </c>
      <c r="Z294" s="2" t="s">
        <v>23</v>
      </c>
      <c r="AA294" s="2" t="s">
        <v>672</v>
      </c>
      <c r="AB294" s="2" t="s">
        <v>101</v>
      </c>
      <c r="AC294" s="2"/>
    </row>
    <row r="295" spans="1:29" x14ac:dyDescent="0.3">
      <c r="A295" s="3" t="s">
        <v>2160</v>
      </c>
      <c r="B295" s="3" t="s">
        <v>2161</v>
      </c>
      <c r="C295" s="3" t="s">
        <v>1717</v>
      </c>
      <c r="D295" s="3" t="s">
        <v>2162</v>
      </c>
      <c r="E295" s="3" t="s">
        <v>26</v>
      </c>
      <c r="F295" s="3" t="s">
        <v>119</v>
      </c>
      <c r="G295" s="3" t="s">
        <v>120</v>
      </c>
      <c r="H295" s="3" t="s">
        <v>121</v>
      </c>
      <c r="I295" s="3">
        <v>5</v>
      </c>
      <c r="J295" s="3" t="s">
        <v>29</v>
      </c>
      <c r="K295" s="3" t="s">
        <v>427</v>
      </c>
      <c r="L295" s="3" t="s">
        <v>1081</v>
      </c>
      <c r="M295" s="3" t="s">
        <v>2163</v>
      </c>
      <c r="N295" s="3" t="s">
        <v>1188</v>
      </c>
      <c r="O295" s="3" t="s">
        <v>27</v>
      </c>
      <c r="P295" s="3" t="s">
        <v>257</v>
      </c>
      <c r="Q295" s="3" t="s">
        <v>466</v>
      </c>
      <c r="R295" s="3">
        <v>3</v>
      </c>
      <c r="S295" s="3">
        <v>33833.85</v>
      </c>
      <c r="T295" s="3">
        <v>0</v>
      </c>
      <c r="U295" s="3">
        <v>101501.55</v>
      </c>
      <c r="V295" s="3">
        <v>68052.86</v>
      </c>
      <c r="W295" s="3">
        <v>33448.69</v>
      </c>
      <c r="X295" s="3">
        <v>32.950000000000003</v>
      </c>
      <c r="Y295" s="3">
        <v>49</v>
      </c>
      <c r="Z295" s="3" t="s">
        <v>23</v>
      </c>
      <c r="AA295" s="3" t="s">
        <v>186</v>
      </c>
      <c r="AB295" s="3" t="s">
        <v>101</v>
      </c>
      <c r="AC295" s="3"/>
    </row>
    <row r="296" spans="1:29" x14ac:dyDescent="0.3">
      <c r="A296" s="2" t="s">
        <v>2164</v>
      </c>
      <c r="B296" s="2" t="s">
        <v>2165</v>
      </c>
      <c r="C296" s="2" t="s">
        <v>1426</v>
      </c>
      <c r="D296" s="2" t="s">
        <v>2166</v>
      </c>
      <c r="E296" s="2" t="s">
        <v>18</v>
      </c>
      <c r="F296" s="2" t="s">
        <v>2167</v>
      </c>
      <c r="G296" s="2" t="s">
        <v>1889</v>
      </c>
      <c r="H296" s="2" t="s">
        <v>2168</v>
      </c>
      <c r="I296" s="2">
        <v>7</v>
      </c>
      <c r="J296" s="2" t="s">
        <v>22</v>
      </c>
      <c r="K296" s="2" t="s">
        <v>738</v>
      </c>
      <c r="L296" s="2" t="s">
        <v>738</v>
      </c>
      <c r="M296" s="2" t="s">
        <v>162</v>
      </c>
      <c r="N296" s="2" t="s">
        <v>112</v>
      </c>
      <c r="O296" s="2" t="s">
        <v>27</v>
      </c>
      <c r="P296" s="2" t="s">
        <v>113</v>
      </c>
      <c r="Q296" s="2" t="s">
        <v>99</v>
      </c>
      <c r="R296" s="2">
        <v>5</v>
      </c>
      <c r="S296" s="2">
        <v>20957.27</v>
      </c>
      <c r="T296" s="2">
        <v>25</v>
      </c>
      <c r="U296" s="2">
        <v>78589.759999999995</v>
      </c>
      <c r="V296" s="2">
        <v>37162.44</v>
      </c>
      <c r="W296" s="2">
        <v>41427.32</v>
      </c>
      <c r="X296" s="2">
        <v>52.71</v>
      </c>
      <c r="Y296" s="2">
        <v>199</v>
      </c>
      <c r="Z296" s="2" t="s">
        <v>23</v>
      </c>
      <c r="AA296" s="2" t="s">
        <v>100</v>
      </c>
      <c r="AB296" s="2" t="s">
        <v>101</v>
      </c>
      <c r="AC296" s="2"/>
    </row>
    <row r="297" spans="1:29" x14ac:dyDescent="0.3">
      <c r="A297" s="3" t="s">
        <v>2169</v>
      </c>
      <c r="B297" s="3" t="s">
        <v>2170</v>
      </c>
      <c r="C297" s="3" t="s">
        <v>278</v>
      </c>
      <c r="D297" s="3" t="s">
        <v>2171</v>
      </c>
      <c r="E297" s="3" t="s">
        <v>33</v>
      </c>
      <c r="F297" s="3" t="s">
        <v>1750</v>
      </c>
      <c r="G297" s="3" t="s">
        <v>2172</v>
      </c>
      <c r="H297" s="3" t="s">
        <v>1977</v>
      </c>
      <c r="I297" s="3">
        <v>4</v>
      </c>
      <c r="J297" s="3" t="s">
        <v>22</v>
      </c>
      <c r="K297" s="3" t="s">
        <v>738</v>
      </c>
      <c r="L297" s="3" t="s">
        <v>738</v>
      </c>
      <c r="M297" s="3" t="s">
        <v>2173</v>
      </c>
      <c r="N297" s="3" t="s">
        <v>788</v>
      </c>
      <c r="O297" s="3" t="s">
        <v>27</v>
      </c>
      <c r="P297" s="3" t="s">
        <v>113</v>
      </c>
      <c r="Q297" s="3" t="s">
        <v>400</v>
      </c>
      <c r="R297" s="3">
        <v>5</v>
      </c>
      <c r="S297" s="3">
        <v>26780.57</v>
      </c>
      <c r="T297" s="3">
        <v>10</v>
      </c>
      <c r="U297" s="3">
        <v>120512.57</v>
      </c>
      <c r="V297" s="3">
        <v>82600.72</v>
      </c>
      <c r="W297" s="3">
        <v>37911.85</v>
      </c>
      <c r="X297" s="3">
        <v>31.46</v>
      </c>
      <c r="Y297" s="3">
        <v>199</v>
      </c>
      <c r="Z297" s="3" t="s">
        <v>15</v>
      </c>
      <c r="AA297" s="3" t="s">
        <v>275</v>
      </c>
      <c r="AB297" s="3" t="s">
        <v>101</v>
      </c>
      <c r="AC297" s="3"/>
    </row>
    <row r="298" spans="1:29" x14ac:dyDescent="0.3">
      <c r="A298" s="2" t="s">
        <v>2174</v>
      </c>
      <c r="B298" s="2" t="s">
        <v>2175</v>
      </c>
      <c r="C298" s="2" t="s">
        <v>1981</v>
      </c>
      <c r="D298" s="2" t="s">
        <v>2176</v>
      </c>
      <c r="E298" s="2" t="s">
        <v>42</v>
      </c>
      <c r="F298" s="2" t="s">
        <v>2154</v>
      </c>
      <c r="G298" s="2" t="s">
        <v>1617</v>
      </c>
      <c r="H298" s="2" t="s">
        <v>1553</v>
      </c>
      <c r="I298" s="2">
        <v>5</v>
      </c>
      <c r="J298" s="2" t="s">
        <v>22</v>
      </c>
      <c r="K298" s="2" t="s">
        <v>122</v>
      </c>
      <c r="L298" s="2" t="s">
        <v>123</v>
      </c>
      <c r="M298" s="2" t="s">
        <v>2177</v>
      </c>
      <c r="N298" s="2" t="s">
        <v>256</v>
      </c>
      <c r="O298" s="2" t="s">
        <v>27</v>
      </c>
      <c r="P298" s="2" t="s">
        <v>257</v>
      </c>
      <c r="Q298" s="2" t="s">
        <v>287</v>
      </c>
      <c r="R298" s="2">
        <v>4</v>
      </c>
      <c r="S298" s="2">
        <v>7291.41</v>
      </c>
      <c r="T298" s="2">
        <v>25</v>
      </c>
      <c r="U298" s="2">
        <v>21874.23</v>
      </c>
      <c r="V298" s="2">
        <v>11268.45</v>
      </c>
      <c r="W298" s="2">
        <v>10605.78</v>
      </c>
      <c r="X298" s="2">
        <v>48.49</v>
      </c>
      <c r="Y298" s="2">
        <v>199</v>
      </c>
      <c r="Z298" s="2" t="s">
        <v>47</v>
      </c>
      <c r="AA298" s="2" t="s">
        <v>100</v>
      </c>
      <c r="AB298" s="2" t="s">
        <v>101</v>
      </c>
      <c r="AC298" s="2">
        <v>1</v>
      </c>
    </row>
    <row r="299" spans="1:29" x14ac:dyDescent="0.3">
      <c r="A299" s="3" t="s">
        <v>2178</v>
      </c>
      <c r="B299" s="3" t="s">
        <v>2179</v>
      </c>
      <c r="C299" s="3" t="s">
        <v>1261</v>
      </c>
      <c r="D299" s="3" t="s">
        <v>2180</v>
      </c>
      <c r="E299" s="3" t="s">
        <v>33</v>
      </c>
      <c r="F299" s="3" t="s">
        <v>1771</v>
      </c>
      <c r="G299" s="3" t="s">
        <v>2181</v>
      </c>
      <c r="H299" s="3" t="s">
        <v>2182</v>
      </c>
      <c r="I299" s="3">
        <v>8</v>
      </c>
      <c r="J299" s="3" t="s">
        <v>14</v>
      </c>
      <c r="K299" s="3" t="s">
        <v>95</v>
      </c>
      <c r="L299" s="3" t="s">
        <v>95</v>
      </c>
      <c r="M299" s="3" t="s">
        <v>2183</v>
      </c>
      <c r="N299" s="3" t="s">
        <v>364</v>
      </c>
      <c r="O299" s="3" t="s">
        <v>19</v>
      </c>
      <c r="P299" s="3" t="s">
        <v>365</v>
      </c>
      <c r="Q299" s="3" t="s">
        <v>138</v>
      </c>
      <c r="R299" s="3">
        <v>3</v>
      </c>
      <c r="S299" s="3">
        <v>26148.47</v>
      </c>
      <c r="T299" s="3">
        <v>0</v>
      </c>
      <c r="U299" s="3">
        <v>78445.41</v>
      </c>
      <c r="V299" s="3">
        <v>47146.38</v>
      </c>
      <c r="W299" s="3">
        <v>31299.03</v>
      </c>
      <c r="X299" s="3">
        <v>39.9</v>
      </c>
      <c r="Y299" s="3">
        <v>199</v>
      </c>
      <c r="Z299" s="3" t="s">
        <v>30</v>
      </c>
      <c r="AA299" s="3" t="s">
        <v>100</v>
      </c>
      <c r="AB299" s="3" t="s">
        <v>101</v>
      </c>
      <c r="AC299" s="3">
        <v>5</v>
      </c>
    </row>
    <row r="300" spans="1:29" x14ac:dyDescent="0.3">
      <c r="A300" s="2" t="s">
        <v>2184</v>
      </c>
      <c r="B300" s="2" t="s">
        <v>2185</v>
      </c>
      <c r="C300" s="2" t="s">
        <v>1730</v>
      </c>
      <c r="D300" s="2" t="s">
        <v>2186</v>
      </c>
      <c r="E300" s="2" t="s">
        <v>26</v>
      </c>
      <c r="F300" s="2" t="s">
        <v>786</v>
      </c>
      <c r="G300" s="2" t="s">
        <v>960</v>
      </c>
      <c r="H300" s="2" t="s">
        <v>497</v>
      </c>
      <c r="I300" s="2">
        <v>8</v>
      </c>
      <c r="J300" s="2" t="s">
        <v>29</v>
      </c>
      <c r="K300" s="2" t="s">
        <v>160</v>
      </c>
      <c r="L300" s="2" t="s">
        <v>161</v>
      </c>
      <c r="M300" s="2" t="s">
        <v>2187</v>
      </c>
      <c r="N300" s="2" t="s">
        <v>639</v>
      </c>
      <c r="O300" s="2" t="s">
        <v>27</v>
      </c>
      <c r="P300" s="2" t="s">
        <v>175</v>
      </c>
      <c r="Q300" s="2" t="s">
        <v>138</v>
      </c>
      <c r="R300" s="2">
        <v>1</v>
      </c>
      <c r="S300" s="2">
        <v>43084.49</v>
      </c>
      <c r="T300" s="2">
        <v>5</v>
      </c>
      <c r="U300" s="2">
        <v>40930.269999999997</v>
      </c>
      <c r="V300" s="2">
        <v>21873.33</v>
      </c>
      <c r="W300" s="2">
        <v>19056.939999999999</v>
      </c>
      <c r="X300" s="2">
        <v>46.56</v>
      </c>
      <c r="Y300" s="2">
        <v>0</v>
      </c>
      <c r="Z300" s="2" t="s">
        <v>48</v>
      </c>
      <c r="AA300" s="2" t="s">
        <v>139</v>
      </c>
      <c r="AB300" s="2" t="s">
        <v>140</v>
      </c>
      <c r="AC300" s="2"/>
    </row>
    <row r="301" spans="1:29" x14ac:dyDescent="0.3">
      <c r="A301" s="3" t="s">
        <v>2188</v>
      </c>
      <c r="B301" s="3" t="s">
        <v>2189</v>
      </c>
      <c r="C301" s="3" t="s">
        <v>554</v>
      </c>
      <c r="D301" s="3" t="s">
        <v>2190</v>
      </c>
      <c r="E301" s="3" t="s">
        <v>42</v>
      </c>
      <c r="F301" s="3" t="s">
        <v>2191</v>
      </c>
      <c r="G301" s="3" t="s">
        <v>2192</v>
      </c>
      <c r="H301" s="3" t="s">
        <v>914</v>
      </c>
      <c r="I301" s="3">
        <v>8</v>
      </c>
      <c r="J301" s="3" t="s">
        <v>14</v>
      </c>
      <c r="K301" s="3" t="s">
        <v>171</v>
      </c>
      <c r="L301" s="3" t="s">
        <v>541</v>
      </c>
      <c r="M301" s="3" t="s">
        <v>2193</v>
      </c>
      <c r="N301" s="3" t="s">
        <v>837</v>
      </c>
      <c r="O301" s="3" t="s">
        <v>27</v>
      </c>
      <c r="P301" s="3" t="s">
        <v>257</v>
      </c>
      <c r="Q301" s="3" t="s">
        <v>287</v>
      </c>
      <c r="R301" s="3">
        <v>4</v>
      </c>
      <c r="S301" s="3">
        <v>21295.01</v>
      </c>
      <c r="T301" s="3">
        <v>25</v>
      </c>
      <c r="U301" s="3">
        <v>63885.03</v>
      </c>
      <c r="V301" s="3">
        <v>31656.71</v>
      </c>
      <c r="W301" s="3">
        <v>32228.32</v>
      </c>
      <c r="X301" s="3">
        <v>50.45</v>
      </c>
      <c r="Y301" s="3">
        <v>29</v>
      </c>
      <c r="Z301" s="3" t="s">
        <v>48</v>
      </c>
      <c r="AA301" s="3" t="s">
        <v>100</v>
      </c>
      <c r="AB301" s="3" t="s">
        <v>101</v>
      </c>
      <c r="AC301" s="3">
        <v>3</v>
      </c>
    </row>
    <row r="302" spans="1:29" x14ac:dyDescent="0.3">
      <c r="A302" s="2" t="s">
        <v>2194</v>
      </c>
      <c r="B302" s="2" t="s">
        <v>2195</v>
      </c>
      <c r="C302" s="2" t="s">
        <v>725</v>
      </c>
      <c r="D302" s="2" t="s">
        <v>2196</v>
      </c>
      <c r="E302" s="2" t="s">
        <v>18</v>
      </c>
      <c r="F302" s="2" t="s">
        <v>303</v>
      </c>
      <c r="G302" s="2" t="s">
        <v>2197</v>
      </c>
      <c r="H302" s="2" t="s">
        <v>2198</v>
      </c>
      <c r="I302" s="2">
        <v>7</v>
      </c>
      <c r="J302" s="2" t="s">
        <v>39</v>
      </c>
      <c r="K302" s="2" t="s">
        <v>109</v>
      </c>
      <c r="L302" s="2" t="s">
        <v>110</v>
      </c>
      <c r="M302" s="2" t="s">
        <v>2199</v>
      </c>
      <c r="N302" s="2" t="s">
        <v>551</v>
      </c>
      <c r="O302" s="2" t="s">
        <v>13</v>
      </c>
      <c r="P302" s="2" t="s">
        <v>98</v>
      </c>
      <c r="Q302" s="2" t="s">
        <v>608</v>
      </c>
      <c r="R302" s="2">
        <v>5</v>
      </c>
      <c r="S302" s="2">
        <v>14888.75</v>
      </c>
      <c r="T302" s="2">
        <v>10</v>
      </c>
      <c r="U302" s="2">
        <v>66999.38</v>
      </c>
      <c r="V302" s="2">
        <v>40909.769999999997</v>
      </c>
      <c r="W302" s="2">
        <v>26089.61</v>
      </c>
      <c r="X302" s="2">
        <v>38.94</v>
      </c>
      <c r="Y302" s="2">
        <v>0</v>
      </c>
      <c r="Z302" s="2" t="s">
        <v>47</v>
      </c>
      <c r="AA302" s="2" t="s">
        <v>100</v>
      </c>
      <c r="AB302" s="2" t="s">
        <v>101</v>
      </c>
      <c r="AC302" s="2">
        <v>5</v>
      </c>
    </row>
    <row r="303" spans="1:29" x14ac:dyDescent="0.3">
      <c r="A303" s="3" t="s">
        <v>2200</v>
      </c>
      <c r="B303" s="3" t="s">
        <v>2201</v>
      </c>
      <c r="C303" s="3" t="s">
        <v>2202</v>
      </c>
      <c r="D303" s="3" t="s">
        <v>2203</v>
      </c>
      <c r="E303" s="3" t="s">
        <v>26</v>
      </c>
      <c r="F303" s="3" t="s">
        <v>2204</v>
      </c>
      <c r="G303" s="3" t="s">
        <v>2205</v>
      </c>
      <c r="H303" s="3" t="s">
        <v>2206</v>
      </c>
      <c r="I303" s="3">
        <v>6</v>
      </c>
      <c r="J303" s="3" t="s">
        <v>39</v>
      </c>
      <c r="K303" s="3" t="s">
        <v>225</v>
      </c>
      <c r="L303" s="3" t="s">
        <v>225</v>
      </c>
      <c r="M303" s="3" t="s">
        <v>2207</v>
      </c>
      <c r="N303" s="3" t="s">
        <v>266</v>
      </c>
      <c r="O303" s="3" t="s">
        <v>28</v>
      </c>
      <c r="P303" s="3" t="s">
        <v>151</v>
      </c>
      <c r="Q303" s="3" t="s">
        <v>138</v>
      </c>
      <c r="R303" s="3">
        <v>5</v>
      </c>
      <c r="S303" s="3">
        <v>33341.18</v>
      </c>
      <c r="T303" s="3">
        <v>0</v>
      </c>
      <c r="U303" s="3">
        <v>166705.9</v>
      </c>
      <c r="V303" s="3">
        <v>82469.429999999993</v>
      </c>
      <c r="W303" s="3">
        <v>84236.47</v>
      </c>
      <c r="X303" s="3">
        <v>50.53</v>
      </c>
      <c r="Y303" s="3">
        <v>99</v>
      </c>
      <c r="Z303" s="3" t="s">
        <v>30</v>
      </c>
      <c r="AA303" s="3" t="s">
        <v>186</v>
      </c>
      <c r="AB303" s="3" t="s">
        <v>101</v>
      </c>
      <c r="AC303" s="3"/>
    </row>
    <row r="304" spans="1:29" x14ac:dyDescent="0.3">
      <c r="A304" s="2" t="s">
        <v>2208</v>
      </c>
      <c r="B304" s="2" t="s">
        <v>2209</v>
      </c>
      <c r="C304" s="2" t="s">
        <v>393</v>
      </c>
      <c r="D304" s="2" t="s">
        <v>2210</v>
      </c>
      <c r="E304" s="2" t="s">
        <v>18</v>
      </c>
      <c r="F304" s="2" t="s">
        <v>2211</v>
      </c>
      <c r="G304" s="2" t="s">
        <v>107</v>
      </c>
      <c r="H304" s="2" t="s">
        <v>108</v>
      </c>
      <c r="I304" s="2">
        <v>5</v>
      </c>
      <c r="J304" s="2" t="s">
        <v>14</v>
      </c>
      <c r="K304" s="2" t="s">
        <v>95</v>
      </c>
      <c r="L304" s="2" t="s">
        <v>95</v>
      </c>
      <c r="M304" s="2" t="s">
        <v>2212</v>
      </c>
      <c r="N304" s="2" t="s">
        <v>316</v>
      </c>
      <c r="O304" s="2" t="s">
        <v>28</v>
      </c>
      <c r="P304" s="2" t="s">
        <v>137</v>
      </c>
      <c r="Q304" s="2" t="s">
        <v>127</v>
      </c>
      <c r="R304" s="2">
        <v>1</v>
      </c>
      <c r="S304" s="2">
        <v>33184.81</v>
      </c>
      <c r="T304" s="2">
        <v>10</v>
      </c>
      <c r="U304" s="2">
        <v>29866.33</v>
      </c>
      <c r="V304" s="2">
        <v>19464.830000000002</v>
      </c>
      <c r="W304" s="2">
        <v>10401.5</v>
      </c>
      <c r="X304" s="2">
        <v>34.83</v>
      </c>
      <c r="Y304" s="2">
        <v>49</v>
      </c>
      <c r="Z304" s="2" t="s">
        <v>40</v>
      </c>
      <c r="AA304" s="2" t="s">
        <v>186</v>
      </c>
      <c r="AB304" s="2" t="s">
        <v>101</v>
      </c>
      <c r="AC304" s="2"/>
    </row>
    <row r="305" spans="1:29" x14ac:dyDescent="0.3">
      <c r="A305" s="3" t="s">
        <v>2213</v>
      </c>
      <c r="B305" s="3" t="s">
        <v>2214</v>
      </c>
      <c r="C305" s="3" t="s">
        <v>651</v>
      </c>
      <c r="D305" s="3" t="s">
        <v>2215</v>
      </c>
      <c r="E305" s="3" t="s">
        <v>18</v>
      </c>
      <c r="F305" s="3" t="s">
        <v>2216</v>
      </c>
      <c r="G305" s="3" t="s">
        <v>360</v>
      </c>
      <c r="H305" s="3" t="s">
        <v>2181</v>
      </c>
      <c r="I305" s="3">
        <v>6</v>
      </c>
      <c r="J305" s="3" t="s">
        <v>22</v>
      </c>
      <c r="K305" s="3" t="s">
        <v>283</v>
      </c>
      <c r="L305" s="3" t="s">
        <v>748</v>
      </c>
      <c r="M305" s="3" t="s">
        <v>2217</v>
      </c>
      <c r="N305" s="3" t="s">
        <v>399</v>
      </c>
      <c r="O305" s="3" t="s">
        <v>21</v>
      </c>
      <c r="P305" s="3" t="s">
        <v>196</v>
      </c>
      <c r="Q305" s="3" t="s">
        <v>127</v>
      </c>
      <c r="R305" s="3">
        <v>2</v>
      </c>
      <c r="S305" s="3">
        <v>28430.22</v>
      </c>
      <c r="T305" s="3">
        <v>25</v>
      </c>
      <c r="U305" s="3">
        <v>42645.33</v>
      </c>
      <c r="V305" s="3">
        <v>26445.58</v>
      </c>
      <c r="W305" s="3">
        <v>16199.75</v>
      </c>
      <c r="X305" s="3">
        <v>37.99</v>
      </c>
      <c r="Y305" s="3">
        <v>0</v>
      </c>
      <c r="Z305" s="3" t="s">
        <v>48</v>
      </c>
      <c r="AA305" s="3" t="s">
        <v>672</v>
      </c>
      <c r="AB305" s="3" t="s">
        <v>101</v>
      </c>
      <c r="AC305" s="3"/>
    </row>
    <row r="306" spans="1:29" x14ac:dyDescent="0.3">
      <c r="A306" s="2" t="s">
        <v>2218</v>
      </c>
      <c r="B306" s="2" t="s">
        <v>2219</v>
      </c>
      <c r="C306" s="2" t="s">
        <v>725</v>
      </c>
      <c r="D306" s="2" t="s">
        <v>2220</v>
      </c>
      <c r="E306" s="2" t="s">
        <v>33</v>
      </c>
      <c r="F306" s="2" t="s">
        <v>482</v>
      </c>
      <c r="G306" s="2" t="s">
        <v>2221</v>
      </c>
      <c r="H306" s="2" t="s">
        <v>2222</v>
      </c>
      <c r="I306" s="2">
        <v>2</v>
      </c>
      <c r="J306" s="2" t="s">
        <v>29</v>
      </c>
      <c r="K306" s="2" t="s">
        <v>160</v>
      </c>
      <c r="L306" s="2" t="s">
        <v>559</v>
      </c>
      <c r="M306" s="2" t="s">
        <v>2223</v>
      </c>
      <c r="N306" s="2" t="s">
        <v>456</v>
      </c>
      <c r="O306" s="2" t="s">
        <v>21</v>
      </c>
      <c r="P306" s="2" t="s">
        <v>206</v>
      </c>
      <c r="Q306" s="2" t="s">
        <v>152</v>
      </c>
      <c r="R306" s="2">
        <v>1</v>
      </c>
      <c r="S306" s="2">
        <v>45730.67</v>
      </c>
      <c r="T306" s="2">
        <v>15</v>
      </c>
      <c r="U306" s="2">
        <v>38871.07</v>
      </c>
      <c r="V306" s="2">
        <v>23781.07</v>
      </c>
      <c r="W306" s="2">
        <v>15090</v>
      </c>
      <c r="X306" s="2">
        <v>38.82</v>
      </c>
      <c r="Y306" s="2">
        <v>49</v>
      </c>
      <c r="Z306" s="2" t="s">
        <v>15</v>
      </c>
      <c r="AA306" s="2" t="s">
        <v>672</v>
      </c>
      <c r="AB306" s="2" t="s">
        <v>101</v>
      </c>
      <c r="AC306" s="2"/>
    </row>
    <row r="307" spans="1:29" x14ac:dyDescent="0.3">
      <c r="A307" s="3" t="s">
        <v>2224</v>
      </c>
      <c r="B307" s="3" t="s">
        <v>650</v>
      </c>
      <c r="C307" s="3" t="s">
        <v>278</v>
      </c>
      <c r="D307" s="3" t="s">
        <v>2225</v>
      </c>
      <c r="E307" s="3" t="s">
        <v>33</v>
      </c>
      <c r="F307" s="3" t="s">
        <v>2226</v>
      </c>
      <c r="G307" s="3" t="s">
        <v>1725</v>
      </c>
      <c r="H307" s="3" t="s">
        <v>2227</v>
      </c>
      <c r="I307" s="3">
        <v>6</v>
      </c>
      <c r="J307" s="3" t="s">
        <v>22</v>
      </c>
      <c r="K307" s="3" t="s">
        <v>443</v>
      </c>
      <c r="L307" s="3" t="s">
        <v>444</v>
      </c>
      <c r="M307" s="3" t="s">
        <v>2228</v>
      </c>
      <c r="N307" s="3" t="s">
        <v>1380</v>
      </c>
      <c r="O307" s="3" t="s">
        <v>28</v>
      </c>
      <c r="P307" s="3" t="s">
        <v>137</v>
      </c>
      <c r="Q307" s="3" t="s">
        <v>114</v>
      </c>
      <c r="R307" s="3">
        <v>1</v>
      </c>
      <c r="S307" s="3">
        <v>43117.58</v>
      </c>
      <c r="T307" s="3">
        <v>10</v>
      </c>
      <c r="U307" s="3">
        <v>38805.82</v>
      </c>
      <c r="V307" s="3">
        <v>25496.560000000001</v>
      </c>
      <c r="W307" s="3">
        <v>13309.26</v>
      </c>
      <c r="X307" s="3">
        <v>34.299999999999997</v>
      </c>
      <c r="Y307" s="3">
        <v>149</v>
      </c>
      <c r="Z307" s="3" t="s">
        <v>23</v>
      </c>
      <c r="AA307" s="3" t="s">
        <v>186</v>
      </c>
      <c r="AB307" s="3" t="s">
        <v>140</v>
      </c>
      <c r="AC307" s="3"/>
    </row>
    <row r="308" spans="1:29" x14ac:dyDescent="0.3">
      <c r="A308" s="2" t="s">
        <v>2229</v>
      </c>
      <c r="B308" s="2" t="s">
        <v>2230</v>
      </c>
      <c r="C308" s="2" t="s">
        <v>2231</v>
      </c>
      <c r="D308" s="2" t="s">
        <v>2232</v>
      </c>
      <c r="E308" s="2" t="s">
        <v>18</v>
      </c>
      <c r="F308" s="2" t="s">
        <v>1263</v>
      </c>
      <c r="G308" s="2" t="s">
        <v>1264</v>
      </c>
      <c r="H308" s="2" t="s">
        <v>192</v>
      </c>
      <c r="I308" s="2">
        <v>2</v>
      </c>
      <c r="J308" s="2" t="s">
        <v>39</v>
      </c>
      <c r="K308" s="2" t="s">
        <v>225</v>
      </c>
      <c r="L308" s="2" t="s">
        <v>225</v>
      </c>
      <c r="M308" s="2" t="s">
        <v>2233</v>
      </c>
      <c r="N308" s="2" t="s">
        <v>583</v>
      </c>
      <c r="O308" s="2" t="s">
        <v>19</v>
      </c>
      <c r="P308" s="2" t="s">
        <v>447</v>
      </c>
      <c r="Q308" s="2" t="s">
        <v>218</v>
      </c>
      <c r="R308" s="2">
        <v>2</v>
      </c>
      <c r="S308" s="2">
        <v>11938.24</v>
      </c>
      <c r="T308" s="2">
        <v>15</v>
      </c>
      <c r="U308" s="2">
        <v>20295.009999999998</v>
      </c>
      <c r="V308" s="2">
        <v>10757.61</v>
      </c>
      <c r="W308" s="2">
        <v>9537.4</v>
      </c>
      <c r="X308" s="2">
        <v>46.99</v>
      </c>
      <c r="Y308" s="2">
        <v>29</v>
      </c>
      <c r="Z308" s="2" t="s">
        <v>43</v>
      </c>
      <c r="AA308" s="2" t="s">
        <v>100</v>
      </c>
      <c r="AB308" s="2" t="s">
        <v>101</v>
      </c>
      <c r="AC308" s="2">
        <v>5</v>
      </c>
    </row>
    <row r="309" spans="1:29" x14ac:dyDescent="0.3">
      <c r="A309" s="3" t="s">
        <v>2234</v>
      </c>
      <c r="B309" s="3" t="s">
        <v>2235</v>
      </c>
      <c r="C309" s="3" t="s">
        <v>847</v>
      </c>
      <c r="D309" s="3" t="s">
        <v>2236</v>
      </c>
      <c r="E309" s="3" t="s">
        <v>42</v>
      </c>
      <c r="F309" s="3" t="s">
        <v>2237</v>
      </c>
      <c r="G309" s="3" t="s">
        <v>2238</v>
      </c>
      <c r="H309" s="3" t="s">
        <v>264</v>
      </c>
      <c r="I309" s="3">
        <v>3</v>
      </c>
      <c r="J309" s="3" t="s">
        <v>29</v>
      </c>
      <c r="K309" s="3" t="s">
        <v>334</v>
      </c>
      <c r="L309" s="3" t="s">
        <v>1073</v>
      </c>
      <c r="M309" s="3" t="s">
        <v>2239</v>
      </c>
      <c r="N309" s="3" t="s">
        <v>475</v>
      </c>
      <c r="O309" s="3" t="s">
        <v>13</v>
      </c>
      <c r="P309" s="3" t="s">
        <v>228</v>
      </c>
      <c r="Q309" s="3" t="s">
        <v>207</v>
      </c>
      <c r="R309" s="3">
        <v>2</v>
      </c>
      <c r="S309" s="3">
        <v>27330.42</v>
      </c>
      <c r="T309" s="3">
        <v>15</v>
      </c>
      <c r="U309" s="3">
        <v>46461.71</v>
      </c>
      <c r="V309" s="3">
        <v>30958.21</v>
      </c>
      <c r="W309" s="3">
        <v>15503.5</v>
      </c>
      <c r="X309" s="3">
        <v>33.369999999999997</v>
      </c>
      <c r="Y309" s="3">
        <v>199</v>
      </c>
      <c r="Z309" s="3" t="s">
        <v>48</v>
      </c>
      <c r="AA309" s="3" t="s">
        <v>186</v>
      </c>
      <c r="AB309" s="3" t="s">
        <v>101</v>
      </c>
      <c r="AC309" s="3"/>
    </row>
    <row r="310" spans="1:29" x14ac:dyDescent="0.3">
      <c r="A310" s="2" t="s">
        <v>2240</v>
      </c>
      <c r="B310" s="2" t="s">
        <v>2241</v>
      </c>
      <c r="C310" s="2" t="s">
        <v>432</v>
      </c>
      <c r="D310" s="2" t="s">
        <v>2242</v>
      </c>
      <c r="E310" s="2" t="s">
        <v>18</v>
      </c>
      <c r="F310" s="2" t="s">
        <v>597</v>
      </c>
      <c r="G310" s="2" t="s">
        <v>2243</v>
      </c>
      <c r="H310" s="2" t="s">
        <v>1825</v>
      </c>
      <c r="I310" s="2">
        <v>4</v>
      </c>
      <c r="J310" s="2" t="s">
        <v>22</v>
      </c>
      <c r="K310" s="2" t="s">
        <v>254</v>
      </c>
      <c r="L310" s="2" t="s">
        <v>254</v>
      </c>
      <c r="M310" s="2" t="s">
        <v>2244</v>
      </c>
      <c r="N310" s="2" t="s">
        <v>296</v>
      </c>
      <c r="O310" s="2" t="s">
        <v>19</v>
      </c>
      <c r="P310" s="2" t="s">
        <v>297</v>
      </c>
      <c r="Q310" s="2" t="s">
        <v>152</v>
      </c>
      <c r="R310" s="2">
        <v>4</v>
      </c>
      <c r="S310" s="2">
        <v>47240.82</v>
      </c>
      <c r="T310" s="2">
        <v>15</v>
      </c>
      <c r="U310" s="2">
        <v>160618.79</v>
      </c>
      <c r="V310" s="2">
        <v>78997.740000000005</v>
      </c>
      <c r="W310" s="2">
        <v>81621.05</v>
      </c>
      <c r="X310" s="2">
        <v>50.82</v>
      </c>
      <c r="Y310" s="2">
        <v>49</v>
      </c>
      <c r="Z310" s="2" t="s">
        <v>40</v>
      </c>
      <c r="AA310" s="2" t="s">
        <v>275</v>
      </c>
      <c r="AB310" s="2" t="s">
        <v>101</v>
      </c>
      <c r="AC310" s="2"/>
    </row>
    <row r="311" spans="1:29" x14ac:dyDescent="0.3">
      <c r="A311" s="3" t="s">
        <v>2245</v>
      </c>
      <c r="B311" s="3" t="s">
        <v>2246</v>
      </c>
      <c r="C311" s="3" t="s">
        <v>1068</v>
      </c>
      <c r="D311" s="3" t="s">
        <v>2247</v>
      </c>
      <c r="E311" s="3" t="s">
        <v>42</v>
      </c>
      <c r="F311" s="3" t="s">
        <v>224</v>
      </c>
      <c r="G311" s="3" t="s">
        <v>2248</v>
      </c>
      <c r="H311" s="3" t="s">
        <v>426</v>
      </c>
      <c r="I311" s="3">
        <v>4</v>
      </c>
      <c r="J311" s="3" t="s">
        <v>29</v>
      </c>
      <c r="K311" s="3" t="s">
        <v>160</v>
      </c>
      <c r="L311" s="3" t="s">
        <v>976</v>
      </c>
      <c r="M311" s="3" t="s">
        <v>2249</v>
      </c>
      <c r="N311" s="3" t="s">
        <v>465</v>
      </c>
      <c r="O311" s="3" t="s">
        <v>19</v>
      </c>
      <c r="P311" s="3" t="s">
        <v>447</v>
      </c>
      <c r="Q311" s="3" t="s">
        <v>127</v>
      </c>
      <c r="R311" s="3">
        <v>5</v>
      </c>
      <c r="S311" s="3">
        <v>15447.26</v>
      </c>
      <c r="T311" s="3">
        <v>30</v>
      </c>
      <c r="U311" s="3">
        <v>54065.41</v>
      </c>
      <c r="V311" s="3">
        <v>36928.910000000003</v>
      </c>
      <c r="W311" s="3">
        <v>17136.5</v>
      </c>
      <c r="X311" s="3">
        <v>31.7</v>
      </c>
      <c r="Y311" s="3">
        <v>199</v>
      </c>
      <c r="Z311" s="3" t="s">
        <v>43</v>
      </c>
      <c r="AA311" s="3" t="s">
        <v>100</v>
      </c>
      <c r="AB311" s="3" t="s">
        <v>101</v>
      </c>
      <c r="AC311" s="3">
        <v>1</v>
      </c>
    </row>
    <row r="312" spans="1:29" x14ac:dyDescent="0.3">
      <c r="A312" s="2" t="s">
        <v>2250</v>
      </c>
      <c r="B312" s="2" t="s">
        <v>2251</v>
      </c>
      <c r="C312" s="2" t="s">
        <v>1866</v>
      </c>
      <c r="D312" s="2" t="s">
        <v>2252</v>
      </c>
      <c r="E312" s="2" t="s">
        <v>42</v>
      </c>
      <c r="F312" s="2" t="s">
        <v>454</v>
      </c>
      <c r="G312" s="2" t="s">
        <v>2253</v>
      </c>
      <c r="H312" s="2" t="s">
        <v>280</v>
      </c>
      <c r="I312" s="2">
        <v>8</v>
      </c>
      <c r="J312" s="2" t="s">
        <v>14</v>
      </c>
      <c r="K312" s="2" t="s">
        <v>215</v>
      </c>
      <c r="L312" s="2" t="s">
        <v>215</v>
      </c>
      <c r="M312" s="2" t="s">
        <v>2254</v>
      </c>
      <c r="N312" s="2" t="s">
        <v>1535</v>
      </c>
      <c r="O312" s="2" t="s">
        <v>13</v>
      </c>
      <c r="P312" s="2" t="s">
        <v>98</v>
      </c>
      <c r="Q312" s="2" t="s">
        <v>400</v>
      </c>
      <c r="R312" s="2">
        <v>5</v>
      </c>
      <c r="S312" s="2">
        <v>7082.74</v>
      </c>
      <c r="T312" s="2">
        <v>30</v>
      </c>
      <c r="U312" s="2">
        <v>24789.59</v>
      </c>
      <c r="V312" s="2">
        <v>15781.51</v>
      </c>
      <c r="W312" s="2">
        <v>9008.08</v>
      </c>
      <c r="X312" s="2">
        <v>36.340000000000003</v>
      </c>
      <c r="Y312" s="2">
        <v>29</v>
      </c>
      <c r="Z312" s="2" t="s">
        <v>23</v>
      </c>
      <c r="AA312" s="2" t="s">
        <v>100</v>
      </c>
      <c r="AB312" s="2" t="s">
        <v>101</v>
      </c>
      <c r="AC312" s="2">
        <v>5</v>
      </c>
    </row>
    <row r="313" spans="1:29" x14ac:dyDescent="0.3">
      <c r="A313" s="3" t="s">
        <v>2255</v>
      </c>
      <c r="B313" s="3" t="s">
        <v>2256</v>
      </c>
      <c r="C313" s="3" t="s">
        <v>2257</v>
      </c>
      <c r="D313" s="3" t="s">
        <v>2258</v>
      </c>
      <c r="E313" s="3" t="s">
        <v>42</v>
      </c>
      <c r="F313" s="3" t="s">
        <v>387</v>
      </c>
      <c r="G313" s="3" t="s">
        <v>180</v>
      </c>
      <c r="H313" s="3" t="s">
        <v>2259</v>
      </c>
      <c r="I313" s="3">
        <v>5</v>
      </c>
      <c r="J313" s="3" t="s">
        <v>22</v>
      </c>
      <c r="K313" s="3" t="s">
        <v>254</v>
      </c>
      <c r="L313" s="3" t="s">
        <v>254</v>
      </c>
      <c r="M313" s="3" t="s">
        <v>2260</v>
      </c>
      <c r="N313" s="3" t="s">
        <v>286</v>
      </c>
      <c r="O313" s="3" t="s">
        <v>28</v>
      </c>
      <c r="P313" s="3" t="s">
        <v>137</v>
      </c>
      <c r="Q313" s="3" t="s">
        <v>197</v>
      </c>
      <c r="R313" s="3">
        <v>5</v>
      </c>
      <c r="S313" s="3">
        <v>24438.07</v>
      </c>
      <c r="T313" s="3">
        <v>5</v>
      </c>
      <c r="U313" s="3">
        <v>116080.83</v>
      </c>
      <c r="V313" s="3">
        <v>52774.720000000001</v>
      </c>
      <c r="W313" s="3">
        <v>63306.11</v>
      </c>
      <c r="X313" s="3">
        <v>54.54</v>
      </c>
      <c r="Y313" s="3">
        <v>199</v>
      </c>
      <c r="Z313" s="3" t="s">
        <v>15</v>
      </c>
      <c r="AA313" s="3" t="s">
        <v>100</v>
      </c>
      <c r="AB313" s="3" t="s">
        <v>101</v>
      </c>
      <c r="AC313" s="3">
        <v>5</v>
      </c>
    </row>
    <row r="314" spans="1:29" x14ac:dyDescent="0.3">
      <c r="A314" s="2" t="s">
        <v>2261</v>
      </c>
      <c r="B314" s="2" t="s">
        <v>2262</v>
      </c>
      <c r="C314" s="2" t="s">
        <v>1038</v>
      </c>
      <c r="D314" s="2" t="s">
        <v>2263</v>
      </c>
      <c r="E314" s="2" t="s">
        <v>33</v>
      </c>
      <c r="F314" s="2" t="s">
        <v>2264</v>
      </c>
      <c r="G314" s="2" t="s">
        <v>304</v>
      </c>
      <c r="H314" s="2" t="s">
        <v>2265</v>
      </c>
      <c r="I314" s="2">
        <v>6</v>
      </c>
      <c r="J314" s="2" t="s">
        <v>14</v>
      </c>
      <c r="K314" s="2" t="s">
        <v>95</v>
      </c>
      <c r="L314" s="2" t="s">
        <v>95</v>
      </c>
      <c r="M314" s="2" t="s">
        <v>2266</v>
      </c>
      <c r="N314" s="2" t="s">
        <v>364</v>
      </c>
      <c r="O314" s="2" t="s">
        <v>19</v>
      </c>
      <c r="P314" s="2" t="s">
        <v>365</v>
      </c>
      <c r="Q314" s="2" t="s">
        <v>355</v>
      </c>
      <c r="R314" s="2">
        <v>5</v>
      </c>
      <c r="S314" s="2">
        <v>30776.18</v>
      </c>
      <c r="T314" s="2">
        <v>25</v>
      </c>
      <c r="U314" s="2">
        <v>115410.67</v>
      </c>
      <c r="V314" s="2">
        <v>71835.16</v>
      </c>
      <c r="W314" s="2">
        <v>43575.51</v>
      </c>
      <c r="X314" s="2">
        <v>37.76</v>
      </c>
      <c r="Y314" s="2">
        <v>49</v>
      </c>
      <c r="Z314" s="2" t="s">
        <v>40</v>
      </c>
      <c r="AA314" s="2" t="s">
        <v>100</v>
      </c>
      <c r="AB314" s="2" t="s">
        <v>101</v>
      </c>
      <c r="AC314" s="2">
        <v>3</v>
      </c>
    </row>
    <row r="315" spans="1:29" x14ac:dyDescent="0.3">
      <c r="A315" s="3" t="s">
        <v>2267</v>
      </c>
      <c r="B315" s="3" t="s">
        <v>2268</v>
      </c>
      <c r="C315" s="3" t="s">
        <v>339</v>
      </c>
      <c r="D315" s="3" t="s">
        <v>2269</v>
      </c>
      <c r="E315" s="3" t="s">
        <v>18</v>
      </c>
      <c r="F315" s="3" t="s">
        <v>2270</v>
      </c>
      <c r="G315" s="3" t="s">
        <v>2271</v>
      </c>
      <c r="H315" s="3" t="s">
        <v>1486</v>
      </c>
      <c r="I315" s="3">
        <v>4</v>
      </c>
      <c r="J315" s="3" t="s">
        <v>14</v>
      </c>
      <c r="K315" s="3" t="s">
        <v>215</v>
      </c>
      <c r="L315" s="3" t="s">
        <v>215</v>
      </c>
      <c r="M315" s="3" t="s">
        <v>2272</v>
      </c>
      <c r="N315" s="3" t="s">
        <v>964</v>
      </c>
      <c r="O315" s="3" t="s">
        <v>13</v>
      </c>
      <c r="P315" s="3" t="s">
        <v>98</v>
      </c>
      <c r="Q315" s="3" t="s">
        <v>400</v>
      </c>
      <c r="R315" s="3">
        <v>1</v>
      </c>
      <c r="S315" s="3">
        <v>28837.03</v>
      </c>
      <c r="T315" s="3">
        <v>5</v>
      </c>
      <c r="U315" s="3">
        <v>27395.18</v>
      </c>
      <c r="V315" s="3">
        <v>15210.41</v>
      </c>
      <c r="W315" s="3">
        <v>12184.77</v>
      </c>
      <c r="X315" s="3">
        <v>44.48</v>
      </c>
      <c r="Y315" s="3">
        <v>149</v>
      </c>
      <c r="Z315" s="3" t="s">
        <v>43</v>
      </c>
      <c r="AA315" s="3" t="s">
        <v>186</v>
      </c>
      <c r="AB315" s="3" t="s">
        <v>101</v>
      </c>
      <c r="AC315" s="3"/>
    </row>
    <row r="316" spans="1:29" x14ac:dyDescent="0.3">
      <c r="A316" s="2" t="s">
        <v>2273</v>
      </c>
      <c r="B316" s="2" t="s">
        <v>2274</v>
      </c>
      <c r="C316" s="2" t="s">
        <v>1544</v>
      </c>
      <c r="D316" s="2" t="s">
        <v>2275</v>
      </c>
      <c r="E316" s="2" t="s">
        <v>33</v>
      </c>
      <c r="F316" s="2" t="s">
        <v>684</v>
      </c>
      <c r="G316" s="2" t="s">
        <v>333</v>
      </c>
      <c r="H316" s="2" t="s">
        <v>2276</v>
      </c>
      <c r="I316" s="2">
        <v>4</v>
      </c>
      <c r="J316" s="2" t="s">
        <v>22</v>
      </c>
      <c r="K316" s="2" t="s">
        <v>738</v>
      </c>
      <c r="L316" s="2" t="s">
        <v>738</v>
      </c>
      <c r="M316" s="2" t="s">
        <v>2277</v>
      </c>
      <c r="N316" s="2" t="s">
        <v>217</v>
      </c>
      <c r="O316" s="2" t="s">
        <v>21</v>
      </c>
      <c r="P316" s="2" t="s">
        <v>206</v>
      </c>
      <c r="Q316" s="2" t="s">
        <v>218</v>
      </c>
      <c r="R316" s="2">
        <v>4</v>
      </c>
      <c r="S316" s="2">
        <v>14296.97</v>
      </c>
      <c r="T316" s="2">
        <v>5</v>
      </c>
      <c r="U316" s="2">
        <v>54328.49</v>
      </c>
      <c r="V316" s="2">
        <v>37546.720000000001</v>
      </c>
      <c r="W316" s="2">
        <v>16781.77</v>
      </c>
      <c r="X316" s="2">
        <v>30.89</v>
      </c>
      <c r="Y316" s="2">
        <v>199</v>
      </c>
      <c r="Z316" s="2" t="s">
        <v>43</v>
      </c>
      <c r="AA316" s="2" t="s">
        <v>100</v>
      </c>
      <c r="AB316" s="2" t="s">
        <v>101</v>
      </c>
      <c r="AC316" s="2">
        <v>2</v>
      </c>
    </row>
    <row r="317" spans="1:29" x14ac:dyDescent="0.3">
      <c r="A317" s="3" t="s">
        <v>2278</v>
      </c>
      <c r="B317" s="3" t="s">
        <v>2279</v>
      </c>
      <c r="C317" s="3" t="s">
        <v>1091</v>
      </c>
      <c r="D317" s="3" t="s">
        <v>2280</v>
      </c>
      <c r="E317" s="3" t="s">
        <v>42</v>
      </c>
      <c r="F317" s="3" t="s">
        <v>108</v>
      </c>
      <c r="G317" s="3" t="s">
        <v>989</v>
      </c>
      <c r="H317" s="3" t="s">
        <v>727</v>
      </c>
      <c r="I317" s="3">
        <v>8</v>
      </c>
      <c r="J317" s="3" t="s">
        <v>39</v>
      </c>
      <c r="K317" s="3" t="s">
        <v>193</v>
      </c>
      <c r="L317" s="3" t="s">
        <v>193</v>
      </c>
      <c r="M317" s="3" t="s">
        <v>2281</v>
      </c>
      <c r="N317" s="3" t="s">
        <v>150</v>
      </c>
      <c r="O317" s="3" t="s">
        <v>28</v>
      </c>
      <c r="P317" s="3" t="s">
        <v>151</v>
      </c>
      <c r="Q317" s="3" t="s">
        <v>127</v>
      </c>
      <c r="R317" s="3">
        <v>5</v>
      </c>
      <c r="S317" s="3">
        <v>36459.51</v>
      </c>
      <c r="T317" s="3">
        <v>0</v>
      </c>
      <c r="U317" s="3">
        <v>182297.55</v>
      </c>
      <c r="V317" s="3">
        <v>86770.97</v>
      </c>
      <c r="W317" s="3">
        <v>95526.58</v>
      </c>
      <c r="X317" s="3">
        <v>52.4</v>
      </c>
      <c r="Y317" s="3">
        <v>199</v>
      </c>
      <c r="Z317" s="3" t="s">
        <v>48</v>
      </c>
      <c r="AA317" s="3" t="s">
        <v>100</v>
      </c>
      <c r="AB317" s="3" t="s">
        <v>101</v>
      </c>
      <c r="AC317" s="3">
        <v>2</v>
      </c>
    </row>
    <row r="318" spans="1:29" x14ac:dyDescent="0.3">
      <c r="A318" s="2" t="s">
        <v>2282</v>
      </c>
      <c r="B318" s="2" t="s">
        <v>1376</v>
      </c>
      <c r="C318" s="2" t="s">
        <v>339</v>
      </c>
      <c r="D318" s="2" t="s">
        <v>2283</v>
      </c>
      <c r="E318" s="2" t="s">
        <v>42</v>
      </c>
      <c r="F318" s="2" t="s">
        <v>2206</v>
      </c>
      <c r="G318" s="2" t="s">
        <v>1413</v>
      </c>
      <c r="H318" s="2" t="s">
        <v>1415</v>
      </c>
      <c r="I318" s="2">
        <v>4</v>
      </c>
      <c r="J318" s="2" t="s">
        <v>22</v>
      </c>
      <c r="K318" s="2" t="s">
        <v>443</v>
      </c>
      <c r="L318" s="2" t="s">
        <v>567</v>
      </c>
      <c r="M318" s="2" t="s">
        <v>417</v>
      </c>
      <c r="N318" s="2" t="s">
        <v>274</v>
      </c>
      <c r="O318" s="2" t="s">
        <v>21</v>
      </c>
      <c r="P318" s="2" t="s">
        <v>126</v>
      </c>
      <c r="Q318" s="2" t="s">
        <v>246</v>
      </c>
      <c r="R318" s="2">
        <v>4</v>
      </c>
      <c r="S318" s="2">
        <v>45212.17</v>
      </c>
      <c r="T318" s="2">
        <v>10</v>
      </c>
      <c r="U318" s="2">
        <v>162763.81</v>
      </c>
      <c r="V318" s="2">
        <v>101499.97</v>
      </c>
      <c r="W318" s="2">
        <v>61263.839999999997</v>
      </c>
      <c r="X318" s="2">
        <v>37.64</v>
      </c>
      <c r="Y318" s="2">
        <v>99</v>
      </c>
      <c r="Z318" s="2" t="s">
        <v>30</v>
      </c>
      <c r="AA318" s="2" t="s">
        <v>672</v>
      </c>
      <c r="AB318" s="2" t="s">
        <v>101</v>
      </c>
      <c r="AC318" s="2"/>
    </row>
    <row r="319" spans="1:29" x14ac:dyDescent="0.3">
      <c r="A319" s="3" t="s">
        <v>2284</v>
      </c>
      <c r="B319" s="3" t="s">
        <v>2285</v>
      </c>
      <c r="C319" s="3" t="s">
        <v>2286</v>
      </c>
      <c r="D319" s="3" t="s">
        <v>2287</v>
      </c>
      <c r="E319" s="3" t="s">
        <v>18</v>
      </c>
      <c r="F319" s="3" t="s">
        <v>1547</v>
      </c>
      <c r="G319" s="3" t="s">
        <v>94</v>
      </c>
      <c r="H319" s="3" t="s">
        <v>843</v>
      </c>
      <c r="I319" s="3">
        <v>2</v>
      </c>
      <c r="J319" s="3" t="s">
        <v>39</v>
      </c>
      <c r="K319" s="3" t="s">
        <v>314</v>
      </c>
      <c r="L319" s="3" t="s">
        <v>314</v>
      </c>
      <c r="M319" s="3" t="s">
        <v>2288</v>
      </c>
      <c r="N319" s="3" t="s">
        <v>125</v>
      </c>
      <c r="O319" s="3" t="s">
        <v>21</v>
      </c>
      <c r="P319" s="3" t="s">
        <v>126</v>
      </c>
      <c r="Q319" s="3" t="s">
        <v>138</v>
      </c>
      <c r="R319" s="3">
        <v>3</v>
      </c>
      <c r="S319" s="3">
        <v>22001.48</v>
      </c>
      <c r="T319" s="3">
        <v>25</v>
      </c>
      <c r="U319" s="3">
        <v>49503.33</v>
      </c>
      <c r="V319" s="3">
        <v>28917.34</v>
      </c>
      <c r="W319" s="3">
        <v>20585.990000000002</v>
      </c>
      <c r="X319" s="3">
        <v>41.59</v>
      </c>
      <c r="Y319" s="3">
        <v>0</v>
      </c>
      <c r="Z319" s="3" t="s">
        <v>48</v>
      </c>
      <c r="AA319" s="3" t="s">
        <v>100</v>
      </c>
      <c r="AB319" s="3" t="s">
        <v>101</v>
      </c>
      <c r="AC319" s="3">
        <v>2</v>
      </c>
    </row>
    <row r="320" spans="1:29" x14ac:dyDescent="0.3">
      <c r="A320" s="2" t="s">
        <v>2289</v>
      </c>
      <c r="B320" s="2" t="s">
        <v>2290</v>
      </c>
      <c r="C320" s="2" t="s">
        <v>2291</v>
      </c>
      <c r="D320" s="2" t="s">
        <v>2292</v>
      </c>
      <c r="E320" s="2" t="s">
        <v>42</v>
      </c>
      <c r="F320" s="2" t="s">
        <v>2293</v>
      </c>
      <c r="G320" s="2" t="s">
        <v>2013</v>
      </c>
      <c r="H320" s="2" t="s">
        <v>2294</v>
      </c>
      <c r="I320" s="2">
        <v>3</v>
      </c>
      <c r="J320" s="2" t="s">
        <v>14</v>
      </c>
      <c r="K320" s="2" t="s">
        <v>95</v>
      </c>
      <c r="L320" s="2" t="s">
        <v>95</v>
      </c>
      <c r="M320" s="2" t="s">
        <v>2295</v>
      </c>
      <c r="N320" s="2" t="s">
        <v>533</v>
      </c>
      <c r="O320" s="2" t="s">
        <v>19</v>
      </c>
      <c r="P320" s="2" t="s">
        <v>297</v>
      </c>
      <c r="Q320" s="2" t="s">
        <v>400</v>
      </c>
      <c r="R320" s="2">
        <v>3</v>
      </c>
      <c r="S320" s="2">
        <v>39060.230000000003</v>
      </c>
      <c r="T320" s="2">
        <v>20</v>
      </c>
      <c r="U320" s="2">
        <v>93744.55</v>
      </c>
      <c r="V320" s="2">
        <v>53357.82</v>
      </c>
      <c r="W320" s="2">
        <v>40386.730000000003</v>
      </c>
      <c r="X320" s="2">
        <v>43.08</v>
      </c>
      <c r="Y320" s="2">
        <v>49</v>
      </c>
      <c r="Z320" s="2" t="s">
        <v>30</v>
      </c>
      <c r="AA320" s="2" t="s">
        <v>139</v>
      </c>
      <c r="AB320" s="2" t="s">
        <v>140</v>
      </c>
      <c r="AC320" s="2"/>
    </row>
    <row r="321" spans="1:29" x14ac:dyDescent="0.3">
      <c r="A321" s="3" t="s">
        <v>2296</v>
      </c>
      <c r="B321" s="3" t="s">
        <v>2297</v>
      </c>
      <c r="C321" s="3" t="s">
        <v>2298</v>
      </c>
      <c r="D321" s="3" t="s">
        <v>2299</v>
      </c>
      <c r="E321" s="3" t="s">
        <v>42</v>
      </c>
      <c r="F321" s="3" t="s">
        <v>2300</v>
      </c>
      <c r="G321" s="3" t="s">
        <v>745</v>
      </c>
      <c r="H321" s="3" t="s">
        <v>2301</v>
      </c>
      <c r="I321" s="3">
        <v>5</v>
      </c>
      <c r="J321" s="3" t="s">
        <v>39</v>
      </c>
      <c r="K321" s="3" t="s">
        <v>225</v>
      </c>
      <c r="L321" s="3" t="s">
        <v>225</v>
      </c>
      <c r="M321" s="3" t="s">
        <v>2302</v>
      </c>
      <c r="N321" s="3" t="s">
        <v>438</v>
      </c>
      <c r="O321" s="3" t="s">
        <v>13</v>
      </c>
      <c r="P321" s="3" t="s">
        <v>228</v>
      </c>
      <c r="Q321" s="3" t="s">
        <v>207</v>
      </c>
      <c r="R321" s="3">
        <v>4</v>
      </c>
      <c r="S321" s="3">
        <v>27894.57</v>
      </c>
      <c r="T321" s="3">
        <v>15</v>
      </c>
      <c r="U321" s="3">
        <v>94841.54</v>
      </c>
      <c r="V321" s="3">
        <v>63467.99</v>
      </c>
      <c r="W321" s="3">
        <v>31373.55</v>
      </c>
      <c r="X321" s="3">
        <v>33.08</v>
      </c>
      <c r="Y321" s="3">
        <v>49</v>
      </c>
      <c r="Z321" s="3" t="s">
        <v>40</v>
      </c>
      <c r="AA321" s="3" t="s">
        <v>186</v>
      </c>
      <c r="AB321" s="3" t="s">
        <v>101</v>
      </c>
      <c r="AC321" s="3"/>
    </row>
    <row r="322" spans="1:29" x14ac:dyDescent="0.3">
      <c r="A322" s="2" t="s">
        <v>2303</v>
      </c>
      <c r="B322" s="2" t="s">
        <v>2304</v>
      </c>
      <c r="C322" s="2" t="s">
        <v>2305</v>
      </c>
      <c r="D322" s="2" t="s">
        <v>2306</v>
      </c>
      <c r="E322" s="2" t="s">
        <v>33</v>
      </c>
      <c r="F322" s="2" t="s">
        <v>1378</v>
      </c>
      <c r="G322" s="2" t="s">
        <v>2307</v>
      </c>
      <c r="H322" s="2" t="s">
        <v>2093</v>
      </c>
      <c r="I322" s="2">
        <v>4</v>
      </c>
      <c r="J322" s="2" t="s">
        <v>39</v>
      </c>
      <c r="K322" s="2" t="s">
        <v>109</v>
      </c>
      <c r="L322" s="2" t="s">
        <v>110</v>
      </c>
      <c r="M322" s="2" t="s">
        <v>2308</v>
      </c>
      <c r="N322" s="2" t="s">
        <v>205</v>
      </c>
      <c r="O322" s="2" t="s">
        <v>21</v>
      </c>
      <c r="P322" s="2" t="s">
        <v>206</v>
      </c>
      <c r="Q322" s="2" t="s">
        <v>509</v>
      </c>
      <c r="R322" s="2">
        <v>3</v>
      </c>
      <c r="S322" s="2">
        <v>17649.91</v>
      </c>
      <c r="T322" s="2">
        <v>15</v>
      </c>
      <c r="U322" s="2">
        <v>45007.27</v>
      </c>
      <c r="V322" s="2">
        <v>27466.52</v>
      </c>
      <c r="W322" s="2">
        <v>17540.75</v>
      </c>
      <c r="X322" s="2">
        <v>38.97</v>
      </c>
      <c r="Y322" s="2">
        <v>49</v>
      </c>
      <c r="Z322" s="2" t="s">
        <v>48</v>
      </c>
      <c r="AA322" s="2" t="s">
        <v>100</v>
      </c>
      <c r="AB322" s="2" t="s">
        <v>101</v>
      </c>
      <c r="AC322" s="2">
        <v>2</v>
      </c>
    </row>
    <row r="323" spans="1:29" x14ac:dyDescent="0.3">
      <c r="A323" s="3" t="s">
        <v>2309</v>
      </c>
      <c r="B323" s="3" t="s">
        <v>2310</v>
      </c>
      <c r="C323" s="3" t="s">
        <v>1335</v>
      </c>
      <c r="D323" s="3" t="s">
        <v>2311</v>
      </c>
      <c r="E323" s="3" t="s">
        <v>42</v>
      </c>
      <c r="F323" s="3" t="s">
        <v>1495</v>
      </c>
      <c r="G323" s="3" t="s">
        <v>292</v>
      </c>
      <c r="H323" s="3" t="s">
        <v>2312</v>
      </c>
      <c r="I323" s="3">
        <v>2</v>
      </c>
      <c r="J323" s="3" t="s">
        <v>14</v>
      </c>
      <c r="K323" s="3" t="s">
        <v>171</v>
      </c>
      <c r="L323" s="3" t="s">
        <v>541</v>
      </c>
      <c r="M323" s="3" t="s">
        <v>2313</v>
      </c>
      <c r="N323" s="3" t="s">
        <v>750</v>
      </c>
      <c r="O323" s="3" t="s">
        <v>13</v>
      </c>
      <c r="P323" s="3" t="s">
        <v>419</v>
      </c>
      <c r="Q323" s="3" t="s">
        <v>197</v>
      </c>
      <c r="R323" s="3">
        <v>4</v>
      </c>
      <c r="S323" s="3">
        <v>10639.81</v>
      </c>
      <c r="T323" s="3">
        <v>5</v>
      </c>
      <c r="U323" s="3">
        <v>40431.279999999999</v>
      </c>
      <c r="V323" s="3">
        <v>23069.91</v>
      </c>
      <c r="W323" s="3">
        <v>17361.37</v>
      </c>
      <c r="X323" s="3">
        <v>42.94</v>
      </c>
      <c r="Y323" s="3">
        <v>99</v>
      </c>
      <c r="Z323" s="3" t="s">
        <v>40</v>
      </c>
      <c r="AA323" s="3" t="s">
        <v>275</v>
      </c>
      <c r="AB323" s="3" t="s">
        <v>101</v>
      </c>
      <c r="AC323" s="3"/>
    </row>
    <row r="324" spans="1:29" x14ac:dyDescent="0.3">
      <c r="A324" s="2" t="s">
        <v>2314</v>
      </c>
      <c r="B324" s="2" t="s">
        <v>2315</v>
      </c>
      <c r="C324" s="2" t="s">
        <v>1196</v>
      </c>
      <c r="D324" s="2" t="s">
        <v>2316</v>
      </c>
      <c r="E324" s="2" t="s">
        <v>18</v>
      </c>
      <c r="F324" s="2" t="s">
        <v>181</v>
      </c>
      <c r="G324" s="2" t="s">
        <v>388</v>
      </c>
      <c r="H324" s="2" t="s">
        <v>2259</v>
      </c>
      <c r="I324" s="2">
        <v>2</v>
      </c>
      <c r="J324" s="2" t="s">
        <v>14</v>
      </c>
      <c r="K324" s="2" t="s">
        <v>215</v>
      </c>
      <c r="L324" s="2" t="s">
        <v>215</v>
      </c>
      <c r="M324" s="2" t="s">
        <v>2317</v>
      </c>
      <c r="N324" s="2" t="s">
        <v>964</v>
      </c>
      <c r="O324" s="2" t="s">
        <v>13</v>
      </c>
      <c r="P324" s="2" t="s">
        <v>98</v>
      </c>
      <c r="Q324" s="2" t="s">
        <v>509</v>
      </c>
      <c r="R324" s="2">
        <v>2</v>
      </c>
      <c r="S324" s="2">
        <v>28764.58</v>
      </c>
      <c r="T324" s="2">
        <v>0</v>
      </c>
      <c r="U324" s="2">
        <v>57529.16</v>
      </c>
      <c r="V324" s="2">
        <v>35454.81</v>
      </c>
      <c r="W324" s="2">
        <v>22074.35</v>
      </c>
      <c r="X324" s="2">
        <v>38.369999999999997</v>
      </c>
      <c r="Y324" s="2">
        <v>29</v>
      </c>
      <c r="Z324" s="2" t="s">
        <v>43</v>
      </c>
      <c r="AA324" s="2" t="s">
        <v>100</v>
      </c>
      <c r="AB324" s="2" t="s">
        <v>101</v>
      </c>
      <c r="AC324" s="2"/>
    </row>
    <row r="325" spans="1:29" x14ac:dyDescent="0.3">
      <c r="A325" s="3" t="s">
        <v>2318</v>
      </c>
      <c r="B325" s="3" t="s">
        <v>1310</v>
      </c>
      <c r="C325" s="3" t="s">
        <v>774</v>
      </c>
      <c r="D325" s="3" t="s">
        <v>2319</v>
      </c>
      <c r="E325" s="3" t="s">
        <v>33</v>
      </c>
      <c r="F325" s="3" t="s">
        <v>2320</v>
      </c>
      <c r="G325" s="3" t="s">
        <v>2321</v>
      </c>
      <c r="H325" s="3" t="s">
        <v>1495</v>
      </c>
      <c r="I325" s="3">
        <v>3</v>
      </c>
      <c r="J325" s="3" t="s">
        <v>39</v>
      </c>
      <c r="K325" s="3" t="s">
        <v>314</v>
      </c>
      <c r="L325" s="3" t="s">
        <v>314</v>
      </c>
      <c r="M325" s="3" t="s">
        <v>2322</v>
      </c>
      <c r="N325" s="3" t="s">
        <v>475</v>
      </c>
      <c r="O325" s="3" t="s">
        <v>13</v>
      </c>
      <c r="P325" s="3" t="s">
        <v>228</v>
      </c>
      <c r="Q325" s="3" t="s">
        <v>400</v>
      </c>
      <c r="R325" s="3">
        <v>3</v>
      </c>
      <c r="S325" s="3">
        <v>27297.919999999998</v>
      </c>
      <c r="T325" s="3">
        <v>0</v>
      </c>
      <c r="U325" s="3">
        <v>81893.759999999995</v>
      </c>
      <c r="V325" s="3">
        <v>54583.59</v>
      </c>
      <c r="W325" s="3">
        <v>27310.17</v>
      </c>
      <c r="X325" s="3">
        <v>33.35</v>
      </c>
      <c r="Y325" s="3">
        <v>149</v>
      </c>
      <c r="Z325" s="3" t="s">
        <v>23</v>
      </c>
      <c r="AA325" s="3" t="s">
        <v>100</v>
      </c>
      <c r="AB325" s="3" t="s">
        <v>101</v>
      </c>
      <c r="AC325" s="3">
        <v>4</v>
      </c>
    </row>
    <row r="326" spans="1:29" x14ac:dyDescent="0.3">
      <c r="A326" s="2" t="s">
        <v>2323</v>
      </c>
      <c r="B326" s="2" t="s">
        <v>2324</v>
      </c>
      <c r="C326" s="2" t="s">
        <v>2325</v>
      </c>
      <c r="D326" s="2" t="s">
        <v>2326</v>
      </c>
      <c r="E326" s="2" t="s">
        <v>18</v>
      </c>
      <c r="F326" s="2" t="s">
        <v>2238</v>
      </c>
      <c r="G326" s="2" t="s">
        <v>2327</v>
      </c>
      <c r="H326" s="2" t="s">
        <v>2328</v>
      </c>
      <c r="I326" s="2">
        <v>5</v>
      </c>
      <c r="J326" s="2" t="s">
        <v>14</v>
      </c>
      <c r="K326" s="2" t="s">
        <v>712</v>
      </c>
      <c r="L326" s="2" t="s">
        <v>712</v>
      </c>
      <c r="M326" s="2" t="s">
        <v>2329</v>
      </c>
      <c r="N326" s="2" t="s">
        <v>1802</v>
      </c>
      <c r="O326" s="2" t="s">
        <v>28</v>
      </c>
      <c r="P326" s="2" t="s">
        <v>137</v>
      </c>
      <c r="Q326" s="2" t="s">
        <v>246</v>
      </c>
      <c r="R326" s="2">
        <v>1</v>
      </c>
      <c r="S326" s="2">
        <v>19578.57</v>
      </c>
      <c r="T326" s="2">
        <v>25</v>
      </c>
      <c r="U326" s="2">
        <v>14683.93</v>
      </c>
      <c r="V326" s="2">
        <v>6940.66</v>
      </c>
      <c r="W326" s="2">
        <v>7743.27</v>
      </c>
      <c r="X326" s="2">
        <v>52.73</v>
      </c>
      <c r="Y326" s="2">
        <v>149</v>
      </c>
      <c r="Z326" s="2" t="s">
        <v>15</v>
      </c>
      <c r="AA326" s="2" t="s">
        <v>100</v>
      </c>
      <c r="AB326" s="2" t="s">
        <v>101</v>
      </c>
      <c r="AC326" s="2">
        <v>4</v>
      </c>
    </row>
    <row r="327" spans="1:29" x14ac:dyDescent="0.3">
      <c r="A327" s="3" t="s">
        <v>2330</v>
      </c>
      <c r="B327" s="3" t="s">
        <v>839</v>
      </c>
      <c r="C327" s="3" t="s">
        <v>855</v>
      </c>
      <c r="D327" s="3" t="s">
        <v>2331</v>
      </c>
      <c r="E327" s="3" t="s">
        <v>18</v>
      </c>
      <c r="F327" s="3" t="s">
        <v>1021</v>
      </c>
      <c r="G327" s="3" t="s">
        <v>2332</v>
      </c>
      <c r="H327" s="3" t="s">
        <v>2221</v>
      </c>
      <c r="I327" s="3">
        <v>2</v>
      </c>
      <c r="J327" s="3" t="s">
        <v>39</v>
      </c>
      <c r="K327" s="3" t="s">
        <v>225</v>
      </c>
      <c r="L327" s="3" t="s">
        <v>225</v>
      </c>
      <c r="M327" s="3" t="s">
        <v>2333</v>
      </c>
      <c r="N327" s="3" t="s">
        <v>306</v>
      </c>
      <c r="O327" s="3" t="s">
        <v>21</v>
      </c>
      <c r="P327" s="3" t="s">
        <v>126</v>
      </c>
      <c r="Q327" s="3" t="s">
        <v>127</v>
      </c>
      <c r="R327" s="3">
        <v>5</v>
      </c>
      <c r="S327" s="3">
        <v>36815.96</v>
      </c>
      <c r="T327" s="3">
        <v>25</v>
      </c>
      <c r="U327" s="3">
        <v>138059.85</v>
      </c>
      <c r="V327" s="3">
        <v>89329.06</v>
      </c>
      <c r="W327" s="3">
        <v>48730.79</v>
      </c>
      <c r="X327" s="3">
        <v>35.299999999999997</v>
      </c>
      <c r="Y327" s="3">
        <v>49</v>
      </c>
      <c r="Z327" s="3" t="s">
        <v>43</v>
      </c>
      <c r="AA327" s="3" t="s">
        <v>100</v>
      </c>
      <c r="AB327" s="3" t="s">
        <v>101</v>
      </c>
      <c r="AC327" s="3">
        <v>5</v>
      </c>
    </row>
    <row r="328" spans="1:29" x14ac:dyDescent="0.3">
      <c r="A328" s="2" t="s">
        <v>2334</v>
      </c>
      <c r="B328" s="2" t="s">
        <v>2335</v>
      </c>
      <c r="C328" s="2" t="s">
        <v>1630</v>
      </c>
      <c r="D328" s="2" t="s">
        <v>2336</v>
      </c>
      <c r="E328" s="2" t="s">
        <v>26</v>
      </c>
      <c r="F328" s="2" t="s">
        <v>360</v>
      </c>
      <c r="G328" s="2" t="s">
        <v>361</v>
      </c>
      <c r="H328" s="2" t="s">
        <v>761</v>
      </c>
      <c r="I328" s="2">
        <v>6</v>
      </c>
      <c r="J328" s="2" t="s">
        <v>14</v>
      </c>
      <c r="K328" s="2" t="s">
        <v>183</v>
      </c>
      <c r="L328" s="2" t="s">
        <v>183</v>
      </c>
      <c r="M328" s="2" t="s">
        <v>2183</v>
      </c>
      <c r="N328" s="2" t="s">
        <v>150</v>
      </c>
      <c r="O328" s="2" t="s">
        <v>28</v>
      </c>
      <c r="P328" s="2" t="s">
        <v>151</v>
      </c>
      <c r="Q328" s="2" t="s">
        <v>114</v>
      </c>
      <c r="R328" s="2">
        <v>3</v>
      </c>
      <c r="S328" s="2">
        <v>18747.77</v>
      </c>
      <c r="T328" s="2">
        <v>30</v>
      </c>
      <c r="U328" s="2">
        <v>39370.32</v>
      </c>
      <c r="V328" s="2">
        <v>25984.16</v>
      </c>
      <c r="W328" s="2">
        <v>13386.16</v>
      </c>
      <c r="X328" s="2">
        <v>34</v>
      </c>
      <c r="Y328" s="2">
        <v>199</v>
      </c>
      <c r="Z328" s="2" t="s">
        <v>15</v>
      </c>
      <c r="AA328" s="2" t="s">
        <v>100</v>
      </c>
      <c r="AB328" s="2" t="s">
        <v>140</v>
      </c>
      <c r="AC328" s="2">
        <v>3</v>
      </c>
    </row>
    <row r="329" spans="1:29" x14ac:dyDescent="0.3">
      <c r="A329" s="3" t="s">
        <v>2337</v>
      </c>
      <c r="B329" s="3" t="s">
        <v>2338</v>
      </c>
      <c r="C329" s="3" t="s">
        <v>2339</v>
      </c>
      <c r="D329" s="3" t="s">
        <v>2340</v>
      </c>
      <c r="E329" s="3" t="s">
        <v>42</v>
      </c>
      <c r="F329" s="3" t="s">
        <v>1907</v>
      </c>
      <c r="G329" s="3" t="s">
        <v>2270</v>
      </c>
      <c r="H329" s="3" t="s">
        <v>2341</v>
      </c>
      <c r="I329" s="3">
        <v>7</v>
      </c>
      <c r="J329" s="3" t="s">
        <v>14</v>
      </c>
      <c r="K329" s="3" t="s">
        <v>171</v>
      </c>
      <c r="L329" s="3" t="s">
        <v>407</v>
      </c>
      <c r="M329" s="3" t="s">
        <v>2342</v>
      </c>
      <c r="N329" s="3" t="s">
        <v>1223</v>
      </c>
      <c r="O329" s="3" t="s">
        <v>19</v>
      </c>
      <c r="P329" s="3" t="s">
        <v>447</v>
      </c>
      <c r="Q329" s="3" t="s">
        <v>197</v>
      </c>
      <c r="R329" s="3">
        <v>5</v>
      </c>
      <c r="S329" s="3">
        <v>35854.300000000003</v>
      </c>
      <c r="T329" s="3">
        <v>5</v>
      </c>
      <c r="U329" s="3">
        <v>170307.92</v>
      </c>
      <c r="V329" s="3">
        <v>84150.89</v>
      </c>
      <c r="W329" s="3">
        <v>86157.03</v>
      </c>
      <c r="X329" s="3">
        <v>50.59</v>
      </c>
      <c r="Y329" s="3">
        <v>49</v>
      </c>
      <c r="Z329" s="3" t="s">
        <v>40</v>
      </c>
      <c r="AA329" s="3" t="s">
        <v>100</v>
      </c>
      <c r="AB329" s="3" t="s">
        <v>101</v>
      </c>
      <c r="AC329" s="3"/>
    </row>
    <row r="330" spans="1:29" x14ac:dyDescent="0.3">
      <c r="A330" s="2" t="s">
        <v>2343</v>
      </c>
      <c r="B330" s="2" t="s">
        <v>2344</v>
      </c>
      <c r="C330" s="2" t="s">
        <v>2345</v>
      </c>
      <c r="D330" s="2" t="s">
        <v>2346</v>
      </c>
      <c r="E330" s="2" t="s">
        <v>42</v>
      </c>
      <c r="F330" s="2" t="s">
        <v>2347</v>
      </c>
      <c r="G330" s="2" t="s">
        <v>2348</v>
      </c>
      <c r="H330" s="2" t="s">
        <v>2349</v>
      </c>
      <c r="I330" s="2">
        <v>5</v>
      </c>
      <c r="J330" s="2" t="s">
        <v>29</v>
      </c>
      <c r="K330" s="2" t="s">
        <v>834</v>
      </c>
      <c r="L330" s="2" t="s">
        <v>1000</v>
      </c>
      <c r="M330" s="2" t="s">
        <v>2350</v>
      </c>
      <c r="N330" s="2" t="s">
        <v>551</v>
      </c>
      <c r="O330" s="2" t="s">
        <v>13</v>
      </c>
      <c r="P330" s="2" t="s">
        <v>98</v>
      </c>
      <c r="Q330" s="2" t="s">
        <v>207</v>
      </c>
      <c r="R330" s="2">
        <v>4</v>
      </c>
      <c r="S330" s="2">
        <v>10098.030000000001</v>
      </c>
      <c r="T330" s="2">
        <v>15</v>
      </c>
      <c r="U330" s="2">
        <v>34333.300000000003</v>
      </c>
      <c r="V330" s="2">
        <v>21465.47</v>
      </c>
      <c r="W330" s="2">
        <v>12867.83</v>
      </c>
      <c r="X330" s="2">
        <v>37.479999999999997</v>
      </c>
      <c r="Y330" s="2">
        <v>29</v>
      </c>
      <c r="Z330" s="2" t="s">
        <v>40</v>
      </c>
      <c r="AA330" s="2" t="s">
        <v>100</v>
      </c>
      <c r="AB330" s="2" t="s">
        <v>101</v>
      </c>
      <c r="AC330" s="2">
        <v>4</v>
      </c>
    </row>
    <row r="331" spans="1:29" x14ac:dyDescent="0.3">
      <c r="A331" s="3" t="s">
        <v>2351</v>
      </c>
      <c r="B331" s="3" t="s">
        <v>2352</v>
      </c>
      <c r="C331" s="3" t="s">
        <v>1911</v>
      </c>
      <c r="D331" s="3" t="s">
        <v>2353</v>
      </c>
      <c r="E331" s="3" t="s">
        <v>42</v>
      </c>
      <c r="F331" s="3" t="s">
        <v>2354</v>
      </c>
      <c r="G331" s="3" t="s">
        <v>1330</v>
      </c>
      <c r="H331" s="3" t="s">
        <v>272</v>
      </c>
      <c r="I331" s="3">
        <v>3</v>
      </c>
      <c r="J331" s="3" t="s">
        <v>39</v>
      </c>
      <c r="K331" s="3" t="s">
        <v>314</v>
      </c>
      <c r="L331" s="3" t="s">
        <v>314</v>
      </c>
      <c r="M331" s="3" t="s">
        <v>2355</v>
      </c>
      <c r="N331" s="3" t="s">
        <v>704</v>
      </c>
      <c r="O331" s="3" t="s">
        <v>13</v>
      </c>
      <c r="P331" s="3" t="s">
        <v>419</v>
      </c>
      <c r="Q331" s="3" t="s">
        <v>138</v>
      </c>
      <c r="R331" s="3">
        <v>3</v>
      </c>
      <c r="S331" s="3">
        <v>34002.19</v>
      </c>
      <c r="T331" s="3">
        <v>0</v>
      </c>
      <c r="U331" s="3">
        <v>102006.57</v>
      </c>
      <c r="V331" s="3">
        <v>50530.43</v>
      </c>
      <c r="W331" s="3">
        <v>51476.14</v>
      </c>
      <c r="X331" s="3">
        <v>50.46</v>
      </c>
      <c r="Y331" s="3">
        <v>199</v>
      </c>
      <c r="Z331" s="3" t="s">
        <v>40</v>
      </c>
      <c r="AA331" s="3" t="s">
        <v>186</v>
      </c>
      <c r="AB331" s="3" t="s">
        <v>101</v>
      </c>
      <c r="AC331" s="3"/>
    </row>
    <row r="332" spans="1:29" x14ac:dyDescent="0.3">
      <c r="A332" s="2" t="s">
        <v>2356</v>
      </c>
      <c r="B332" s="2" t="s">
        <v>2357</v>
      </c>
      <c r="C332" s="2" t="s">
        <v>200</v>
      </c>
      <c r="D332" s="2" t="s">
        <v>2358</v>
      </c>
      <c r="E332" s="2" t="s">
        <v>33</v>
      </c>
      <c r="F332" s="2" t="s">
        <v>786</v>
      </c>
      <c r="G332" s="2" t="s">
        <v>960</v>
      </c>
      <c r="H332" s="2" t="s">
        <v>2359</v>
      </c>
      <c r="I332" s="2">
        <v>3</v>
      </c>
      <c r="J332" s="2" t="s">
        <v>29</v>
      </c>
      <c r="K332" s="2" t="s">
        <v>834</v>
      </c>
      <c r="L332" s="2" t="s">
        <v>1000</v>
      </c>
      <c r="M332" s="2" t="s">
        <v>2360</v>
      </c>
      <c r="N332" s="2" t="s">
        <v>354</v>
      </c>
      <c r="O332" s="2" t="s">
        <v>21</v>
      </c>
      <c r="P332" s="2" t="s">
        <v>196</v>
      </c>
      <c r="Q332" s="2" t="s">
        <v>287</v>
      </c>
      <c r="R332" s="2">
        <v>2</v>
      </c>
      <c r="S332" s="2">
        <v>47358.07</v>
      </c>
      <c r="T332" s="2">
        <v>30</v>
      </c>
      <c r="U332" s="2">
        <v>66301.3</v>
      </c>
      <c r="V332" s="2">
        <v>44297.37</v>
      </c>
      <c r="W332" s="2">
        <v>22003.93</v>
      </c>
      <c r="X332" s="2">
        <v>33.19</v>
      </c>
      <c r="Y332" s="2">
        <v>99</v>
      </c>
      <c r="Z332" s="2" t="s">
        <v>47</v>
      </c>
      <c r="AA332" s="2" t="s">
        <v>100</v>
      </c>
      <c r="AB332" s="2" t="s">
        <v>101</v>
      </c>
      <c r="AC332" s="2">
        <v>2</v>
      </c>
    </row>
    <row r="333" spans="1:29" x14ac:dyDescent="0.3">
      <c r="A333" s="3" t="s">
        <v>2361</v>
      </c>
      <c r="B333" s="3" t="s">
        <v>2362</v>
      </c>
      <c r="C333" s="3" t="s">
        <v>502</v>
      </c>
      <c r="D333" s="3" t="s">
        <v>2363</v>
      </c>
      <c r="E333" s="3" t="s">
        <v>33</v>
      </c>
      <c r="F333" s="3" t="s">
        <v>2364</v>
      </c>
      <c r="G333" s="3" t="s">
        <v>2253</v>
      </c>
      <c r="H333" s="3" t="s">
        <v>2365</v>
      </c>
      <c r="I333" s="3">
        <v>2</v>
      </c>
      <c r="J333" s="3" t="s">
        <v>22</v>
      </c>
      <c r="K333" s="3" t="s">
        <v>443</v>
      </c>
      <c r="L333" s="3" t="s">
        <v>498</v>
      </c>
      <c r="M333" s="3" t="s">
        <v>2366</v>
      </c>
      <c r="N333" s="3" t="s">
        <v>1603</v>
      </c>
      <c r="O333" s="3" t="s">
        <v>19</v>
      </c>
      <c r="P333" s="3" t="s">
        <v>365</v>
      </c>
      <c r="Q333" s="3" t="s">
        <v>608</v>
      </c>
      <c r="R333" s="3">
        <v>4</v>
      </c>
      <c r="S333" s="3">
        <v>7730.57</v>
      </c>
      <c r="T333" s="3">
        <v>5</v>
      </c>
      <c r="U333" s="3">
        <v>29376.17</v>
      </c>
      <c r="V333" s="3">
        <v>15102.8</v>
      </c>
      <c r="W333" s="3">
        <v>14273.37</v>
      </c>
      <c r="X333" s="3">
        <v>48.59</v>
      </c>
      <c r="Y333" s="3">
        <v>49</v>
      </c>
      <c r="Z333" s="3" t="s">
        <v>43</v>
      </c>
      <c r="AA333" s="3" t="s">
        <v>186</v>
      </c>
      <c r="AB333" s="3" t="s">
        <v>101</v>
      </c>
      <c r="AC333" s="3"/>
    </row>
    <row r="334" spans="1:29" x14ac:dyDescent="0.3">
      <c r="A334" s="2" t="s">
        <v>2367</v>
      </c>
      <c r="B334" s="2" t="s">
        <v>2368</v>
      </c>
      <c r="C334" s="2" t="s">
        <v>536</v>
      </c>
      <c r="D334" s="2" t="s">
        <v>2369</v>
      </c>
      <c r="E334" s="2" t="s">
        <v>26</v>
      </c>
      <c r="F334" s="2" t="s">
        <v>2118</v>
      </c>
      <c r="G334" s="2" t="s">
        <v>2370</v>
      </c>
      <c r="H334" s="2" t="s">
        <v>2371</v>
      </c>
      <c r="I334" s="2">
        <v>4</v>
      </c>
      <c r="J334" s="2" t="s">
        <v>29</v>
      </c>
      <c r="K334" s="2" t="s">
        <v>160</v>
      </c>
      <c r="L334" s="2" t="s">
        <v>559</v>
      </c>
      <c r="M334" s="2" t="s">
        <v>2372</v>
      </c>
      <c r="N334" s="2" t="s">
        <v>390</v>
      </c>
      <c r="O334" s="2" t="s">
        <v>19</v>
      </c>
      <c r="P334" s="2" t="s">
        <v>297</v>
      </c>
      <c r="Q334" s="2" t="s">
        <v>400</v>
      </c>
      <c r="R334" s="2">
        <v>5</v>
      </c>
      <c r="S334" s="2">
        <v>24616.15</v>
      </c>
      <c r="T334" s="2">
        <v>30</v>
      </c>
      <c r="U334" s="2">
        <v>86156.52</v>
      </c>
      <c r="V334" s="2">
        <v>46827.09</v>
      </c>
      <c r="W334" s="2">
        <v>39329.43</v>
      </c>
      <c r="X334" s="2">
        <v>45.65</v>
      </c>
      <c r="Y334" s="2">
        <v>149</v>
      </c>
      <c r="Z334" s="2" t="s">
        <v>30</v>
      </c>
      <c r="AA334" s="2" t="s">
        <v>100</v>
      </c>
      <c r="AB334" s="2" t="s">
        <v>101</v>
      </c>
      <c r="AC334" s="2">
        <v>2</v>
      </c>
    </row>
    <row r="335" spans="1:29" x14ac:dyDescent="0.3">
      <c r="A335" s="3" t="s">
        <v>2373</v>
      </c>
      <c r="B335" s="3" t="s">
        <v>2374</v>
      </c>
      <c r="C335" s="3" t="s">
        <v>2325</v>
      </c>
      <c r="D335" s="3" t="s">
        <v>2375</v>
      </c>
      <c r="E335" s="3" t="s">
        <v>26</v>
      </c>
      <c r="F335" s="3" t="s">
        <v>1040</v>
      </c>
      <c r="G335" s="3" t="s">
        <v>2376</v>
      </c>
      <c r="H335" s="3" t="s">
        <v>776</v>
      </c>
      <c r="I335" s="3">
        <v>3</v>
      </c>
      <c r="J335" s="3" t="s">
        <v>29</v>
      </c>
      <c r="K335" s="3" t="s">
        <v>148</v>
      </c>
      <c r="L335" s="3" t="s">
        <v>148</v>
      </c>
      <c r="M335" s="3" t="s">
        <v>2377</v>
      </c>
      <c r="N335" s="3" t="s">
        <v>97</v>
      </c>
      <c r="O335" s="3" t="s">
        <v>13</v>
      </c>
      <c r="P335" s="3" t="s">
        <v>98</v>
      </c>
      <c r="Q335" s="3" t="s">
        <v>114</v>
      </c>
      <c r="R335" s="3">
        <v>5</v>
      </c>
      <c r="S335" s="3">
        <v>2165.04</v>
      </c>
      <c r="T335" s="3">
        <v>30</v>
      </c>
      <c r="U335" s="3">
        <v>7577.64</v>
      </c>
      <c r="V335" s="3">
        <v>4063.96</v>
      </c>
      <c r="W335" s="3">
        <v>3513.68</v>
      </c>
      <c r="X335" s="3">
        <v>46.37</v>
      </c>
      <c r="Y335" s="3">
        <v>49</v>
      </c>
      <c r="Z335" s="3" t="s">
        <v>43</v>
      </c>
      <c r="AA335" s="3" t="s">
        <v>672</v>
      </c>
      <c r="AB335" s="3" t="s">
        <v>101</v>
      </c>
      <c r="AC335" s="3"/>
    </row>
    <row r="336" spans="1:29" x14ac:dyDescent="0.3">
      <c r="A336" s="2" t="s">
        <v>2378</v>
      </c>
      <c r="B336" s="2" t="s">
        <v>2379</v>
      </c>
      <c r="C336" s="2" t="s">
        <v>855</v>
      </c>
      <c r="D336" s="2" t="s">
        <v>2380</v>
      </c>
      <c r="E336" s="2" t="s">
        <v>42</v>
      </c>
      <c r="F336" s="2" t="s">
        <v>558</v>
      </c>
      <c r="G336" s="2" t="s">
        <v>701</v>
      </c>
      <c r="H336" s="2" t="s">
        <v>682</v>
      </c>
      <c r="I336" s="2">
        <v>4</v>
      </c>
      <c r="J336" s="2" t="s">
        <v>39</v>
      </c>
      <c r="K336" s="2" t="s">
        <v>109</v>
      </c>
      <c r="L336" s="2" t="s">
        <v>344</v>
      </c>
      <c r="M336" s="2" t="s">
        <v>2381</v>
      </c>
      <c r="N336" s="2" t="s">
        <v>438</v>
      </c>
      <c r="O336" s="2" t="s">
        <v>13</v>
      </c>
      <c r="P336" s="2" t="s">
        <v>228</v>
      </c>
      <c r="Q336" s="2" t="s">
        <v>287</v>
      </c>
      <c r="R336" s="2">
        <v>4</v>
      </c>
      <c r="S336" s="2">
        <v>44229.74</v>
      </c>
      <c r="T336" s="2">
        <v>10</v>
      </c>
      <c r="U336" s="2">
        <v>159227.06</v>
      </c>
      <c r="V336" s="2">
        <v>72696.160000000003</v>
      </c>
      <c r="W336" s="2">
        <v>86530.9</v>
      </c>
      <c r="X336" s="2">
        <v>54.34</v>
      </c>
      <c r="Y336" s="2">
        <v>99</v>
      </c>
      <c r="Z336" s="2" t="s">
        <v>15</v>
      </c>
      <c r="AA336" s="2" t="s">
        <v>100</v>
      </c>
      <c r="AB336" s="2" t="s">
        <v>101</v>
      </c>
      <c r="AC336" s="2">
        <v>4</v>
      </c>
    </row>
    <row r="337" spans="1:29" x14ac:dyDescent="0.3">
      <c r="A337" s="3" t="s">
        <v>2382</v>
      </c>
      <c r="B337" s="3" t="s">
        <v>2383</v>
      </c>
      <c r="C337" s="3" t="s">
        <v>743</v>
      </c>
      <c r="D337" s="3" t="s">
        <v>2384</v>
      </c>
      <c r="E337" s="3" t="s">
        <v>18</v>
      </c>
      <c r="F337" s="3" t="s">
        <v>2385</v>
      </c>
      <c r="G337" s="3" t="s">
        <v>2386</v>
      </c>
      <c r="H337" s="3" t="s">
        <v>2387</v>
      </c>
      <c r="I337" s="3">
        <v>7</v>
      </c>
      <c r="J337" s="3" t="s">
        <v>39</v>
      </c>
      <c r="K337" s="3" t="s">
        <v>193</v>
      </c>
      <c r="L337" s="3" t="s">
        <v>193</v>
      </c>
      <c r="M337" s="3" t="s">
        <v>2388</v>
      </c>
      <c r="N337" s="3" t="s">
        <v>533</v>
      </c>
      <c r="O337" s="3" t="s">
        <v>19</v>
      </c>
      <c r="P337" s="3" t="s">
        <v>297</v>
      </c>
      <c r="Q337" s="3" t="s">
        <v>509</v>
      </c>
      <c r="R337" s="3">
        <v>3</v>
      </c>
      <c r="S337" s="3">
        <v>9124.99</v>
      </c>
      <c r="T337" s="3">
        <v>10</v>
      </c>
      <c r="U337" s="3">
        <v>24637.47</v>
      </c>
      <c r="V337" s="3">
        <v>12566.53</v>
      </c>
      <c r="W337" s="3">
        <v>12070.94</v>
      </c>
      <c r="X337" s="3">
        <v>48.99</v>
      </c>
      <c r="Y337" s="3">
        <v>0</v>
      </c>
      <c r="Z337" s="3" t="s">
        <v>40</v>
      </c>
      <c r="AA337" s="3" t="s">
        <v>100</v>
      </c>
      <c r="AB337" s="3" t="s">
        <v>101</v>
      </c>
      <c r="AC337" s="3">
        <v>4</v>
      </c>
    </row>
    <row r="338" spans="1:29" x14ac:dyDescent="0.3">
      <c r="A338" s="2" t="s">
        <v>2389</v>
      </c>
      <c r="B338" s="2" t="s">
        <v>2390</v>
      </c>
      <c r="C338" s="2" t="s">
        <v>1606</v>
      </c>
      <c r="D338" s="2" t="s">
        <v>2391</v>
      </c>
      <c r="E338" s="2" t="s">
        <v>18</v>
      </c>
      <c r="F338" s="2" t="s">
        <v>736</v>
      </c>
      <c r="G338" s="2" t="s">
        <v>2392</v>
      </c>
      <c r="H338" s="2" t="s">
        <v>2393</v>
      </c>
      <c r="I338" s="2">
        <v>5</v>
      </c>
      <c r="J338" s="2" t="s">
        <v>29</v>
      </c>
      <c r="K338" s="2" t="s">
        <v>160</v>
      </c>
      <c r="L338" s="2" t="s">
        <v>161</v>
      </c>
      <c r="M338" s="2" t="s">
        <v>2394</v>
      </c>
      <c r="N338" s="2" t="s">
        <v>1535</v>
      </c>
      <c r="O338" s="2" t="s">
        <v>13</v>
      </c>
      <c r="P338" s="2" t="s">
        <v>98</v>
      </c>
      <c r="Q338" s="2" t="s">
        <v>355</v>
      </c>
      <c r="R338" s="2">
        <v>1</v>
      </c>
      <c r="S338" s="2">
        <v>42264.32</v>
      </c>
      <c r="T338" s="2">
        <v>25</v>
      </c>
      <c r="U338" s="2">
        <v>31698.240000000002</v>
      </c>
      <c r="V338" s="2">
        <v>15429</v>
      </c>
      <c r="W338" s="2">
        <v>16269.24</v>
      </c>
      <c r="X338" s="2">
        <v>51.33</v>
      </c>
      <c r="Y338" s="2">
        <v>0</v>
      </c>
      <c r="Z338" s="2" t="s">
        <v>48</v>
      </c>
      <c r="AA338" s="2" t="s">
        <v>100</v>
      </c>
      <c r="AB338" s="2" t="s">
        <v>101</v>
      </c>
      <c r="AC338" s="2">
        <v>4</v>
      </c>
    </row>
    <row r="339" spans="1:29" x14ac:dyDescent="0.3">
      <c r="A339" s="3" t="s">
        <v>2395</v>
      </c>
      <c r="B339" s="3" t="s">
        <v>2396</v>
      </c>
      <c r="C339" s="3" t="s">
        <v>666</v>
      </c>
      <c r="D339" s="3" t="s">
        <v>2397</v>
      </c>
      <c r="E339" s="3" t="s">
        <v>42</v>
      </c>
      <c r="F339" s="3" t="s">
        <v>321</v>
      </c>
      <c r="G339" s="3" t="s">
        <v>322</v>
      </c>
      <c r="H339" s="3" t="s">
        <v>323</v>
      </c>
      <c r="I339" s="3">
        <v>3</v>
      </c>
      <c r="J339" s="3" t="s">
        <v>29</v>
      </c>
      <c r="K339" s="3" t="s">
        <v>834</v>
      </c>
      <c r="L339" s="3" t="s">
        <v>901</v>
      </c>
      <c r="M339" s="3" t="s">
        <v>2398</v>
      </c>
      <c r="N339" s="3" t="s">
        <v>227</v>
      </c>
      <c r="O339" s="3" t="s">
        <v>13</v>
      </c>
      <c r="P339" s="3" t="s">
        <v>228</v>
      </c>
      <c r="Q339" s="3" t="s">
        <v>287</v>
      </c>
      <c r="R339" s="3">
        <v>5</v>
      </c>
      <c r="S339" s="3">
        <v>7852.16</v>
      </c>
      <c r="T339" s="3">
        <v>10</v>
      </c>
      <c r="U339" s="3">
        <v>35334.720000000001</v>
      </c>
      <c r="V339" s="3">
        <v>18019.45</v>
      </c>
      <c r="W339" s="3">
        <v>17315.27</v>
      </c>
      <c r="X339" s="3">
        <v>49</v>
      </c>
      <c r="Y339" s="3">
        <v>29</v>
      </c>
      <c r="Z339" s="3" t="s">
        <v>15</v>
      </c>
      <c r="AA339" s="3" t="s">
        <v>186</v>
      </c>
      <c r="AB339" s="3" t="s">
        <v>101</v>
      </c>
      <c r="AC339" s="3"/>
    </row>
    <row r="340" spans="1:29" x14ac:dyDescent="0.3">
      <c r="A340" s="2" t="s">
        <v>2399</v>
      </c>
      <c r="B340" s="2" t="s">
        <v>2400</v>
      </c>
      <c r="C340" s="2" t="s">
        <v>1159</v>
      </c>
      <c r="D340" s="2" t="s">
        <v>2401</v>
      </c>
      <c r="E340" s="2" t="s">
        <v>26</v>
      </c>
      <c r="F340" s="2" t="s">
        <v>2402</v>
      </c>
      <c r="G340" s="2" t="s">
        <v>323</v>
      </c>
      <c r="H340" s="2" t="s">
        <v>2403</v>
      </c>
      <c r="I340" s="2">
        <v>3</v>
      </c>
      <c r="J340" s="2" t="s">
        <v>29</v>
      </c>
      <c r="K340" s="2" t="s">
        <v>148</v>
      </c>
      <c r="L340" s="2" t="s">
        <v>148</v>
      </c>
      <c r="M340" s="2" t="s">
        <v>2404</v>
      </c>
      <c r="N340" s="2" t="s">
        <v>551</v>
      </c>
      <c r="O340" s="2" t="s">
        <v>13</v>
      </c>
      <c r="P340" s="2" t="s">
        <v>98</v>
      </c>
      <c r="Q340" s="2" t="s">
        <v>197</v>
      </c>
      <c r="R340" s="2">
        <v>1</v>
      </c>
      <c r="S340" s="2">
        <v>32052.65</v>
      </c>
      <c r="T340" s="2">
        <v>30</v>
      </c>
      <c r="U340" s="2">
        <v>22436.85</v>
      </c>
      <c r="V340" s="2">
        <v>12835.6</v>
      </c>
      <c r="W340" s="2">
        <v>9601.25</v>
      </c>
      <c r="X340" s="2">
        <v>42.79</v>
      </c>
      <c r="Y340" s="2">
        <v>0</v>
      </c>
      <c r="Z340" s="2" t="s">
        <v>30</v>
      </c>
      <c r="AA340" s="2" t="s">
        <v>186</v>
      </c>
      <c r="AB340" s="2" t="s">
        <v>101</v>
      </c>
      <c r="AC340" s="2"/>
    </row>
    <row r="341" spans="1:29" x14ac:dyDescent="0.3">
      <c r="A341" s="3" t="s">
        <v>2405</v>
      </c>
      <c r="B341" s="3" t="s">
        <v>2406</v>
      </c>
      <c r="C341" s="3" t="s">
        <v>1955</v>
      </c>
      <c r="D341" s="3" t="s">
        <v>2407</v>
      </c>
      <c r="E341" s="3" t="s">
        <v>42</v>
      </c>
      <c r="F341" s="3" t="s">
        <v>2408</v>
      </c>
      <c r="G341" s="3" t="s">
        <v>2409</v>
      </c>
      <c r="H341" s="3" t="s">
        <v>1257</v>
      </c>
      <c r="I341" s="3">
        <v>4</v>
      </c>
      <c r="J341" s="3" t="s">
        <v>14</v>
      </c>
      <c r="K341" s="3" t="s">
        <v>712</v>
      </c>
      <c r="L341" s="3" t="s">
        <v>712</v>
      </c>
      <c r="M341" s="3" t="s">
        <v>2410</v>
      </c>
      <c r="N341" s="3" t="s">
        <v>174</v>
      </c>
      <c r="O341" s="3" t="s">
        <v>27</v>
      </c>
      <c r="P341" s="3" t="s">
        <v>175</v>
      </c>
      <c r="Q341" s="3" t="s">
        <v>218</v>
      </c>
      <c r="R341" s="3">
        <v>5</v>
      </c>
      <c r="S341" s="3">
        <v>37693.199999999997</v>
      </c>
      <c r="T341" s="3">
        <v>30</v>
      </c>
      <c r="U341" s="3">
        <v>131926.20000000001</v>
      </c>
      <c r="V341" s="3">
        <v>79026.47</v>
      </c>
      <c r="W341" s="3">
        <v>52899.73</v>
      </c>
      <c r="X341" s="3">
        <v>40.1</v>
      </c>
      <c r="Y341" s="3">
        <v>99</v>
      </c>
      <c r="Z341" s="3" t="s">
        <v>15</v>
      </c>
      <c r="AA341" s="3" t="s">
        <v>100</v>
      </c>
      <c r="AB341" s="3" t="s">
        <v>101</v>
      </c>
      <c r="AC341" s="3">
        <v>4</v>
      </c>
    </row>
    <row r="342" spans="1:29" x14ac:dyDescent="0.3">
      <c r="A342" s="2" t="s">
        <v>2411</v>
      </c>
      <c r="B342" s="2" t="s">
        <v>2412</v>
      </c>
      <c r="C342" s="2" t="s">
        <v>571</v>
      </c>
      <c r="D342" s="2" t="s">
        <v>2413</v>
      </c>
      <c r="E342" s="2" t="s">
        <v>26</v>
      </c>
      <c r="F342" s="2" t="s">
        <v>938</v>
      </c>
      <c r="G342" s="2" t="s">
        <v>2414</v>
      </c>
      <c r="H342" s="2" t="s">
        <v>1553</v>
      </c>
      <c r="I342" s="2">
        <v>8</v>
      </c>
      <c r="J342" s="2" t="s">
        <v>22</v>
      </c>
      <c r="K342" s="2" t="s">
        <v>254</v>
      </c>
      <c r="L342" s="2" t="s">
        <v>254</v>
      </c>
      <c r="M342" s="2" t="s">
        <v>2415</v>
      </c>
      <c r="N342" s="2" t="s">
        <v>508</v>
      </c>
      <c r="O342" s="2" t="s">
        <v>19</v>
      </c>
      <c r="P342" s="2" t="s">
        <v>365</v>
      </c>
      <c r="Q342" s="2" t="s">
        <v>509</v>
      </c>
      <c r="R342" s="2">
        <v>4</v>
      </c>
      <c r="S342" s="2">
        <v>47423.3</v>
      </c>
      <c r="T342" s="2">
        <v>0</v>
      </c>
      <c r="U342" s="2">
        <v>189693.2</v>
      </c>
      <c r="V342" s="2">
        <v>119569.36</v>
      </c>
      <c r="W342" s="2">
        <v>70123.839999999997</v>
      </c>
      <c r="X342" s="2">
        <v>36.97</v>
      </c>
      <c r="Y342" s="2">
        <v>49</v>
      </c>
      <c r="Z342" s="2" t="s">
        <v>30</v>
      </c>
      <c r="AA342" s="2" t="s">
        <v>186</v>
      </c>
      <c r="AB342" s="2" t="s">
        <v>101</v>
      </c>
      <c r="AC342" s="2"/>
    </row>
    <row r="343" spans="1:29" x14ac:dyDescent="0.3">
      <c r="A343" s="3" t="s">
        <v>2416</v>
      </c>
      <c r="B343" s="3" t="s">
        <v>2417</v>
      </c>
      <c r="C343" s="3" t="s">
        <v>1261</v>
      </c>
      <c r="D343" s="3" t="s">
        <v>2418</v>
      </c>
      <c r="E343" s="3" t="s">
        <v>18</v>
      </c>
      <c r="F343" s="3" t="s">
        <v>1785</v>
      </c>
      <c r="G343" s="3" t="s">
        <v>858</v>
      </c>
      <c r="H343" s="3" t="s">
        <v>1563</v>
      </c>
      <c r="I343" s="3">
        <v>6</v>
      </c>
      <c r="J343" s="3" t="s">
        <v>39</v>
      </c>
      <c r="K343" s="3" t="s">
        <v>314</v>
      </c>
      <c r="L343" s="3" t="s">
        <v>314</v>
      </c>
      <c r="M343" s="3" t="s">
        <v>2419</v>
      </c>
      <c r="N343" s="3" t="s">
        <v>465</v>
      </c>
      <c r="O343" s="3" t="s">
        <v>19</v>
      </c>
      <c r="P343" s="3" t="s">
        <v>447</v>
      </c>
      <c r="Q343" s="3" t="s">
        <v>99</v>
      </c>
      <c r="R343" s="3">
        <v>3</v>
      </c>
      <c r="S343" s="3">
        <v>9752.5300000000007</v>
      </c>
      <c r="T343" s="3">
        <v>20</v>
      </c>
      <c r="U343" s="3">
        <v>23406.07</v>
      </c>
      <c r="V343" s="3">
        <v>11446.74</v>
      </c>
      <c r="W343" s="3">
        <v>11959.33</v>
      </c>
      <c r="X343" s="3">
        <v>51.09</v>
      </c>
      <c r="Y343" s="3">
        <v>49</v>
      </c>
      <c r="Z343" s="3" t="s">
        <v>15</v>
      </c>
      <c r="AA343" s="3" t="s">
        <v>100</v>
      </c>
      <c r="AB343" s="3" t="s">
        <v>101</v>
      </c>
      <c r="AC343" s="3">
        <v>1</v>
      </c>
    </row>
    <row r="344" spans="1:29" x14ac:dyDescent="0.3">
      <c r="A344" s="2" t="s">
        <v>2420</v>
      </c>
      <c r="B344" s="2" t="s">
        <v>2421</v>
      </c>
      <c r="C344" s="2" t="s">
        <v>642</v>
      </c>
      <c r="D344" s="2" t="s">
        <v>2422</v>
      </c>
      <c r="E344" s="2" t="s">
        <v>26</v>
      </c>
      <c r="F344" s="2" t="s">
        <v>2423</v>
      </c>
      <c r="G344" s="2" t="s">
        <v>2424</v>
      </c>
      <c r="H344" s="2" t="s">
        <v>627</v>
      </c>
      <c r="I344" s="2">
        <v>7</v>
      </c>
      <c r="J344" s="2" t="s">
        <v>14</v>
      </c>
      <c r="K344" s="2" t="s">
        <v>95</v>
      </c>
      <c r="L344" s="2" t="s">
        <v>95</v>
      </c>
      <c r="M344" s="2" t="s">
        <v>2425</v>
      </c>
      <c r="N344" s="2" t="s">
        <v>364</v>
      </c>
      <c r="O344" s="2" t="s">
        <v>19</v>
      </c>
      <c r="P344" s="2" t="s">
        <v>365</v>
      </c>
      <c r="Q344" s="2" t="s">
        <v>400</v>
      </c>
      <c r="R344" s="2">
        <v>4</v>
      </c>
      <c r="S344" s="2">
        <v>7270.17</v>
      </c>
      <c r="T344" s="2">
        <v>25</v>
      </c>
      <c r="U344" s="2">
        <v>21810.51</v>
      </c>
      <c r="V344" s="2">
        <v>9964.17</v>
      </c>
      <c r="W344" s="2">
        <v>11846.34</v>
      </c>
      <c r="X344" s="2">
        <v>54.31</v>
      </c>
      <c r="Y344" s="2">
        <v>149</v>
      </c>
      <c r="Z344" s="2" t="s">
        <v>15</v>
      </c>
      <c r="AA344" s="2" t="s">
        <v>100</v>
      </c>
      <c r="AB344" s="2" t="s">
        <v>101</v>
      </c>
      <c r="AC344" s="2">
        <v>1</v>
      </c>
    </row>
    <row r="345" spans="1:29" x14ac:dyDescent="0.3">
      <c r="A345" s="3" t="s">
        <v>2426</v>
      </c>
      <c r="B345" s="3" t="s">
        <v>2427</v>
      </c>
      <c r="C345" s="3" t="s">
        <v>178</v>
      </c>
      <c r="D345" s="3" t="s">
        <v>2428</v>
      </c>
      <c r="E345" s="3" t="s">
        <v>18</v>
      </c>
      <c r="F345" s="3" t="s">
        <v>654</v>
      </c>
      <c r="G345" s="3" t="s">
        <v>1816</v>
      </c>
      <c r="H345" s="3" t="s">
        <v>655</v>
      </c>
      <c r="I345" s="3">
        <v>4</v>
      </c>
      <c r="J345" s="3" t="s">
        <v>29</v>
      </c>
      <c r="K345" s="3" t="s">
        <v>834</v>
      </c>
      <c r="L345" s="3" t="s">
        <v>901</v>
      </c>
      <c r="M345" s="3" t="s">
        <v>2429</v>
      </c>
      <c r="N345" s="3" t="s">
        <v>174</v>
      </c>
      <c r="O345" s="3" t="s">
        <v>27</v>
      </c>
      <c r="P345" s="3" t="s">
        <v>175</v>
      </c>
      <c r="Q345" s="3" t="s">
        <v>207</v>
      </c>
      <c r="R345" s="3">
        <v>5</v>
      </c>
      <c r="S345" s="3">
        <v>11064.78</v>
      </c>
      <c r="T345" s="3">
        <v>25</v>
      </c>
      <c r="U345" s="3">
        <v>41492.93</v>
      </c>
      <c r="V345" s="3">
        <v>21023.37</v>
      </c>
      <c r="W345" s="3">
        <v>20469.560000000001</v>
      </c>
      <c r="X345" s="3">
        <v>49.33</v>
      </c>
      <c r="Y345" s="3">
        <v>199</v>
      </c>
      <c r="Z345" s="3" t="s">
        <v>23</v>
      </c>
      <c r="AA345" s="3" t="s">
        <v>100</v>
      </c>
      <c r="AB345" s="3" t="s">
        <v>101</v>
      </c>
      <c r="AC345" s="3">
        <v>1</v>
      </c>
    </row>
    <row r="346" spans="1:29" x14ac:dyDescent="0.3">
      <c r="A346" s="2" t="s">
        <v>2430</v>
      </c>
      <c r="B346" s="2" t="s">
        <v>2431</v>
      </c>
      <c r="C346" s="2" t="s">
        <v>358</v>
      </c>
      <c r="D346" s="2" t="s">
        <v>2432</v>
      </c>
      <c r="E346" s="2" t="s">
        <v>42</v>
      </c>
      <c r="F346" s="2" t="s">
        <v>899</v>
      </c>
      <c r="G346" s="2" t="s">
        <v>2433</v>
      </c>
      <c r="H346" s="2" t="s">
        <v>2434</v>
      </c>
      <c r="I346" s="2">
        <v>8</v>
      </c>
      <c r="J346" s="2" t="s">
        <v>14</v>
      </c>
      <c r="K346" s="2" t="s">
        <v>215</v>
      </c>
      <c r="L346" s="2" t="s">
        <v>215</v>
      </c>
      <c r="M346" s="2" t="s">
        <v>2435</v>
      </c>
      <c r="N346" s="2" t="s">
        <v>446</v>
      </c>
      <c r="O346" s="2" t="s">
        <v>19</v>
      </c>
      <c r="P346" s="2" t="s">
        <v>447</v>
      </c>
      <c r="Q346" s="2" t="s">
        <v>152</v>
      </c>
      <c r="R346" s="2">
        <v>5</v>
      </c>
      <c r="S346" s="2">
        <v>32214.43</v>
      </c>
      <c r="T346" s="2">
        <v>20</v>
      </c>
      <c r="U346" s="2">
        <v>128857.72</v>
      </c>
      <c r="V346" s="2">
        <v>69751.039999999994</v>
      </c>
      <c r="W346" s="2">
        <v>59106.68</v>
      </c>
      <c r="X346" s="2">
        <v>45.87</v>
      </c>
      <c r="Y346" s="2">
        <v>149</v>
      </c>
      <c r="Z346" s="2" t="s">
        <v>15</v>
      </c>
      <c r="AA346" s="2" t="s">
        <v>275</v>
      </c>
      <c r="AB346" s="2" t="s">
        <v>140</v>
      </c>
      <c r="AC346" s="2"/>
    </row>
    <row r="347" spans="1:29" x14ac:dyDescent="0.3">
      <c r="A347" s="3" t="s">
        <v>2436</v>
      </c>
      <c r="B347" s="3" t="s">
        <v>2437</v>
      </c>
      <c r="C347" s="3" t="s">
        <v>1665</v>
      </c>
      <c r="D347" s="3" t="s">
        <v>2438</v>
      </c>
      <c r="E347" s="3" t="s">
        <v>33</v>
      </c>
      <c r="F347" s="3" t="s">
        <v>2439</v>
      </c>
      <c r="G347" s="3" t="s">
        <v>1921</v>
      </c>
      <c r="H347" s="3" t="s">
        <v>2440</v>
      </c>
      <c r="I347" s="3">
        <v>2</v>
      </c>
      <c r="J347" s="3" t="s">
        <v>14</v>
      </c>
      <c r="K347" s="3" t="s">
        <v>171</v>
      </c>
      <c r="L347" s="3" t="s">
        <v>541</v>
      </c>
      <c r="M347" s="3" t="s">
        <v>2441</v>
      </c>
      <c r="N347" s="3" t="s">
        <v>518</v>
      </c>
      <c r="O347" s="3" t="s">
        <v>19</v>
      </c>
      <c r="P347" s="3" t="s">
        <v>365</v>
      </c>
      <c r="Q347" s="3" t="s">
        <v>509</v>
      </c>
      <c r="R347" s="3">
        <v>2</v>
      </c>
      <c r="S347" s="3">
        <v>9136.1</v>
      </c>
      <c r="T347" s="3">
        <v>25</v>
      </c>
      <c r="U347" s="3">
        <v>13704.15</v>
      </c>
      <c r="V347" s="3">
        <v>8499.68</v>
      </c>
      <c r="W347" s="3">
        <v>5204.47</v>
      </c>
      <c r="X347" s="3">
        <v>37.979999999999997</v>
      </c>
      <c r="Y347" s="3">
        <v>0</v>
      </c>
      <c r="Z347" s="3" t="s">
        <v>43</v>
      </c>
      <c r="AA347" s="3" t="s">
        <v>100</v>
      </c>
      <c r="AB347" s="3" t="s">
        <v>101</v>
      </c>
      <c r="AC347" s="3">
        <v>3</v>
      </c>
    </row>
    <row r="348" spans="1:29" x14ac:dyDescent="0.3">
      <c r="A348" s="2" t="s">
        <v>2442</v>
      </c>
      <c r="B348" s="2" t="s">
        <v>2443</v>
      </c>
      <c r="C348" s="2" t="s">
        <v>221</v>
      </c>
      <c r="D348" s="2" t="s">
        <v>2444</v>
      </c>
      <c r="E348" s="2" t="s">
        <v>18</v>
      </c>
      <c r="F348" s="2" t="s">
        <v>1926</v>
      </c>
      <c r="G348" s="2" t="s">
        <v>1106</v>
      </c>
      <c r="H348" s="2" t="s">
        <v>1107</v>
      </c>
      <c r="I348" s="2">
        <v>2</v>
      </c>
      <c r="J348" s="2" t="s">
        <v>39</v>
      </c>
      <c r="K348" s="2" t="s">
        <v>225</v>
      </c>
      <c r="L348" s="2" t="s">
        <v>225</v>
      </c>
      <c r="M348" s="2" t="s">
        <v>2445</v>
      </c>
      <c r="N348" s="2" t="s">
        <v>924</v>
      </c>
      <c r="O348" s="2" t="s">
        <v>13</v>
      </c>
      <c r="P348" s="2" t="s">
        <v>228</v>
      </c>
      <c r="Q348" s="2" t="s">
        <v>466</v>
      </c>
      <c r="R348" s="2">
        <v>3</v>
      </c>
      <c r="S348" s="2">
        <v>27408.23</v>
      </c>
      <c r="T348" s="2">
        <v>25</v>
      </c>
      <c r="U348" s="2">
        <v>61668.52</v>
      </c>
      <c r="V348" s="2">
        <v>33404.800000000003</v>
      </c>
      <c r="W348" s="2">
        <v>28263.72</v>
      </c>
      <c r="X348" s="2">
        <v>45.83</v>
      </c>
      <c r="Y348" s="2">
        <v>199</v>
      </c>
      <c r="Z348" s="2" t="s">
        <v>23</v>
      </c>
      <c r="AA348" s="2" t="s">
        <v>100</v>
      </c>
      <c r="AB348" s="2" t="s">
        <v>101</v>
      </c>
      <c r="AC348" s="2">
        <v>5</v>
      </c>
    </row>
    <row r="349" spans="1:29" x14ac:dyDescent="0.3">
      <c r="A349" s="3" t="s">
        <v>2446</v>
      </c>
      <c r="B349" s="3" t="s">
        <v>1473</v>
      </c>
      <c r="C349" s="3" t="s">
        <v>1011</v>
      </c>
      <c r="D349" s="3" t="s">
        <v>2447</v>
      </c>
      <c r="E349" s="3" t="s">
        <v>42</v>
      </c>
      <c r="F349" s="3" t="s">
        <v>2448</v>
      </c>
      <c r="G349" s="3" t="s">
        <v>2449</v>
      </c>
      <c r="H349" s="3" t="s">
        <v>2450</v>
      </c>
      <c r="I349" s="3">
        <v>5</v>
      </c>
      <c r="J349" s="3" t="s">
        <v>14</v>
      </c>
      <c r="K349" s="3" t="s">
        <v>95</v>
      </c>
      <c r="L349" s="3" t="s">
        <v>95</v>
      </c>
      <c r="M349" s="3" t="s">
        <v>2451</v>
      </c>
      <c r="N349" s="3" t="s">
        <v>1535</v>
      </c>
      <c r="O349" s="3" t="s">
        <v>13</v>
      </c>
      <c r="P349" s="3" t="s">
        <v>98</v>
      </c>
      <c r="Q349" s="3" t="s">
        <v>355</v>
      </c>
      <c r="R349" s="3">
        <v>1</v>
      </c>
      <c r="S349" s="3">
        <v>37312.47</v>
      </c>
      <c r="T349" s="3">
        <v>0</v>
      </c>
      <c r="U349" s="3">
        <v>37312.47</v>
      </c>
      <c r="V349" s="3">
        <v>25112.77</v>
      </c>
      <c r="W349" s="3">
        <v>12199.7</v>
      </c>
      <c r="X349" s="3">
        <v>32.700000000000003</v>
      </c>
      <c r="Y349" s="3">
        <v>49</v>
      </c>
      <c r="Z349" s="3" t="s">
        <v>43</v>
      </c>
      <c r="AA349" s="3" t="s">
        <v>100</v>
      </c>
      <c r="AB349" s="3" t="s">
        <v>101</v>
      </c>
      <c r="AC349" s="3">
        <v>3</v>
      </c>
    </row>
    <row r="350" spans="1:29" x14ac:dyDescent="0.3">
      <c r="A350" s="2" t="s">
        <v>2452</v>
      </c>
      <c r="B350" s="2" t="s">
        <v>2453</v>
      </c>
      <c r="C350" s="2" t="s">
        <v>1606</v>
      </c>
      <c r="D350" s="2" t="s">
        <v>2454</v>
      </c>
      <c r="E350" s="2" t="s">
        <v>33</v>
      </c>
      <c r="F350" s="2" t="s">
        <v>2455</v>
      </c>
      <c r="G350" s="2" t="s">
        <v>1204</v>
      </c>
      <c r="H350" s="2" t="s">
        <v>2456</v>
      </c>
      <c r="I350" s="2">
        <v>8</v>
      </c>
      <c r="J350" s="2" t="s">
        <v>22</v>
      </c>
      <c r="K350" s="2" t="s">
        <v>122</v>
      </c>
      <c r="L350" s="2" t="s">
        <v>123</v>
      </c>
      <c r="M350" s="2" t="s">
        <v>2457</v>
      </c>
      <c r="N350" s="2" t="s">
        <v>740</v>
      </c>
      <c r="O350" s="2" t="s">
        <v>21</v>
      </c>
      <c r="P350" s="2" t="s">
        <v>126</v>
      </c>
      <c r="Q350" s="2" t="s">
        <v>114</v>
      </c>
      <c r="R350" s="2">
        <v>4</v>
      </c>
      <c r="S350" s="2">
        <v>15145.75</v>
      </c>
      <c r="T350" s="2">
        <v>0</v>
      </c>
      <c r="U350" s="2">
        <v>60583</v>
      </c>
      <c r="V350" s="2">
        <v>31023.88</v>
      </c>
      <c r="W350" s="2">
        <v>29559.119999999999</v>
      </c>
      <c r="X350" s="2">
        <v>48.79</v>
      </c>
      <c r="Y350" s="2">
        <v>99</v>
      </c>
      <c r="Z350" s="2" t="s">
        <v>43</v>
      </c>
      <c r="AA350" s="2" t="s">
        <v>100</v>
      </c>
      <c r="AB350" s="2" t="s">
        <v>101</v>
      </c>
      <c r="AC350" s="2"/>
    </row>
    <row r="351" spans="1:29" x14ac:dyDescent="0.3">
      <c r="A351" s="3" t="s">
        <v>2458</v>
      </c>
      <c r="B351" s="3" t="s">
        <v>2459</v>
      </c>
      <c r="C351" s="3" t="s">
        <v>2460</v>
      </c>
      <c r="D351" s="3" t="s">
        <v>2461</v>
      </c>
      <c r="E351" s="3" t="s">
        <v>18</v>
      </c>
      <c r="F351" s="3" t="s">
        <v>2462</v>
      </c>
      <c r="G351" s="3" t="s">
        <v>262</v>
      </c>
      <c r="H351" s="3" t="s">
        <v>2238</v>
      </c>
      <c r="I351" s="3">
        <v>4</v>
      </c>
      <c r="J351" s="3" t="s">
        <v>29</v>
      </c>
      <c r="K351" s="3" t="s">
        <v>427</v>
      </c>
      <c r="L351" s="3" t="s">
        <v>428</v>
      </c>
      <c r="M351" s="3" t="s">
        <v>2463</v>
      </c>
      <c r="N351" s="3" t="s">
        <v>195</v>
      </c>
      <c r="O351" s="3" t="s">
        <v>21</v>
      </c>
      <c r="P351" s="3" t="s">
        <v>196</v>
      </c>
      <c r="Q351" s="3" t="s">
        <v>287</v>
      </c>
      <c r="R351" s="3">
        <v>1</v>
      </c>
      <c r="S351" s="3">
        <v>34789.65</v>
      </c>
      <c r="T351" s="3">
        <v>30</v>
      </c>
      <c r="U351" s="3">
        <v>24352.76</v>
      </c>
      <c r="V351" s="3">
        <v>15624.98</v>
      </c>
      <c r="W351" s="3">
        <v>8727.7800000000007</v>
      </c>
      <c r="X351" s="3">
        <v>35.840000000000003</v>
      </c>
      <c r="Y351" s="3">
        <v>29</v>
      </c>
      <c r="Z351" s="3" t="s">
        <v>43</v>
      </c>
      <c r="AA351" s="3" t="s">
        <v>100</v>
      </c>
      <c r="AB351" s="3" t="s">
        <v>101</v>
      </c>
      <c r="AC351" s="3"/>
    </row>
    <row r="352" spans="1:29" x14ac:dyDescent="0.3">
      <c r="A352" s="2" t="s">
        <v>2464</v>
      </c>
      <c r="B352" s="2" t="s">
        <v>2465</v>
      </c>
      <c r="C352" s="2" t="s">
        <v>725</v>
      </c>
      <c r="D352" s="2" t="s">
        <v>2466</v>
      </c>
      <c r="E352" s="2" t="s">
        <v>42</v>
      </c>
      <c r="F352" s="2" t="s">
        <v>1458</v>
      </c>
      <c r="G352" s="2" t="s">
        <v>1459</v>
      </c>
      <c r="H352" s="2" t="s">
        <v>2467</v>
      </c>
      <c r="I352" s="2">
        <v>8</v>
      </c>
      <c r="J352" s="2" t="s">
        <v>39</v>
      </c>
      <c r="K352" s="2" t="s">
        <v>193</v>
      </c>
      <c r="L352" s="2" t="s">
        <v>193</v>
      </c>
      <c r="M352" s="2" t="s">
        <v>2468</v>
      </c>
      <c r="N352" s="2" t="s">
        <v>740</v>
      </c>
      <c r="O352" s="2" t="s">
        <v>21</v>
      </c>
      <c r="P352" s="2" t="s">
        <v>126</v>
      </c>
      <c r="Q352" s="2" t="s">
        <v>138</v>
      </c>
      <c r="R352" s="2">
        <v>1</v>
      </c>
      <c r="S352" s="2">
        <v>37384.639999999999</v>
      </c>
      <c r="T352" s="2">
        <v>5</v>
      </c>
      <c r="U352" s="2">
        <v>35515.410000000003</v>
      </c>
      <c r="V352" s="2">
        <v>17433.919999999998</v>
      </c>
      <c r="W352" s="2">
        <v>18081.490000000002</v>
      </c>
      <c r="X352" s="2">
        <v>50.91</v>
      </c>
      <c r="Y352" s="2">
        <v>49</v>
      </c>
      <c r="Z352" s="2" t="s">
        <v>47</v>
      </c>
      <c r="AA352" s="2" t="s">
        <v>186</v>
      </c>
      <c r="AB352" s="2" t="s">
        <v>101</v>
      </c>
      <c r="AC352" s="2"/>
    </row>
    <row r="353" spans="1:29" x14ac:dyDescent="0.3">
      <c r="A353" s="3" t="s">
        <v>2469</v>
      </c>
      <c r="B353" s="3" t="s">
        <v>2470</v>
      </c>
      <c r="C353" s="3" t="s">
        <v>2110</v>
      </c>
      <c r="D353" s="3" t="s">
        <v>2471</v>
      </c>
      <c r="E353" s="3" t="s">
        <v>33</v>
      </c>
      <c r="F353" s="3" t="s">
        <v>1751</v>
      </c>
      <c r="G353" s="3" t="s">
        <v>1977</v>
      </c>
      <c r="H353" s="3" t="s">
        <v>252</v>
      </c>
      <c r="I353" s="3">
        <v>7</v>
      </c>
      <c r="J353" s="3" t="s">
        <v>39</v>
      </c>
      <c r="K353" s="3" t="s">
        <v>314</v>
      </c>
      <c r="L353" s="3" t="s">
        <v>314</v>
      </c>
      <c r="M353" s="3" t="s">
        <v>2472</v>
      </c>
      <c r="N353" s="3" t="s">
        <v>924</v>
      </c>
      <c r="O353" s="3" t="s">
        <v>13</v>
      </c>
      <c r="P353" s="3" t="s">
        <v>228</v>
      </c>
      <c r="Q353" s="3" t="s">
        <v>246</v>
      </c>
      <c r="R353" s="3">
        <v>2</v>
      </c>
      <c r="S353" s="3">
        <v>1898.84</v>
      </c>
      <c r="T353" s="3">
        <v>25</v>
      </c>
      <c r="U353" s="3">
        <v>2848.26</v>
      </c>
      <c r="V353" s="3">
        <v>1806.55</v>
      </c>
      <c r="W353" s="3">
        <v>1041.71</v>
      </c>
      <c r="X353" s="3">
        <v>36.57</v>
      </c>
      <c r="Y353" s="3">
        <v>99</v>
      </c>
      <c r="Z353" s="3" t="s">
        <v>40</v>
      </c>
      <c r="AA353" s="3" t="s">
        <v>100</v>
      </c>
      <c r="AB353" s="3" t="s">
        <v>101</v>
      </c>
      <c r="AC353" s="3">
        <v>1</v>
      </c>
    </row>
    <row r="354" spans="1:29" x14ac:dyDescent="0.3">
      <c r="A354" s="2" t="s">
        <v>2473</v>
      </c>
      <c r="B354" s="2" t="s">
        <v>2474</v>
      </c>
      <c r="C354" s="2" t="s">
        <v>422</v>
      </c>
      <c r="D354" s="2" t="s">
        <v>2475</v>
      </c>
      <c r="E354" s="2" t="s">
        <v>26</v>
      </c>
      <c r="F354" s="2" t="s">
        <v>2476</v>
      </c>
      <c r="G354" s="2" t="s">
        <v>2048</v>
      </c>
      <c r="H354" s="2" t="s">
        <v>2477</v>
      </c>
      <c r="I354" s="2">
        <v>4</v>
      </c>
      <c r="J354" s="2" t="s">
        <v>22</v>
      </c>
      <c r="K354" s="2" t="s">
        <v>738</v>
      </c>
      <c r="L354" s="2" t="s">
        <v>738</v>
      </c>
      <c r="M354" s="2" t="s">
        <v>2478</v>
      </c>
      <c r="N354" s="2" t="s">
        <v>805</v>
      </c>
      <c r="O354" s="2" t="s">
        <v>28</v>
      </c>
      <c r="P354" s="2" t="s">
        <v>151</v>
      </c>
      <c r="Q354" s="2" t="s">
        <v>466</v>
      </c>
      <c r="R354" s="2">
        <v>1</v>
      </c>
      <c r="S354" s="2">
        <v>36957.599999999999</v>
      </c>
      <c r="T354" s="2">
        <v>15</v>
      </c>
      <c r="U354" s="2">
        <v>31413.96</v>
      </c>
      <c r="V354" s="2">
        <v>16550.37</v>
      </c>
      <c r="W354" s="2">
        <v>14863.59</v>
      </c>
      <c r="X354" s="2">
        <v>47.32</v>
      </c>
      <c r="Y354" s="2">
        <v>149</v>
      </c>
      <c r="Z354" s="2" t="s">
        <v>48</v>
      </c>
      <c r="AA354" s="2" t="s">
        <v>100</v>
      </c>
      <c r="AB354" s="2" t="s">
        <v>101</v>
      </c>
      <c r="AC354" s="2">
        <v>3</v>
      </c>
    </row>
    <row r="355" spans="1:29" x14ac:dyDescent="0.3">
      <c r="A355" s="3" t="s">
        <v>2479</v>
      </c>
      <c r="B355" s="3" t="s">
        <v>2480</v>
      </c>
      <c r="C355" s="3" t="s">
        <v>2460</v>
      </c>
      <c r="D355" s="3" t="s">
        <v>2481</v>
      </c>
      <c r="E355" s="3" t="s">
        <v>33</v>
      </c>
      <c r="F355" s="3" t="s">
        <v>1869</v>
      </c>
      <c r="G355" s="3" t="s">
        <v>395</v>
      </c>
      <c r="H355" s="3" t="s">
        <v>396</v>
      </c>
      <c r="I355" s="3">
        <v>2</v>
      </c>
      <c r="J355" s="3" t="s">
        <v>14</v>
      </c>
      <c r="K355" s="3" t="s">
        <v>215</v>
      </c>
      <c r="L355" s="3" t="s">
        <v>215</v>
      </c>
      <c r="M355" s="3" t="s">
        <v>2482</v>
      </c>
      <c r="N355" s="3" t="s">
        <v>374</v>
      </c>
      <c r="O355" s="3" t="s">
        <v>21</v>
      </c>
      <c r="P355" s="3" t="s">
        <v>196</v>
      </c>
      <c r="Q355" s="3" t="s">
        <v>114</v>
      </c>
      <c r="R355" s="3">
        <v>2</v>
      </c>
      <c r="S355" s="3">
        <v>863</v>
      </c>
      <c r="T355" s="3">
        <v>15</v>
      </c>
      <c r="U355" s="3">
        <v>1467.1</v>
      </c>
      <c r="V355" s="3">
        <v>766.25</v>
      </c>
      <c r="W355" s="3">
        <v>700.85</v>
      </c>
      <c r="X355" s="3">
        <v>47.77</v>
      </c>
      <c r="Y355" s="3">
        <v>49</v>
      </c>
      <c r="Z355" s="3" t="s">
        <v>40</v>
      </c>
      <c r="AA355" s="3" t="s">
        <v>100</v>
      </c>
      <c r="AB355" s="3" t="s">
        <v>140</v>
      </c>
      <c r="AC355" s="3"/>
    </row>
    <row r="356" spans="1:29" x14ac:dyDescent="0.3">
      <c r="A356" s="2" t="s">
        <v>2483</v>
      </c>
      <c r="B356" s="2" t="s">
        <v>2484</v>
      </c>
      <c r="C356" s="2" t="s">
        <v>1097</v>
      </c>
      <c r="D356" s="2" t="s">
        <v>2485</v>
      </c>
      <c r="E356" s="2" t="s">
        <v>18</v>
      </c>
      <c r="F356" s="2" t="s">
        <v>1554</v>
      </c>
      <c r="G356" s="2" t="s">
        <v>857</v>
      </c>
      <c r="H356" s="2" t="s">
        <v>1428</v>
      </c>
      <c r="I356" s="2">
        <v>8</v>
      </c>
      <c r="J356" s="2" t="s">
        <v>22</v>
      </c>
      <c r="K356" s="2" t="s">
        <v>443</v>
      </c>
      <c r="L356" s="2" t="s">
        <v>444</v>
      </c>
      <c r="M356" s="2" t="s">
        <v>1623</v>
      </c>
      <c r="N356" s="2" t="s">
        <v>484</v>
      </c>
      <c r="O356" s="2" t="s">
        <v>13</v>
      </c>
      <c r="P356" s="2" t="s">
        <v>98</v>
      </c>
      <c r="Q356" s="2" t="s">
        <v>207</v>
      </c>
      <c r="R356" s="2">
        <v>4</v>
      </c>
      <c r="S356" s="2">
        <v>27504.23</v>
      </c>
      <c r="T356" s="2">
        <v>0</v>
      </c>
      <c r="U356" s="2">
        <v>110016.92</v>
      </c>
      <c r="V356" s="2">
        <v>60152.78</v>
      </c>
      <c r="W356" s="2">
        <v>49864.14</v>
      </c>
      <c r="X356" s="2">
        <v>45.32</v>
      </c>
      <c r="Y356" s="2">
        <v>0</v>
      </c>
      <c r="Z356" s="2" t="s">
        <v>47</v>
      </c>
      <c r="AA356" s="2" t="s">
        <v>100</v>
      </c>
      <c r="AB356" s="2" t="s">
        <v>101</v>
      </c>
      <c r="AC356" s="2">
        <v>4</v>
      </c>
    </row>
    <row r="357" spans="1:29" x14ac:dyDescent="0.3">
      <c r="A357" s="3" t="s">
        <v>2486</v>
      </c>
      <c r="B357" s="3" t="s">
        <v>2487</v>
      </c>
      <c r="C357" s="3" t="s">
        <v>782</v>
      </c>
      <c r="D357" s="3" t="s">
        <v>2488</v>
      </c>
      <c r="E357" s="3" t="s">
        <v>42</v>
      </c>
      <c r="F357" s="3" t="s">
        <v>2489</v>
      </c>
      <c r="G357" s="3" t="s">
        <v>2143</v>
      </c>
      <c r="H357" s="3" t="s">
        <v>323</v>
      </c>
      <c r="I357" s="3">
        <v>5</v>
      </c>
      <c r="J357" s="3" t="s">
        <v>22</v>
      </c>
      <c r="K357" s="3" t="s">
        <v>122</v>
      </c>
      <c r="L357" s="3" t="s">
        <v>123</v>
      </c>
      <c r="M357" s="3" t="s">
        <v>550</v>
      </c>
      <c r="N357" s="3" t="s">
        <v>195</v>
      </c>
      <c r="O357" s="3" t="s">
        <v>21</v>
      </c>
      <c r="P357" s="3" t="s">
        <v>196</v>
      </c>
      <c r="Q357" s="3" t="s">
        <v>218</v>
      </c>
      <c r="R357" s="3">
        <v>4</v>
      </c>
      <c r="S357" s="3">
        <v>23732.74</v>
      </c>
      <c r="T357" s="3">
        <v>25</v>
      </c>
      <c r="U357" s="3">
        <v>71198.22</v>
      </c>
      <c r="V357" s="3">
        <v>34817.379999999997</v>
      </c>
      <c r="W357" s="3">
        <v>36380.839999999997</v>
      </c>
      <c r="X357" s="3">
        <v>51.1</v>
      </c>
      <c r="Y357" s="3">
        <v>49</v>
      </c>
      <c r="Z357" s="3" t="s">
        <v>48</v>
      </c>
      <c r="AA357" s="3" t="s">
        <v>100</v>
      </c>
      <c r="AB357" s="3" t="s">
        <v>101</v>
      </c>
      <c r="AC357" s="3"/>
    </row>
    <row r="358" spans="1:29" x14ac:dyDescent="0.3">
      <c r="A358" s="2" t="s">
        <v>2490</v>
      </c>
      <c r="B358" s="2" t="s">
        <v>2491</v>
      </c>
      <c r="C358" s="2" t="s">
        <v>339</v>
      </c>
      <c r="D358" s="2" t="s">
        <v>2492</v>
      </c>
      <c r="E358" s="2" t="s">
        <v>26</v>
      </c>
      <c r="F358" s="2" t="s">
        <v>1732</v>
      </c>
      <c r="G358" s="2" t="s">
        <v>2493</v>
      </c>
      <c r="H358" s="2" t="s">
        <v>2494</v>
      </c>
      <c r="I358" s="2">
        <v>4</v>
      </c>
      <c r="J358" s="2" t="s">
        <v>14</v>
      </c>
      <c r="K358" s="2" t="s">
        <v>95</v>
      </c>
      <c r="L358" s="2" t="s">
        <v>95</v>
      </c>
      <c r="M358" s="2" t="s">
        <v>2495</v>
      </c>
      <c r="N358" s="2" t="s">
        <v>286</v>
      </c>
      <c r="O358" s="2" t="s">
        <v>28</v>
      </c>
      <c r="P358" s="2" t="s">
        <v>137</v>
      </c>
      <c r="Q358" s="2" t="s">
        <v>466</v>
      </c>
      <c r="R358" s="2">
        <v>1</v>
      </c>
      <c r="S358" s="2">
        <v>19674.689999999999</v>
      </c>
      <c r="T358" s="2">
        <v>25</v>
      </c>
      <c r="U358" s="2">
        <v>14756.02</v>
      </c>
      <c r="V358" s="2">
        <v>9801.7099999999991</v>
      </c>
      <c r="W358" s="2">
        <v>4954.3100000000004</v>
      </c>
      <c r="X358" s="2">
        <v>33.57</v>
      </c>
      <c r="Y358" s="2">
        <v>49</v>
      </c>
      <c r="Z358" s="2" t="s">
        <v>40</v>
      </c>
      <c r="AA358" s="2" t="s">
        <v>139</v>
      </c>
      <c r="AB358" s="2" t="s">
        <v>140</v>
      </c>
      <c r="AC358" s="2"/>
    </row>
    <row r="359" spans="1:29" x14ac:dyDescent="0.3">
      <c r="A359" s="3" t="s">
        <v>2496</v>
      </c>
      <c r="B359" s="3" t="s">
        <v>2497</v>
      </c>
      <c r="C359" s="3" t="s">
        <v>995</v>
      </c>
      <c r="D359" s="3" t="s">
        <v>2498</v>
      </c>
      <c r="E359" s="3" t="s">
        <v>18</v>
      </c>
      <c r="F359" s="3" t="s">
        <v>818</v>
      </c>
      <c r="G359" s="3" t="s">
        <v>819</v>
      </c>
      <c r="H359" s="3" t="s">
        <v>1712</v>
      </c>
      <c r="I359" s="3">
        <v>8</v>
      </c>
      <c r="J359" s="3" t="s">
        <v>22</v>
      </c>
      <c r="K359" s="3" t="s">
        <v>254</v>
      </c>
      <c r="L359" s="3" t="s">
        <v>254</v>
      </c>
      <c r="M359" s="3" t="s">
        <v>2499</v>
      </c>
      <c r="N359" s="3" t="s">
        <v>788</v>
      </c>
      <c r="O359" s="3" t="s">
        <v>27</v>
      </c>
      <c r="P359" s="3" t="s">
        <v>113</v>
      </c>
      <c r="Q359" s="3" t="s">
        <v>509</v>
      </c>
      <c r="R359" s="3">
        <v>1</v>
      </c>
      <c r="S359" s="3">
        <v>21963.64</v>
      </c>
      <c r="T359" s="3">
        <v>10</v>
      </c>
      <c r="U359" s="3">
        <v>19767.28</v>
      </c>
      <c r="V359" s="3">
        <v>12520.9</v>
      </c>
      <c r="W359" s="3">
        <v>7246.38</v>
      </c>
      <c r="X359" s="3">
        <v>36.659999999999997</v>
      </c>
      <c r="Y359" s="3">
        <v>149</v>
      </c>
      <c r="Z359" s="3" t="s">
        <v>15</v>
      </c>
      <c r="AA359" s="3" t="s">
        <v>186</v>
      </c>
      <c r="AB359" s="3" t="s">
        <v>101</v>
      </c>
      <c r="AC359" s="3"/>
    </row>
    <row r="360" spans="1:29" x14ac:dyDescent="0.3">
      <c r="A360" s="2" t="s">
        <v>2500</v>
      </c>
      <c r="B360" s="2" t="s">
        <v>2501</v>
      </c>
      <c r="C360" s="2" t="s">
        <v>1955</v>
      </c>
      <c r="D360" s="2" t="s">
        <v>2502</v>
      </c>
      <c r="E360" s="2" t="s">
        <v>18</v>
      </c>
      <c r="F360" s="2" t="s">
        <v>2503</v>
      </c>
      <c r="G360" s="2" t="s">
        <v>2504</v>
      </c>
      <c r="H360" s="2" t="s">
        <v>920</v>
      </c>
      <c r="I360" s="2">
        <v>8</v>
      </c>
      <c r="J360" s="2" t="s">
        <v>39</v>
      </c>
      <c r="K360" s="2" t="s">
        <v>193</v>
      </c>
      <c r="L360" s="2" t="s">
        <v>193</v>
      </c>
      <c r="M360" s="2" t="s">
        <v>2505</v>
      </c>
      <c r="N360" s="2" t="s">
        <v>227</v>
      </c>
      <c r="O360" s="2" t="s">
        <v>13</v>
      </c>
      <c r="P360" s="2" t="s">
        <v>228</v>
      </c>
      <c r="Q360" s="2" t="s">
        <v>246</v>
      </c>
      <c r="R360" s="2">
        <v>1</v>
      </c>
      <c r="S360" s="2">
        <v>5001.7700000000004</v>
      </c>
      <c r="T360" s="2">
        <v>0</v>
      </c>
      <c r="U360" s="2">
        <v>5001.7700000000004</v>
      </c>
      <c r="V360" s="2">
        <v>3404.65</v>
      </c>
      <c r="W360" s="2">
        <v>1597.12</v>
      </c>
      <c r="X360" s="2">
        <v>31.93</v>
      </c>
      <c r="Y360" s="2">
        <v>149</v>
      </c>
      <c r="Z360" s="2" t="s">
        <v>40</v>
      </c>
      <c r="AA360" s="2" t="s">
        <v>275</v>
      </c>
      <c r="AB360" s="2" t="s">
        <v>101</v>
      </c>
      <c r="AC360" s="2"/>
    </row>
    <row r="361" spans="1:29" x14ac:dyDescent="0.3">
      <c r="A361" s="3" t="s">
        <v>2506</v>
      </c>
      <c r="B361" s="3" t="s">
        <v>2507</v>
      </c>
      <c r="C361" s="3" t="s">
        <v>1273</v>
      </c>
      <c r="D361" s="3" t="s">
        <v>2508</v>
      </c>
      <c r="E361" s="3" t="s">
        <v>18</v>
      </c>
      <c r="F361" s="3" t="s">
        <v>2076</v>
      </c>
      <c r="G361" s="3" t="s">
        <v>2509</v>
      </c>
      <c r="H361" s="3" t="s">
        <v>547</v>
      </c>
      <c r="I361" s="3">
        <v>3</v>
      </c>
      <c r="J361" s="3" t="s">
        <v>39</v>
      </c>
      <c r="K361" s="3" t="s">
        <v>109</v>
      </c>
      <c r="L361" s="3" t="s">
        <v>344</v>
      </c>
      <c r="M361" s="3" t="s">
        <v>2510</v>
      </c>
      <c r="N361" s="3" t="s">
        <v>465</v>
      </c>
      <c r="O361" s="3" t="s">
        <v>19</v>
      </c>
      <c r="P361" s="3" t="s">
        <v>447</v>
      </c>
      <c r="Q361" s="3" t="s">
        <v>207</v>
      </c>
      <c r="R361" s="3">
        <v>5</v>
      </c>
      <c r="S361" s="3">
        <v>22400.84</v>
      </c>
      <c r="T361" s="3">
        <v>10</v>
      </c>
      <c r="U361" s="3">
        <v>100803.78</v>
      </c>
      <c r="V361" s="3">
        <v>63833.53</v>
      </c>
      <c r="W361" s="3">
        <v>36970.25</v>
      </c>
      <c r="X361" s="3">
        <v>36.68</v>
      </c>
      <c r="Y361" s="3">
        <v>49</v>
      </c>
      <c r="Z361" s="3" t="s">
        <v>47</v>
      </c>
      <c r="AA361" s="3" t="s">
        <v>672</v>
      </c>
      <c r="AB361" s="3" t="s">
        <v>101</v>
      </c>
      <c r="AC361" s="3"/>
    </row>
    <row r="362" spans="1:29" x14ac:dyDescent="0.3">
      <c r="A362" s="2" t="s">
        <v>2511</v>
      </c>
      <c r="B362" s="2" t="s">
        <v>2512</v>
      </c>
      <c r="C362" s="2" t="s">
        <v>1011</v>
      </c>
      <c r="D362" s="2" t="s">
        <v>2513</v>
      </c>
      <c r="E362" s="2" t="s">
        <v>42</v>
      </c>
      <c r="F362" s="2" t="s">
        <v>1531</v>
      </c>
      <c r="G362" s="2" t="s">
        <v>1532</v>
      </c>
      <c r="H362" s="2" t="s">
        <v>2514</v>
      </c>
      <c r="I362" s="2">
        <v>2</v>
      </c>
      <c r="J362" s="2" t="s">
        <v>39</v>
      </c>
      <c r="K362" s="2" t="s">
        <v>225</v>
      </c>
      <c r="L362" s="2" t="s">
        <v>225</v>
      </c>
      <c r="M362" s="2" t="s">
        <v>2102</v>
      </c>
      <c r="N362" s="2" t="s">
        <v>327</v>
      </c>
      <c r="O362" s="2" t="s">
        <v>27</v>
      </c>
      <c r="P362" s="2" t="s">
        <v>113</v>
      </c>
      <c r="Q362" s="2" t="s">
        <v>218</v>
      </c>
      <c r="R362" s="2">
        <v>4</v>
      </c>
      <c r="S362" s="2">
        <v>31286.31</v>
      </c>
      <c r="T362" s="2">
        <v>30</v>
      </c>
      <c r="U362" s="2">
        <v>87601.67</v>
      </c>
      <c r="V362" s="2">
        <v>48043.26</v>
      </c>
      <c r="W362" s="2">
        <v>39558.410000000003</v>
      </c>
      <c r="X362" s="2">
        <v>45.16</v>
      </c>
      <c r="Y362" s="2">
        <v>99</v>
      </c>
      <c r="Z362" s="2" t="s">
        <v>40</v>
      </c>
      <c r="AA362" s="2" t="s">
        <v>275</v>
      </c>
      <c r="AB362" s="2" t="s">
        <v>140</v>
      </c>
      <c r="AC362" s="2"/>
    </row>
    <row r="363" spans="1:29" x14ac:dyDescent="0.3">
      <c r="A363" s="3" t="s">
        <v>2515</v>
      </c>
      <c r="B363" s="3" t="s">
        <v>2516</v>
      </c>
      <c r="C363" s="3" t="s">
        <v>1217</v>
      </c>
      <c r="D363" s="3" t="s">
        <v>2517</v>
      </c>
      <c r="E363" s="3" t="s">
        <v>26</v>
      </c>
      <c r="F363" s="3" t="s">
        <v>2518</v>
      </c>
      <c r="G363" s="3" t="s">
        <v>515</v>
      </c>
      <c r="H363" s="3" t="s">
        <v>2519</v>
      </c>
      <c r="I363" s="3">
        <v>2</v>
      </c>
      <c r="J363" s="3" t="s">
        <v>14</v>
      </c>
      <c r="K363" s="3" t="s">
        <v>95</v>
      </c>
      <c r="L363" s="3" t="s">
        <v>95</v>
      </c>
      <c r="M363" s="3" t="s">
        <v>2520</v>
      </c>
      <c r="N363" s="3" t="s">
        <v>722</v>
      </c>
      <c r="O363" s="3" t="s">
        <v>27</v>
      </c>
      <c r="P363" s="3" t="s">
        <v>175</v>
      </c>
      <c r="Q363" s="3" t="s">
        <v>152</v>
      </c>
      <c r="R363" s="3">
        <v>5</v>
      </c>
      <c r="S363" s="3">
        <v>25856.9</v>
      </c>
      <c r="T363" s="3">
        <v>25</v>
      </c>
      <c r="U363" s="3">
        <v>96963.38</v>
      </c>
      <c r="V363" s="3">
        <v>52976.28</v>
      </c>
      <c r="W363" s="3">
        <v>43987.1</v>
      </c>
      <c r="X363" s="3">
        <v>45.36</v>
      </c>
      <c r="Y363" s="3">
        <v>99</v>
      </c>
      <c r="Z363" s="3" t="s">
        <v>30</v>
      </c>
      <c r="AA363" s="3" t="s">
        <v>100</v>
      </c>
      <c r="AB363" s="3" t="s">
        <v>101</v>
      </c>
      <c r="AC363" s="3"/>
    </row>
    <row r="364" spans="1:29" x14ac:dyDescent="0.3">
      <c r="A364" s="2" t="s">
        <v>2521</v>
      </c>
      <c r="B364" s="2" t="s">
        <v>2522</v>
      </c>
      <c r="C364" s="2" t="s">
        <v>666</v>
      </c>
      <c r="D364" s="2" t="s">
        <v>2523</v>
      </c>
      <c r="E364" s="2" t="s">
        <v>26</v>
      </c>
      <c r="F364" s="2" t="s">
        <v>2524</v>
      </c>
      <c r="G364" s="2" t="s">
        <v>2525</v>
      </c>
      <c r="H364" s="2" t="s">
        <v>1725</v>
      </c>
      <c r="I364" s="2">
        <v>8</v>
      </c>
      <c r="J364" s="2" t="s">
        <v>22</v>
      </c>
      <c r="K364" s="2" t="s">
        <v>443</v>
      </c>
      <c r="L364" s="2" t="s">
        <v>444</v>
      </c>
      <c r="M364" s="2" t="s">
        <v>2526</v>
      </c>
      <c r="N364" s="2" t="s">
        <v>399</v>
      </c>
      <c r="O364" s="2" t="s">
        <v>21</v>
      </c>
      <c r="P364" s="2" t="s">
        <v>196</v>
      </c>
      <c r="Q364" s="2" t="s">
        <v>114</v>
      </c>
      <c r="R364" s="2">
        <v>2</v>
      </c>
      <c r="S364" s="2">
        <v>2785.38</v>
      </c>
      <c r="T364" s="2">
        <v>5</v>
      </c>
      <c r="U364" s="2">
        <v>5292.22</v>
      </c>
      <c r="V364" s="2">
        <v>3270.37</v>
      </c>
      <c r="W364" s="2">
        <v>2021.85</v>
      </c>
      <c r="X364" s="2">
        <v>38.200000000000003</v>
      </c>
      <c r="Y364" s="2">
        <v>99</v>
      </c>
      <c r="Z364" s="2" t="s">
        <v>40</v>
      </c>
      <c r="AA364" s="2" t="s">
        <v>186</v>
      </c>
      <c r="AB364" s="2" t="s">
        <v>101</v>
      </c>
      <c r="AC364" s="2"/>
    </row>
    <row r="365" spans="1:29" x14ac:dyDescent="0.3">
      <c r="A365" s="3" t="s">
        <v>2527</v>
      </c>
      <c r="B365" s="3" t="s">
        <v>2528</v>
      </c>
      <c r="C365" s="3" t="s">
        <v>2529</v>
      </c>
      <c r="D365" s="3" t="s">
        <v>2530</v>
      </c>
      <c r="E365" s="3" t="s">
        <v>26</v>
      </c>
      <c r="F365" s="3" t="s">
        <v>531</v>
      </c>
      <c r="G365" s="3" t="s">
        <v>108</v>
      </c>
      <c r="H365" s="3" t="s">
        <v>1300</v>
      </c>
      <c r="I365" s="3">
        <v>8</v>
      </c>
      <c r="J365" s="3" t="s">
        <v>14</v>
      </c>
      <c r="K365" s="3" t="s">
        <v>171</v>
      </c>
      <c r="L365" s="3" t="s">
        <v>541</v>
      </c>
      <c r="M365" s="3" t="s">
        <v>2531</v>
      </c>
      <c r="N365" s="3" t="s">
        <v>518</v>
      </c>
      <c r="O365" s="3" t="s">
        <v>19</v>
      </c>
      <c r="P365" s="3" t="s">
        <v>365</v>
      </c>
      <c r="Q365" s="3" t="s">
        <v>400</v>
      </c>
      <c r="R365" s="3">
        <v>5</v>
      </c>
      <c r="S365" s="3">
        <v>45815.61</v>
      </c>
      <c r="T365" s="3">
        <v>15</v>
      </c>
      <c r="U365" s="3">
        <v>194716.34</v>
      </c>
      <c r="V365" s="3">
        <v>133921.28</v>
      </c>
      <c r="W365" s="3">
        <v>60795.06</v>
      </c>
      <c r="X365" s="3">
        <v>31.22</v>
      </c>
      <c r="Y365" s="3">
        <v>99</v>
      </c>
      <c r="Z365" s="3" t="s">
        <v>48</v>
      </c>
      <c r="AA365" s="3" t="s">
        <v>139</v>
      </c>
      <c r="AB365" s="3" t="s">
        <v>140</v>
      </c>
      <c r="AC365" s="3"/>
    </row>
    <row r="366" spans="1:29" x14ac:dyDescent="0.3">
      <c r="A366" s="2" t="s">
        <v>2532</v>
      </c>
      <c r="B366" s="2" t="s">
        <v>2533</v>
      </c>
      <c r="C366" s="2" t="s">
        <v>2534</v>
      </c>
      <c r="D366" s="2" t="s">
        <v>2535</v>
      </c>
      <c r="E366" s="2" t="s">
        <v>18</v>
      </c>
      <c r="F366" s="2" t="s">
        <v>2536</v>
      </c>
      <c r="G366" s="2" t="s">
        <v>2537</v>
      </c>
      <c r="H366" s="2" t="s">
        <v>2168</v>
      </c>
      <c r="I366" s="2">
        <v>5</v>
      </c>
      <c r="J366" s="2" t="s">
        <v>29</v>
      </c>
      <c r="K366" s="2" t="s">
        <v>160</v>
      </c>
      <c r="L366" s="2" t="s">
        <v>559</v>
      </c>
      <c r="M366" s="2" t="s">
        <v>2538</v>
      </c>
      <c r="N366" s="2" t="s">
        <v>765</v>
      </c>
      <c r="O366" s="2" t="s">
        <v>27</v>
      </c>
      <c r="P366" s="2" t="s">
        <v>113</v>
      </c>
      <c r="Q366" s="2" t="s">
        <v>400</v>
      </c>
      <c r="R366" s="2">
        <v>5</v>
      </c>
      <c r="S366" s="2">
        <v>20900.13</v>
      </c>
      <c r="T366" s="2">
        <v>30</v>
      </c>
      <c r="U366" s="2">
        <v>73150.460000000006</v>
      </c>
      <c r="V366" s="2">
        <v>36699.279999999999</v>
      </c>
      <c r="W366" s="2">
        <v>36451.18</v>
      </c>
      <c r="X366" s="2">
        <v>49.83</v>
      </c>
      <c r="Y366" s="2">
        <v>149</v>
      </c>
      <c r="Z366" s="2" t="s">
        <v>43</v>
      </c>
      <c r="AA366" s="2" t="s">
        <v>100</v>
      </c>
      <c r="AB366" s="2" t="s">
        <v>101</v>
      </c>
      <c r="AC366" s="2"/>
    </row>
    <row r="367" spans="1:29" x14ac:dyDescent="0.3">
      <c r="A367" s="3" t="s">
        <v>2539</v>
      </c>
      <c r="B367" s="3" t="s">
        <v>2540</v>
      </c>
      <c r="C367" s="3" t="s">
        <v>870</v>
      </c>
      <c r="D367" s="3" t="s">
        <v>2541</v>
      </c>
      <c r="E367" s="3" t="s">
        <v>42</v>
      </c>
      <c r="F367" s="3" t="s">
        <v>2253</v>
      </c>
      <c r="G367" s="3" t="s">
        <v>2542</v>
      </c>
      <c r="H367" s="3" t="s">
        <v>280</v>
      </c>
      <c r="I367" s="3">
        <v>7</v>
      </c>
      <c r="J367" s="3" t="s">
        <v>22</v>
      </c>
      <c r="K367" s="3" t="s">
        <v>283</v>
      </c>
      <c r="L367" s="3" t="s">
        <v>284</v>
      </c>
      <c r="M367" s="3" t="s">
        <v>2543</v>
      </c>
      <c r="N367" s="3" t="s">
        <v>125</v>
      </c>
      <c r="O367" s="3" t="s">
        <v>21</v>
      </c>
      <c r="P367" s="3" t="s">
        <v>126</v>
      </c>
      <c r="Q367" s="3" t="s">
        <v>400</v>
      </c>
      <c r="R367" s="3">
        <v>5</v>
      </c>
      <c r="S367" s="3">
        <v>10944.75</v>
      </c>
      <c r="T367" s="3">
        <v>15</v>
      </c>
      <c r="U367" s="3">
        <v>46515.19</v>
      </c>
      <c r="V367" s="3">
        <v>28208.36</v>
      </c>
      <c r="W367" s="3">
        <v>18306.830000000002</v>
      </c>
      <c r="X367" s="3">
        <v>39.36</v>
      </c>
      <c r="Y367" s="3">
        <v>29</v>
      </c>
      <c r="Z367" s="3" t="s">
        <v>30</v>
      </c>
      <c r="AA367" s="3" t="s">
        <v>186</v>
      </c>
      <c r="AB367" s="3" t="s">
        <v>101</v>
      </c>
      <c r="AC367" s="3"/>
    </row>
    <row r="368" spans="1:29" x14ac:dyDescent="0.3">
      <c r="A368" s="2" t="s">
        <v>2544</v>
      </c>
      <c r="B368" s="2" t="s">
        <v>2545</v>
      </c>
      <c r="C368" s="2" t="s">
        <v>143</v>
      </c>
      <c r="D368" s="2" t="s">
        <v>2546</v>
      </c>
      <c r="E368" s="2" t="s">
        <v>18</v>
      </c>
      <c r="F368" s="2" t="s">
        <v>637</v>
      </c>
      <c r="G368" s="2" t="s">
        <v>2547</v>
      </c>
      <c r="H368" s="2" t="s">
        <v>1330</v>
      </c>
      <c r="I368" s="2">
        <v>7</v>
      </c>
      <c r="J368" s="2" t="s">
        <v>14</v>
      </c>
      <c r="K368" s="2" t="s">
        <v>171</v>
      </c>
      <c r="L368" s="2" t="s">
        <v>541</v>
      </c>
      <c r="M368" s="2" t="s">
        <v>2548</v>
      </c>
      <c r="N368" s="2" t="s">
        <v>266</v>
      </c>
      <c r="O368" s="2" t="s">
        <v>28</v>
      </c>
      <c r="P368" s="2" t="s">
        <v>151</v>
      </c>
      <c r="Q368" s="2" t="s">
        <v>127</v>
      </c>
      <c r="R368" s="2">
        <v>2</v>
      </c>
      <c r="S368" s="2">
        <v>13099.4</v>
      </c>
      <c r="T368" s="2">
        <v>15</v>
      </c>
      <c r="U368" s="2">
        <v>22268.98</v>
      </c>
      <c r="V368" s="2">
        <v>10387.549999999999</v>
      </c>
      <c r="W368" s="2">
        <v>11881.43</v>
      </c>
      <c r="X368" s="2">
        <v>53.35</v>
      </c>
      <c r="Y368" s="2">
        <v>0</v>
      </c>
      <c r="Z368" s="2" t="s">
        <v>48</v>
      </c>
      <c r="AA368" s="2" t="s">
        <v>100</v>
      </c>
      <c r="AB368" s="2" t="s">
        <v>101</v>
      </c>
      <c r="AC368" s="2"/>
    </row>
    <row r="369" spans="1:29" x14ac:dyDescent="0.3">
      <c r="A369" s="3" t="s">
        <v>2549</v>
      </c>
      <c r="B369" s="3" t="s">
        <v>2550</v>
      </c>
      <c r="C369" s="3" t="s">
        <v>1809</v>
      </c>
      <c r="D369" s="3" t="s">
        <v>2551</v>
      </c>
      <c r="E369" s="3" t="s">
        <v>33</v>
      </c>
      <c r="F369" s="3" t="s">
        <v>2552</v>
      </c>
      <c r="G369" s="3" t="s">
        <v>2553</v>
      </c>
      <c r="H369" s="3" t="s">
        <v>2554</v>
      </c>
      <c r="I369" s="3">
        <v>4</v>
      </c>
      <c r="J369" s="3" t="s">
        <v>22</v>
      </c>
      <c r="K369" s="3" t="s">
        <v>738</v>
      </c>
      <c r="L369" s="3" t="s">
        <v>738</v>
      </c>
      <c r="M369" s="3" t="s">
        <v>2555</v>
      </c>
      <c r="N369" s="3" t="s">
        <v>852</v>
      </c>
      <c r="O369" s="3" t="s">
        <v>27</v>
      </c>
      <c r="P369" s="3" t="s">
        <v>175</v>
      </c>
      <c r="Q369" s="3" t="s">
        <v>287</v>
      </c>
      <c r="R369" s="3">
        <v>5</v>
      </c>
      <c r="S369" s="3">
        <v>766.66</v>
      </c>
      <c r="T369" s="3">
        <v>5</v>
      </c>
      <c r="U369" s="3">
        <v>3641.63</v>
      </c>
      <c r="V369" s="3">
        <v>2401.2800000000002</v>
      </c>
      <c r="W369" s="3">
        <v>1240.3499999999999</v>
      </c>
      <c r="X369" s="3">
        <v>34.06</v>
      </c>
      <c r="Y369" s="3">
        <v>0</v>
      </c>
      <c r="Z369" s="3" t="s">
        <v>48</v>
      </c>
      <c r="AA369" s="3" t="s">
        <v>100</v>
      </c>
      <c r="AB369" s="3" t="s">
        <v>101</v>
      </c>
      <c r="AC369" s="3">
        <v>3</v>
      </c>
    </row>
    <row r="370" spans="1:29" x14ac:dyDescent="0.3">
      <c r="A370" s="2" t="s">
        <v>2556</v>
      </c>
      <c r="B370" s="2" t="s">
        <v>2557</v>
      </c>
      <c r="C370" s="2" t="s">
        <v>536</v>
      </c>
      <c r="D370" s="2" t="s">
        <v>2558</v>
      </c>
      <c r="E370" s="2" t="s">
        <v>26</v>
      </c>
      <c r="F370" s="2" t="s">
        <v>960</v>
      </c>
      <c r="G370" s="2" t="s">
        <v>159</v>
      </c>
      <c r="H370" s="2" t="s">
        <v>962</v>
      </c>
      <c r="I370" s="2">
        <v>6</v>
      </c>
      <c r="J370" s="2" t="s">
        <v>22</v>
      </c>
      <c r="K370" s="2" t="s">
        <v>738</v>
      </c>
      <c r="L370" s="2" t="s">
        <v>738</v>
      </c>
      <c r="M370" s="2" t="s">
        <v>2559</v>
      </c>
      <c r="N370" s="2" t="s">
        <v>639</v>
      </c>
      <c r="O370" s="2" t="s">
        <v>27</v>
      </c>
      <c r="P370" s="2" t="s">
        <v>175</v>
      </c>
      <c r="Q370" s="2" t="s">
        <v>99</v>
      </c>
      <c r="R370" s="2">
        <v>1</v>
      </c>
      <c r="S370" s="2">
        <v>16653.599999999999</v>
      </c>
      <c r="T370" s="2">
        <v>15</v>
      </c>
      <c r="U370" s="2">
        <v>14155.56</v>
      </c>
      <c r="V370" s="2">
        <v>7624.24</v>
      </c>
      <c r="W370" s="2">
        <v>6531.32</v>
      </c>
      <c r="X370" s="2">
        <v>46.14</v>
      </c>
      <c r="Y370" s="2">
        <v>199</v>
      </c>
      <c r="Z370" s="2" t="s">
        <v>15</v>
      </c>
      <c r="AA370" s="2" t="s">
        <v>100</v>
      </c>
      <c r="AB370" s="2" t="s">
        <v>101</v>
      </c>
      <c r="AC370" s="2">
        <v>3</v>
      </c>
    </row>
    <row r="371" spans="1:29" x14ac:dyDescent="0.3">
      <c r="A371" s="3" t="s">
        <v>2560</v>
      </c>
      <c r="B371" s="3" t="s">
        <v>2561</v>
      </c>
      <c r="C371" s="3" t="s">
        <v>1981</v>
      </c>
      <c r="D371" s="3" t="s">
        <v>2562</v>
      </c>
      <c r="E371" s="3" t="s">
        <v>26</v>
      </c>
      <c r="F371" s="3" t="s">
        <v>2563</v>
      </c>
      <c r="G371" s="3" t="s">
        <v>2564</v>
      </c>
      <c r="H371" s="3" t="s">
        <v>2347</v>
      </c>
      <c r="I371" s="3">
        <v>2</v>
      </c>
      <c r="J371" s="3" t="s">
        <v>22</v>
      </c>
      <c r="K371" s="3" t="s">
        <v>443</v>
      </c>
      <c r="L371" s="3" t="s">
        <v>567</v>
      </c>
      <c r="M371" s="3" t="s">
        <v>2565</v>
      </c>
      <c r="N371" s="3" t="s">
        <v>852</v>
      </c>
      <c r="O371" s="3" t="s">
        <v>27</v>
      </c>
      <c r="P371" s="3" t="s">
        <v>175</v>
      </c>
      <c r="Q371" s="3" t="s">
        <v>246</v>
      </c>
      <c r="R371" s="3">
        <v>4</v>
      </c>
      <c r="S371" s="3">
        <v>42523.72</v>
      </c>
      <c r="T371" s="3">
        <v>15</v>
      </c>
      <c r="U371" s="3">
        <v>144580.65</v>
      </c>
      <c r="V371" s="3">
        <v>82121.14</v>
      </c>
      <c r="W371" s="3">
        <v>62459.51</v>
      </c>
      <c r="X371" s="3">
        <v>43.2</v>
      </c>
      <c r="Y371" s="3">
        <v>49</v>
      </c>
      <c r="Z371" s="3" t="s">
        <v>48</v>
      </c>
      <c r="AA371" s="3" t="s">
        <v>275</v>
      </c>
      <c r="AB371" s="3" t="s">
        <v>101</v>
      </c>
      <c r="AC371" s="3"/>
    </row>
    <row r="372" spans="1:29" x14ac:dyDescent="0.3">
      <c r="A372" s="2" t="s">
        <v>2566</v>
      </c>
      <c r="B372" s="2" t="s">
        <v>1400</v>
      </c>
      <c r="C372" s="2" t="s">
        <v>995</v>
      </c>
      <c r="D372" s="2" t="s">
        <v>2567</v>
      </c>
      <c r="E372" s="2" t="s">
        <v>18</v>
      </c>
      <c r="F372" s="2" t="s">
        <v>727</v>
      </c>
      <c r="G372" s="2" t="s">
        <v>1087</v>
      </c>
      <c r="H372" s="2" t="s">
        <v>2568</v>
      </c>
      <c r="I372" s="2">
        <v>3</v>
      </c>
      <c r="J372" s="2" t="s">
        <v>22</v>
      </c>
      <c r="K372" s="2" t="s">
        <v>443</v>
      </c>
      <c r="L372" s="2" t="s">
        <v>444</v>
      </c>
      <c r="M372" s="2" t="s">
        <v>2569</v>
      </c>
      <c r="N372" s="2" t="s">
        <v>1188</v>
      </c>
      <c r="O372" s="2" t="s">
        <v>27</v>
      </c>
      <c r="P372" s="2" t="s">
        <v>257</v>
      </c>
      <c r="Q372" s="2" t="s">
        <v>355</v>
      </c>
      <c r="R372" s="2">
        <v>1</v>
      </c>
      <c r="S372" s="2">
        <v>10414.049999999999</v>
      </c>
      <c r="T372" s="2">
        <v>20</v>
      </c>
      <c r="U372" s="2">
        <v>8331.24</v>
      </c>
      <c r="V372" s="2">
        <v>3934.42</v>
      </c>
      <c r="W372" s="2">
        <v>4396.82</v>
      </c>
      <c r="X372" s="2">
        <v>52.78</v>
      </c>
      <c r="Y372" s="2">
        <v>0</v>
      </c>
      <c r="Z372" s="2" t="s">
        <v>40</v>
      </c>
      <c r="AA372" s="2" t="s">
        <v>100</v>
      </c>
      <c r="AB372" s="2" t="s">
        <v>101</v>
      </c>
      <c r="AC372" s="2">
        <v>1</v>
      </c>
    </row>
    <row r="373" spans="1:29" x14ac:dyDescent="0.3">
      <c r="A373" s="3" t="s">
        <v>2570</v>
      </c>
      <c r="B373" s="3" t="s">
        <v>2571</v>
      </c>
      <c r="C373" s="3" t="s">
        <v>2572</v>
      </c>
      <c r="D373" s="3" t="s">
        <v>2573</v>
      </c>
      <c r="E373" s="3" t="s">
        <v>18</v>
      </c>
      <c r="F373" s="3" t="s">
        <v>991</v>
      </c>
      <c r="G373" s="3" t="s">
        <v>1300</v>
      </c>
      <c r="H373" s="3" t="s">
        <v>2568</v>
      </c>
      <c r="I373" s="3">
        <v>5</v>
      </c>
      <c r="J373" s="3" t="s">
        <v>39</v>
      </c>
      <c r="K373" s="3" t="s">
        <v>109</v>
      </c>
      <c r="L373" s="3" t="s">
        <v>344</v>
      </c>
      <c r="M373" s="3" t="s">
        <v>2574</v>
      </c>
      <c r="N373" s="3" t="s">
        <v>1802</v>
      </c>
      <c r="O373" s="3" t="s">
        <v>28</v>
      </c>
      <c r="P373" s="3" t="s">
        <v>137</v>
      </c>
      <c r="Q373" s="3" t="s">
        <v>152</v>
      </c>
      <c r="R373" s="3">
        <v>3</v>
      </c>
      <c r="S373" s="3">
        <v>24478.82</v>
      </c>
      <c r="T373" s="3">
        <v>20</v>
      </c>
      <c r="U373" s="3">
        <v>58749.17</v>
      </c>
      <c r="V373" s="3">
        <v>34291.43</v>
      </c>
      <c r="W373" s="3">
        <v>24457.74</v>
      </c>
      <c r="X373" s="3">
        <v>41.63</v>
      </c>
      <c r="Y373" s="3">
        <v>49</v>
      </c>
      <c r="Z373" s="3" t="s">
        <v>23</v>
      </c>
      <c r="AA373" s="3" t="s">
        <v>100</v>
      </c>
      <c r="AB373" s="3" t="s">
        <v>140</v>
      </c>
      <c r="AC373" s="3">
        <v>2</v>
      </c>
    </row>
    <row r="374" spans="1:29" x14ac:dyDescent="0.3">
      <c r="A374" s="2" t="s">
        <v>2575</v>
      </c>
      <c r="B374" s="2" t="s">
        <v>2576</v>
      </c>
      <c r="C374" s="2" t="s">
        <v>2345</v>
      </c>
      <c r="D374" s="2" t="s">
        <v>2577</v>
      </c>
      <c r="E374" s="2" t="s">
        <v>26</v>
      </c>
      <c r="F374" s="2" t="s">
        <v>960</v>
      </c>
      <c r="G374" s="2" t="s">
        <v>961</v>
      </c>
      <c r="H374" s="2" t="s">
        <v>406</v>
      </c>
      <c r="I374" s="2">
        <v>2</v>
      </c>
      <c r="J374" s="2" t="s">
        <v>14</v>
      </c>
      <c r="K374" s="2" t="s">
        <v>712</v>
      </c>
      <c r="L374" s="2" t="s">
        <v>712</v>
      </c>
      <c r="M374" s="2" t="s">
        <v>2578</v>
      </c>
      <c r="N374" s="2" t="s">
        <v>256</v>
      </c>
      <c r="O374" s="2" t="s">
        <v>27</v>
      </c>
      <c r="P374" s="2" t="s">
        <v>257</v>
      </c>
      <c r="Q374" s="2" t="s">
        <v>509</v>
      </c>
      <c r="R374" s="2">
        <v>2</v>
      </c>
      <c r="S374" s="2">
        <v>49260.28</v>
      </c>
      <c r="T374" s="2">
        <v>25</v>
      </c>
      <c r="U374" s="2">
        <v>73890.42</v>
      </c>
      <c r="V374" s="2">
        <v>48768.87</v>
      </c>
      <c r="W374" s="2">
        <v>25121.55</v>
      </c>
      <c r="X374" s="2">
        <v>34</v>
      </c>
      <c r="Y374" s="2">
        <v>99</v>
      </c>
      <c r="Z374" s="2" t="s">
        <v>43</v>
      </c>
      <c r="AA374" s="2" t="s">
        <v>100</v>
      </c>
      <c r="AB374" s="2" t="s">
        <v>101</v>
      </c>
      <c r="AC374" s="2">
        <v>5</v>
      </c>
    </row>
    <row r="375" spans="1:29" x14ac:dyDescent="0.3">
      <c r="A375" s="3" t="s">
        <v>2579</v>
      </c>
      <c r="B375" s="3" t="s">
        <v>2580</v>
      </c>
      <c r="C375" s="3" t="s">
        <v>2124</v>
      </c>
      <c r="D375" s="3" t="s">
        <v>2581</v>
      </c>
      <c r="E375" s="3" t="s">
        <v>33</v>
      </c>
      <c r="F375" s="3" t="s">
        <v>2582</v>
      </c>
      <c r="G375" s="3" t="s">
        <v>515</v>
      </c>
      <c r="H375" s="3" t="s">
        <v>998</v>
      </c>
      <c r="I375" s="3">
        <v>4</v>
      </c>
      <c r="J375" s="3" t="s">
        <v>14</v>
      </c>
      <c r="K375" s="3" t="s">
        <v>712</v>
      </c>
      <c r="L375" s="3" t="s">
        <v>712</v>
      </c>
      <c r="M375" s="3" t="s">
        <v>2583</v>
      </c>
      <c r="N375" s="3" t="s">
        <v>551</v>
      </c>
      <c r="O375" s="3" t="s">
        <v>13</v>
      </c>
      <c r="P375" s="3" t="s">
        <v>98</v>
      </c>
      <c r="Q375" s="3" t="s">
        <v>218</v>
      </c>
      <c r="R375" s="3">
        <v>1</v>
      </c>
      <c r="S375" s="3">
        <v>35379.17</v>
      </c>
      <c r="T375" s="3">
        <v>20</v>
      </c>
      <c r="U375" s="3">
        <v>28303.34</v>
      </c>
      <c r="V375" s="3">
        <v>14979.99</v>
      </c>
      <c r="W375" s="3">
        <v>13323.35</v>
      </c>
      <c r="X375" s="3">
        <v>47.07</v>
      </c>
      <c r="Y375" s="3">
        <v>149</v>
      </c>
      <c r="Z375" s="3" t="s">
        <v>15</v>
      </c>
      <c r="AA375" s="3" t="s">
        <v>275</v>
      </c>
      <c r="AB375" s="3" t="s">
        <v>101</v>
      </c>
      <c r="AC375" s="3"/>
    </row>
    <row r="376" spans="1:29" x14ac:dyDescent="0.3">
      <c r="A376" s="2" t="s">
        <v>2584</v>
      </c>
      <c r="B376" s="2" t="s">
        <v>2585</v>
      </c>
      <c r="C376" s="2" t="s">
        <v>1293</v>
      </c>
      <c r="D376" s="2" t="s">
        <v>2586</v>
      </c>
      <c r="E376" s="2" t="s">
        <v>18</v>
      </c>
      <c r="F376" s="2" t="s">
        <v>2191</v>
      </c>
      <c r="G376" s="2" t="s">
        <v>2192</v>
      </c>
      <c r="H376" s="2" t="s">
        <v>811</v>
      </c>
      <c r="I376" s="2">
        <v>3</v>
      </c>
      <c r="J376" s="2" t="s">
        <v>22</v>
      </c>
      <c r="K376" s="2" t="s">
        <v>122</v>
      </c>
      <c r="L376" s="2" t="s">
        <v>236</v>
      </c>
      <c r="M376" s="2" t="s">
        <v>2587</v>
      </c>
      <c r="N376" s="2" t="s">
        <v>296</v>
      </c>
      <c r="O376" s="2" t="s">
        <v>19</v>
      </c>
      <c r="P376" s="2" t="s">
        <v>297</v>
      </c>
      <c r="Q376" s="2" t="s">
        <v>287</v>
      </c>
      <c r="R376" s="2">
        <v>5</v>
      </c>
      <c r="S376" s="2">
        <v>22072.69</v>
      </c>
      <c r="T376" s="2">
        <v>0</v>
      </c>
      <c r="U376" s="2">
        <v>110363.45</v>
      </c>
      <c r="V376" s="2">
        <v>71319.490000000005</v>
      </c>
      <c r="W376" s="2">
        <v>39043.96</v>
      </c>
      <c r="X376" s="2">
        <v>35.380000000000003</v>
      </c>
      <c r="Y376" s="2">
        <v>49</v>
      </c>
      <c r="Z376" s="2" t="s">
        <v>40</v>
      </c>
      <c r="AA376" s="2" t="s">
        <v>186</v>
      </c>
      <c r="AB376" s="2" t="s">
        <v>101</v>
      </c>
      <c r="AC376" s="2"/>
    </row>
    <row r="377" spans="1:29" x14ac:dyDescent="0.3">
      <c r="A377" s="3" t="s">
        <v>2588</v>
      </c>
      <c r="B377" s="3" t="s">
        <v>2589</v>
      </c>
      <c r="C377" s="3" t="s">
        <v>2590</v>
      </c>
      <c r="D377" s="3" t="s">
        <v>2591</v>
      </c>
      <c r="E377" s="3" t="s">
        <v>26</v>
      </c>
      <c r="F377" s="3" t="s">
        <v>2592</v>
      </c>
      <c r="G377" s="3" t="s">
        <v>2593</v>
      </c>
      <c r="H377" s="3" t="s">
        <v>2594</v>
      </c>
      <c r="I377" s="3">
        <v>7</v>
      </c>
      <c r="J377" s="3" t="s">
        <v>22</v>
      </c>
      <c r="K377" s="3" t="s">
        <v>122</v>
      </c>
      <c r="L377" s="3" t="s">
        <v>123</v>
      </c>
      <c r="M377" s="3" t="s">
        <v>2595</v>
      </c>
      <c r="N377" s="3" t="s">
        <v>639</v>
      </c>
      <c r="O377" s="3" t="s">
        <v>27</v>
      </c>
      <c r="P377" s="3" t="s">
        <v>175</v>
      </c>
      <c r="Q377" s="3" t="s">
        <v>355</v>
      </c>
      <c r="R377" s="3">
        <v>4</v>
      </c>
      <c r="S377" s="3">
        <v>30162.37</v>
      </c>
      <c r="T377" s="3">
        <v>15</v>
      </c>
      <c r="U377" s="3">
        <v>102552.06</v>
      </c>
      <c r="V377" s="3">
        <v>56207.39</v>
      </c>
      <c r="W377" s="3">
        <v>46344.67</v>
      </c>
      <c r="X377" s="3">
        <v>45.19</v>
      </c>
      <c r="Y377" s="3">
        <v>29</v>
      </c>
      <c r="Z377" s="3" t="s">
        <v>47</v>
      </c>
      <c r="AA377" s="3" t="s">
        <v>100</v>
      </c>
      <c r="AB377" s="3" t="s">
        <v>101</v>
      </c>
      <c r="AC377" s="3"/>
    </row>
    <row r="378" spans="1:29" x14ac:dyDescent="0.3">
      <c r="A378" s="2" t="s">
        <v>2596</v>
      </c>
      <c r="B378" s="2" t="s">
        <v>2597</v>
      </c>
      <c r="C378" s="2" t="s">
        <v>980</v>
      </c>
      <c r="D378" s="2" t="s">
        <v>2598</v>
      </c>
      <c r="E378" s="2" t="s">
        <v>42</v>
      </c>
      <c r="F378" s="2" t="s">
        <v>212</v>
      </c>
      <c r="G378" s="2" t="s">
        <v>213</v>
      </c>
      <c r="H378" s="2" t="s">
        <v>565</v>
      </c>
      <c r="I378" s="2">
        <v>7</v>
      </c>
      <c r="J378" s="2" t="s">
        <v>14</v>
      </c>
      <c r="K378" s="2" t="s">
        <v>95</v>
      </c>
      <c r="L378" s="2" t="s">
        <v>95</v>
      </c>
      <c r="M378" s="2" t="s">
        <v>2599</v>
      </c>
      <c r="N378" s="2" t="s">
        <v>750</v>
      </c>
      <c r="O378" s="2" t="s">
        <v>13</v>
      </c>
      <c r="P378" s="2" t="s">
        <v>419</v>
      </c>
      <c r="Q378" s="2" t="s">
        <v>197</v>
      </c>
      <c r="R378" s="2">
        <v>1</v>
      </c>
      <c r="S378" s="2">
        <v>39485.17</v>
      </c>
      <c r="T378" s="2">
        <v>5</v>
      </c>
      <c r="U378" s="2">
        <v>37510.910000000003</v>
      </c>
      <c r="V378" s="2">
        <v>17924.23</v>
      </c>
      <c r="W378" s="2">
        <v>19586.68</v>
      </c>
      <c r="X378" s="2">
        <v>52.22</v>
      </c>
      <c r="Y378" s="2">
        <v>99</v>
      </c>
      <c r="Z378" s="2" t="s">
        <v>47</v>
      </c>
      <c r="AA378" s="2" t="s">
        <v>100</v>
      </c>
      <c r="AB378" s="2" t="s">
        <v>101</v>
      </c>
      <c r="AC378" s="2"/>
    </row>
    <row r="379" spans="1:29" x14ac:dyDescent="0.3">
      <c r="A379" s="3" t="s">
        <v>2600</v>
      </c>
      <c r="B379" s="3" t="s">
        <v>1037</v>
      </c>
      <c r="C379" s="3" t="s">
        <v>1590</v>
      </c>
      <c r="D379" s="3" t="s">
        <v>2601</v>
      </c>
      <c r="E379" s="3" t="s">
        <v>33</v>
      </c>
      <c r="F379" s="3" t="s">
        <v>2602</v>
      </c>
      <c r="G379" s="3" t="s">
        <v>2058</v>
      </c>
      <c r="H379" s="3" t="s">
        <v>1289</v>
      </c>
      <c r="I379" s="3">
        <v>8</v>
      </c>
      <c r="J379" s="3" t="s">
        <v>14</v>
      </c>
      <c r="K379" s="3" t="s">
        <v>215</v>
      </c>
      <c r="L379" s="3" t="s">
        <v>215</v>
      </c>
      <c r="M379" s="3" t="s">
        <v>2603</v>
      </c>
      <c r="N379" s="3" t="s">
        <v>286</v>
      </c>
      <c r="O379" s="3" t="s">
        <v>28</v>
      </c>
      <c r="P379" s="3" t="s">
        <v>137</v>
      </c>
      <c r="Q379" s="3" t="s">
        <v>509</v>
      </c>
      <c r="R379" s="3">
        <v>3</v>
      </c>
      <c r="S379" s="3">
        <v>42384.2</v>
      </c>
      <c r="T379" s="3">
        <v>10</v>
      </c>
      <c r="U379" s="3">
        <v>114437.34</v>
      </c>
      <c r="V379" s="3">
        <v>67299.58</v>
      </c>
      <c r="W379" s="3">
        <v>47137.760000000002</v>
      </c>
      <c r="X379" s="3">
        <v>41.19</v>
      </c>
      <c r="Y379" s="3">
        <v>149</v>
      </c>
      <c r="Z379" s="3" t="s">
        <v>43</v>
      </c>
      <c r="AA379" s="3" t="s">
        <v>100</v>
      </c>
      <c r="AB379" s="3" t="s">
        <v>101</v>
      </c>
      <c r="AC379" s="3">
        <v>5</v>
      </c>
    </row>
    <row r="380" spans="1:29" x14ac:dyDescent="0.3">
      <c r="A380" s="2" t="s">
        <v>2604</v>
      </c>
      <c r="B380" s="2" t="s">
        <v>2605</v>
      </c>
      <c r="C380" s="2" t="s">
        <v>2345</v>
      </c>
      <c r="D380" s="2" t="s">
        <v>2606</v>
      </c>
      <c r="E380" s="2" t="s">
        <v>33</v>
      </c>
      <c r="F380" s="2" t="s">
        <v>1976</v>
      </c>
      <c r="G380" s="2" t="s">
        <v>1488</v>
      </c>
      <c r="H380" s="2" t="s">
        <v>1320</v>
      </c>
      <c r="I380" s="2">
        <v>4</v>
      </c>
      <c r="J380" s="2" t="s">
        <v>29</v>
      </c>
      <c r="K380" s="2" t="s">
        <v>148</v>
      </c>
      <c r="L380" s="2" t="s">
        <v>148</v>
      </c>
      <c r="M380" s="2" t="s">
        <v>2607</v>
      </c>
      <c r="N380" s="2" t="s">
        <v>465</v>
      </c>
      <c r="O380" s="2" t="s">
        <v>19</v>
      </c>
      <c r="P380" s="2" t="s">
        <v>447</v>
      </c>
      <c r="Q380" s="2" t="s">
        <v>99</v>
      </c>
      <c r="R380" s="2">
        <v>3</v>
      </c>
      <c r="S380" s="2">
        <v>18881.689999999999</v>
      </c>
      <c r="T380" s="2">
        <v>15</v>
      </c>
      <c r="U380" s="2">
        <v>48148.31</v>
      </c>
      <c r="V380" s="2">
        <v>28921.16</v>
      </c>
      <c r="W380" s="2">
        <v>19227.150000000001</v>
      </c>
      <c r="X380" s="2">
        <v>39.93</v>
      </c>
      <c r="Y380" s="2">
        <v>0</v>
      </c>
      <c r="Z380" s="2" t="s">
        <v>23</v>
      </c>
      <c r="AA380" s="2" t="s">
        <v>100</v>
      </c>
      <c r="AB380" s="2" t="s">
        <v>101</v>
      </c>
      <c r="AC380" s="2">
        <v>4</v>
      </c>
    </row>
    <row r="381" spans="1:29" x14ac:dyDescent="0.3">
      <c r="A381" s="3" t="s">
        <v>2608</v>
      </c>
      <c r="B381" s="3" t="s">
        <v>2609</v>
      </c>
      <c r="C381" s="3" t="s">
        <v>1085</v>
      </c>
      <c r="D381" s="3" t="s">
        <v>2610</v>
      </c>
      <c r="E381" s="3" t="s">
        <v>26</v>
      </c>
      <c r="F381" s="3" t="s">
        <v>2611</v>
      </c>
      <c r="G381" s="3" t="s">
        <v>2612</v>
      </c>
      <c r="H381" s="3" t="s">
        <v>2204</v>
      </c>
      <c r="I381" s="3">
        <v>7</v>
      </c>
      <c r="J381" s="3" t="s">
        <v>29</v>
      </c>
      <c r="K381" s="3" t="s">
        <v>334</v>
      </c>
      <c r="L381" s="3" t="s">
        <v>335</v>
      </c>
      <c r="M381" s="3" t="s">
        <v>2613</v>
      </c>
      <c r="N381" s="3" t="s">
        <v>623</v>
      </c>
      <c r="O381" s="3" t="s">
        <v>19</v>
      </c>
      <c r="P381" s="3" t="s">
        <v>297</v>
      </c>
      <c r="Q381" s="3" t="s">
        <v>400</v>
      </c>
      <c r="R381" s="3">
        <v>4</v>
      </c>
      <c r="S381" s="3">
        <v>44606.85</v>
      </c>
      <c r="T381" s="3">
        <v>30</v>
      </c>
      <c r="U381" s="3">
        <v>124899.18</v>
      </c>
      <c r="V381" s="3">
        <v>87133.67</v>
      </c>
      <c r="W381" s="3">
        <v>37765.51</v>
      </c>
      <c r="X381" s="3">
        <v>30.24</v>
      </c>
      <c r="Y381" s="3">
        <v>149</v>
      </c>
      <c r="Z381" s="3" t="s">
        <v>23</v>
      </c>
      <c r="AA381" s="3" t="s">
        <v>100</v>
      </c>
      <c r="AB381" s="3" t="s">
        <v>101</v>
      </c>
      <c r="AC381" s="3"/>
    </row>
    <row r="382" spans="1:29" x14ac:dyDescent="0.3">
      <c r="A382" s="2" t="s">
        <v>2614</v>
      </c>
      <c r="B382" s="2" t="s">
        <v>2615</v>
      </c>
      <c r="C382" s="2" t="s">
        <v>563</v>
      </c>
      <c r="D382" s="2" t="s">
        <v>2616</v>
      </c>
      <c r="E382" s="2" t="s">
        <v>33</v>
      </c>
      <c r="F382" s="2" t="s">
        <v>396</v>
      </c>
      <c r="G382" s="2" t="s">
        <v>2617</v>
      </c>
      <c r="H382" s="2" t="s">
        <v>2618</v>
      </c>
      <c r="I382" s="2">
        <v>3</v>
      </c>
      <c r="J382" s="2" t="s">
        <v>14</v>
      </c>
      <c r="K382" s="2" t="s">
        <v>183</v>
      </c>
      <c r="L382" s="2" t="s">
        <v>183</v>
      </c>
      <c r="M382" s="2" t="s">
        <v>2619</v>
      </c>
      <c r="N382" s="2" t="s">
        <v>446</v>
      </c>
      <c r="O382" s="2" t="s">
        <v>19</v>
      </c>
      <c r="P382" s="2" t="s">
        <v>447</v>
      </c>
      <c r="Q382" s="2" t="s">
        <v>509</v>
      </c>
      <c r="R382" s="2">
        <v>5</v>
      </c>
      <c r="S382" s="2">
        <v>49589.61</v>
      </c>
      <c r="T382" s="2">
        <v>25</v>
      </c>
      <c r="U382" s="2">
        <v>185961.04</v>
      </c>
      <c r="V382" s="2">
        <v>95373.39</v>
      </c>
      <c r="W382" s="2">
        <v>90587.65</v>
      </c>
      <c r="X382" s="2">
        <v>48.71</v>
      </c>
      <c r="Y382" s="2">
        <v>49</v>
      </c>
      <c r="Z382" s="2" t="s">
        <v>30</v>
      </c>
      <c r="AA382" s="2" t="s">
        <v>100</v>
      </c>
      <c r="AB382" s="2" t="s">
        <v>101</v>
      </c>
      <c r="AC382" s="2">
        <v>2</v>
      </c>
    </row>
    <row r="383" spans="1:29" x14ac:dyDescent="0.3">
      <c r="A383" s="3" t="s">
        <v>2620</v>
      </c>
      <c r="B383" s="3" t="s">
        <v>2621</v>
      </c>
      <c r="C383" s="3" t="s">
        <v>2622</v>
      </c>
      <c r="D383" s="3" t="s">
        <v>2623</v>
      </c>
      <c r="E383" s="3" t="s">
        <v>33</v>
      </c>
      <c r="F383" s="3" t="s">
        <v>2624</v>
      </c>
      <c r="G383" s="3" t="s">
        <v>1352</v>
      </c>
      <c r="H383" s="3" t="s">
        <v>1148</v>
      </c>
      <c r="I383" s="3">
        <v>6</v>
      </c>
      <c r="J383" s="3" t="s">
        <v>22</v>
      </c>
      <c r="K383" s="3" t="s">
        <v>254</v>
      </c>
      <c r="L383" s="3" t="s">
        <v>254</v>
      </c>
      <c r="M383" s="3" t="s">
        <v>2625</v>
      </c>
      <c r="N383" s="3" t="s">
        <v>465</v>
      </c>
      <c r="O383" s="3" t="s">
        <v>19</v>
      </c>
      <c r="P383" s="3" t="s">
        <v>447</v>
      </c>
      <c r="Q383" s="3" t="s">
        <v>400</v>
      </c>
      <c r="R383" s="3">
        <v>2</v>
      </c>
      <c r="S383" s="3">
        <v>29761.91</v>
      </c>
      <c r="T383" s="3">
        <v>30</v>
      </c>
      <c r="U383" s="3">
        <v>41666.67</v>
      </c>
      <c r="V383" s="3">
        <v>25763.72</v>
      </c>
      <c r="W383" s="3">
        <v>15902.95</v>
      </c>
      <c r="X383" s="3">
        <v>38.17</v>
      </c>
      <c r="Y383" s="3">
        <v>199</v>
      </c>
      <c r="Z383" s="3" t="s">
        <v>43</v>
      </c>
      <c r="AA383" s="3" t="s">
        <v>100</v>
      </c>
      <c r="AB383" s="3" t="s">
        <v>101</v>
      </c>
      <c r="AC383" s="3"/>
    </row>
    <row r="384" spans="1:29" x14ac:dyDescent="0.3">
      <c r="A384" s="2" t="s">
        <v>2626</v>
      </c>
      <c r="B384" s="2" t="s">
        <v>2627</v>
      </c>
      <c r="C384" s="2" t="s">
        <v>1911</v>
      </c>
      <c r="D384" s="2" t="s">
        <v>2628</v>
      </c>
      <c r="E384" s="2" t="s">
        <v>33</v>
      </c>
      <c r="F384" s="2" t="s">
        <v>2075</v>
      </c>
      <c r="G384" s="2" t="s">
        <v>2629</v>
      </c>
      <c r="H384" s="2" t="s">
        <v>2630</v>
      </c>
      <c r="I384" s="2">
        <v>4</v>
      </c>
      <c r="J384" s="2" t="s">
        <v>14</v>
      </c>
      <c r="K384" s="2" t="s">
        <v>712</v>
      </c>
      <c r="L384" s="2" t="s">
        <v>712</v>
      </c>
      <c r="M384" s="2" t="s">
        <v>2631</v>
      </c>
      <c r="N384" s="2" t="s">
        <v>163</v>
      </c>
      <c r="O384" s="2" t="s">
        <v>21</v>
      </c>
      <c r="P384" s="2" t="s">
        <v>126</v>
      </c>
      <c r="Q384" s="2" t="s">
        <v>246</v>
      </c>
      <c r="R384" s="2">
        <v>4</v>
      </c>
      <c r="S384" s="2">
        <v>10488.47</v>
      </c>
      <c r="T384" s="2">
        <v>15</v>
      </c>
      <c r="U384" s="2">
        <v>35660.800000000003</v>
      </c>
      <c r="V384" s="2">
        <v>16653.259999999998</v>
      </c>
      <c r="W384" s="2">
        <v>19007.54</v>
      </c>
      <c r="X384" s="2">
        <v>53.3</v>
      </c>
      <c r="Y384" s="2">
        <v>29</v>
      </c>
      <c r="Z384" s="2" t="s">
        <v>47</v>
      </c>
      <c r="AA384" s="2" t="s">
        <v>100</v>
      </c>
      <c r="AB384" s="2" t="s">
        <v>101</v>
      </c>
      <c r="AC384" s="2">
        <v>5</v>
      </c>
    </row>
    <row r="385" spans="1:29" x14ac:dyDescent="0.3">
      <c r="A385" s="3" t="s">
        <v>2632</v>
      </c>
      <c r="B385" s="3" t="s">
        <v>2633</v>
      </c>
      <c r="C385" s="3" t="s">
        <v>743</v>
      </c>
      <c r="D385" s="3" t="s">
        <v>2634</v>
      </c>
      <c r="E385" s="3" t="s">
        <v>42</v>
      </c>
      <c r="F385" s="3" t="s">
        <v>1120</v>
      </c>
      <c r="G385" s="3" t="s">
        <v>2553</v>
      </c>
      <c r="H385" s="3" t="s">
        <v>2554</v>
      </c>
      <c r="I385" s="3">
        <v>4</v>
      </c>
      <c r="J385" s="3" t="s">
        <v>22</v>
      </c>
      <c r="K385" s="3" t="s">
        <v>738</v>
      </c>
      <c r="L385" s="3" t="s">
        <v>738</v>
      </c>
      <c r="M385" s="3" t="s">
        <v>787</v>
      </c>
      <c r="N385" s="3" t="s">
        <v>551</v>
      </c>
      <c r="O385" s="3" t="s">
        <v>13</v>
      </c>
      <c r="P385" s="3" t="s">
        <v>98</v>
      </c>
      <c r="Q385" s="3" t="s">
        <v>246</v>
      </c>
      <c r="R385" s="3">
        <v>3</v>
      </c>
      <c r="S385" s="3">
        <v>27306.57</v>
      </c>
      <c r="T385" s="3">
        <v>0</v>
      </c>
      <c r="U385" s="3">
        <v>81919.710000000006</v>
      </c>
      <c r="V385" s="3">
        <v>45949.07</v>
      </c>
      <c r="W385" s="3">
        <v>35970.639999999999</v>
      </c>
      <c r="X385" s="3">
        <v>43.91</v>
      </c>
      <c r="Y385" s="3">
        <v>29</v>
      </c>
      <c r="Z385" s="3" t="s">
        <v>48</v>
      </c>
      <c r="AA385" s="3" t="s">
        <v>186</v>
      </c>
      <c r="AB385" s="3" t="s">
        <v>101</v>
      </c>
      <c r="AC385" s="3"/>
    </row>
    <row r="386" spans="1:29" x14ac:dyDescent="0.3">
      <c r="A386" s="2" t="s">
        <v>2635</v>
      </c>
      <c r="B386" s="2" t="s">
        <v>1245</v>
      </c>
      <c r="C386" s="2" t="s">
        <v>1433</v>
      </c>
      <c r="D386" s="2" t="s">
        <v>2636</v>
      </c>
      <c r="E386" s="2" t="s">
        <v>26</v>
      </c>
      <c r="F386" s="2" t="s">
        <v>1337</v>
      </c>
      <c r="G386" s="2" t="s">
        <v>1263</v>
      </c>
      <c r="H386" s="2" t="s">
        <v>1265</v>
      </c>
      <c r="I386" s="2">
        <v>6</v>
      </c>
      <c r="J386" s="2" t="s">
        <v>39</v>
      </c>
      <c r="K386" s="2" t="s">
        <v>225</v>
      </c>
      <c r="L386" s="2" t="s">
        <v>225</v>
      </c>
      <c r="M386" s="2" t="s">
        <v>1461</v>
      </c>
      <c r="N386" s="2" t="s">
        <v>1051</v>
      </c>
      <c r="O386" s="2" t="s">
        <v>28</v>
      </c>
      <c r="P386" s="2" t="s">
        <v>151</v>
      </c>
      <c r="Q386" s="2" t="s">
        <v>400</v>
      </c>
      <c r="R386" s="2">
        <v>1</v>
      </c>
      <c r="S386" s="2">
        <v>3117.03</v>
      </c>
      <c r="T386" s="2">
        <v>25</v>
      </c>
      <c r="U386" s="2">
        <v>2337.77</v>
      </c>
      <c r="V386" s="2">
        <v>1395.75</v>
      </c>
      <c r="W386" s="2">
        <v>942.02</v>
      </c>
      <c r="X386" s="2">
        <v>40.299999999999997</v>
      </c>
      <c r="Y386" s="2">
        <v>49</v>
      </c>
      <c r="Z386" s="2" t="s">
        <v>15</v>
      </c>
      <c r="AA386" s="2" t="s">
        <v>186</v>
      </c>
      <c r="AB386" s="2" t="s">
        <v>101</v>
      </c>
      <c r="AC386" s="2"/>
    </row>
    <row r="387" spans="1:29" x14ac:dyDescent="0.3">
      <c r="A387" s="3" t="s">
        <v>2637</v>
      </c>
      <c r="B387" s="3" t="s">
        <v>2638</v>
      </c>
      <c r="C387" s="3" t="s">
        <v>1955</v>
      </c>
      <c r="D387" s="3" t="s">
        <v>1724</v>
      </c>
      <c r="E387" s="3" t="s">
        <v>26</v>
      </c>
      <c r="F387" s="3" t="s">
        <v>1667</v>
      </c>
      <c r="G387" s="3" t="s">
        <v>2639</v>
      </c>
      <c r="H387" s="3" t="s">
        <v>2640</v>
      </c>
      <c r="I387" s="3">
        <v>4</v>
      </c>
      <c r="J387" s="3" t="s">
        <v>29</v>
      </c>
      <c r="K387" s="3" t="s">
        <v>148</v>
      </c>
      <c r="L387" s="3" t="s">
        <v>148</v>
      </c>
      <c r="M387" s="3" t="s">
        <v>2641</v>
      </c>
      <c r="N387" s="3" t="s">
        <v>722</v>
      </c>
      <c r="O387" s="3" t="s">
        <v>27</v>
      </c>
      <c r="P387" s="3" t="s">
        <v>175</v>
      </c>
      <c r="Q387" s="3" t="s">
        <v>197</v>
      </c>
      <c r="R387" s="3">
        <v>3</v>
      </c>
      <c r="S387" s="3">
        <v>57.37</v>
      </c>
      <c r="T387" s="3">
        <v>5</v>
      </c>
      <c r="U387" s="3">
        <v>163.5</v>
      </c>
      <c r="V387" s="3">
        <v>85.74</v>
      </c>
      <c r="W387" s="3">
        <v>77.760000000000005</v>
      </c>
      <c r="X387" s="3">
        <v>47.56</v>
      </c>
      <c r="Y387" s="3">
        <v>99</v>
      </c>
      <c r="Z387" s="3" t="s">
        <v>40</v>
      </c>
      <c r="AA387" s="3" t="s">
        <v>100</v>
      </c>
      <c r="AB387" s="3" t="s">
        <v>101</v>
      </c>
      <c r="AC387" s="3">
        <v>1</v>
      </c>
    </row>
    <row r="388" spans="1:29" x14ac:dyDescent="0.3">
      <c r="A388" s="2" t="s">
        <v>2642</v>
      </c>
      <c r="B388" s="2" t="s">
        <v>2026</v>
      </c>
      <c r="C388" s="2" t="s">
        <v>1068</v>
      </c>
      <c r="D388" s="2" t="s">
        <v>2643</v>
      </c>
      <c r="E388" s="2" t="s">
        <v>26</v>
      </c>
      <c r="F388" s="2" t="s">
        <v>2093</v>
      </c>
      <c r="G388" s="2" t="s">
        <v>2644</v>
      </c>
      <c r="H388" s="2" t="s">
        <v>2630</v>
      </c>
      <c r="I388" s="2">
        <v>7</v>
      </c>
      <c r="J388" s="2" t="s">
        <v>14</v>
      </c>
      <c r="K388" s="2" t="s">
        <v>712</v>
      </c>
      <c r="L388" s="2" t="s">
        <v>712</v>
      </c>
      <c r="M388" s="2" t="s">
        <v>2645</v>
      </c>
      <c r="N388" s="2" t="s">
        <v>465</v>
      </c>
      <c r="O388" s="2" t="s">
        <v>19</v>
      </c>
      <c r="P388" s="2" t="s">
        <v>447</v>
      </c>
      <c r="Q388" s="2" t="s">
        <v>218</v>
      </c>
      <c r="R388" s="2">
        <v>4</v>
      </c>
      <c r="S388" s="2">
        <v>23959.97</v>
      </c>
      <c r="T388" s="2">
        <v>15</v>
      </c>
      <c r="U388" s="2">
        <v>81463.899999999994</v>
      </c>
      <c r="V388" s="2">
        <v>40299.08</v>
      </c>
      <c r="W388" s="2">
        <v>41164.82</v>
      </c>
      <c r="X388" s="2">
        <v>50.53</v>
      </c>
      <c r="Y388" s="2">
        <v>49</v>
      </c>
      <c r="Z388" s="2" t="s">
        <v>47</v>
      </c>
      <c r="AA388" s="2" t="s">
        <v>672</v>
      </c>
      <c r="AB388" s="2" t="s">
        <v>140</v>
      </c>
      <c r="AC388" s="2"/>
    </row>
    <row r="389" spans="1:29" x14ac:dyDescent="0.3">
      <c r="A389" s="3" t="s">
        <v>2646</v>
      </c>
      <c r="B389" s="3" t="s">
        <v>2647</v>
      </c>
      <c r="C389" s="3" t="s">
        <v>2534</v>
      </c>
      <c r="D389" s="3" t="s">
        <v>2648</v>
      </c>
      <c r="E389" s="3" t="s">
        <v>26</v>
      </c>
      <c r="F389" s="3" t="s">
        <v>1833</v>
      </c>
      <c r="G389" s="3" t="s">
        <v>1013</v>
      </c>
      <c r="H389" s="3" t="s">
        <v>1014</v>
      </c>
      <c r="I389" s="3">
        <v>2</v>
      </c>
      <c r="J389" s="3" t="s">
        <v>14</v>
      </c>
      <c r="K389" s="3" t="s">
        <v>215</v>
      </c>
      <c r="L389" s="3" t="s">
        <v>215</v>
      </c>
      <c r="M389" s="3" t="s">
        <v>1403</v>
      </c>
      <c r="N389" s="3" t="s">
        <v>475</v>
      </c>
      <c r="O389" s="3" t="s">
        <v>13</v>
      </c>
      <c r="P389" s="3" t="s">
        <v>228</v>
      </c>
      <c r="Q389" s="3" t="s">
        <v>608</v>
      </c>
      <c r="R389" s="3">
        <v>3</v>
      </c>
      <c r="S389" s="3">
        <v>31437.58</v>
      </c>
      <c r="T389" s="3">
        <v>5</v>
      </c>
      <c r="U389" s="3">
        <v>89597.1</v>
      </c>
      <c r="V389" s="3">
        <v>44377.51</v>
      </c>
      <c r="W389" s="3">
        <v>45219.59</v>
      </c>
      <c r="X389" s="3">
        <v>50.47</v>
      </c>
      <c r="Y389" s="3">
        <v>0</v>
      </c>
      <c r="Z389" s="3" t="s">
        <v>43</v>
      </c>
      <c r="AA389" s="3" t="s">
        <v>100</v>
      </c>
      <c r="AB389" s="3" t="s">
        <v>101</v>
      </c>
      <c r="AC389" s="3">
        <v>2</v>
      </c>
    </row>
    <row r="390" spans="1:29" x14ac:dyDescent="0.3">
      <c r="A390" s="2" t="s">
        <v>2649</v>
      </c>
      <c r="B390" s="2" t="s">
        <v>2650</v>
      </c>
      <c r="C390" s="2" t="s">
        <v>2651</v>
      </c>
      <c r="D390" s="2" t="s">
        <v>2652</v>
      </c>
      <c r="E390" s="2" t="s">
        <v>33</v>
      </c>
      <c r="F390" s="2" t="s">
        <v>2653</v>
      </c>
      <c r="G390" s="2" t="s">
        <v>2654</v>
      </c>
      <c r="H390" s="2" t="s">
        <v>1494</v>
      </c>
      <c r="I390" s="2">
        <v>3</v>
      </c>
      <c r="J390" s="2" t="s">
        <v>22</v>
      </c>
      <c r="K390" s="2" t="s">
        <v>283</v>
      </c>
      <c r="L390" s="2" t="s">
        <v>748</v>
      </c>
      <c r="M390" s="2" t="s">
        <v>2655</v>
      </c>
      <c r="N390" s="2" t="s">
        <v>852</v>
      </c>
      <c r="O390" s="2" t="s">
        <v>27</v>
      </c>
      <c r="P390" s="2" t="s">
        <v>175</v>
      </c>
      <c r="Q390" s="2" t="s">
        <v>509</v>
      </c>
      <c r="R390" s="2">
        <v>4</v>
      </c>
      <c r="S390" s="2">
        <v>3168.72</v>
      </c>
      <c r="T390" s="2">
        <v>30</v>
      </c>
      <c r="U390" s="2">
        <v>8872.42</v>
      </c>
      <c r="V390" s="2">
        <v>4524.93</v>
      </c>
      <c r="W390" s="2">
        <v>4347.49</v>
      </c>
      <c r="X390" s="2">
        <v>49</v>
      </c>
      <c r="Y390" s="2">
        <v>149</v>
      </c>
      <c r="Z390" s="2" t="s">
        <v>43</v>
      </c>
      <c r="AA390" s="2" t="s">
        <v>275</v>
      </c>
      <c r="AB390" s="2" t="s">
        <v>101</v>
      </c>
      <c r="AC390" s="2"/>
    </row>
    <row r="391" spans="1:29" x14ac:dyDescent="0.3">
      <c r="A391" s="3" t="s">
        <v>2656</v>
      </c>
      <c r="B391" s="3" t="s">
        <v>2657</v>
      </c>
      <c r="C391" s="3" t="s">
        <v>689</v>
      </c>
      <c r="D391" s="3" t="s">
        <v>2658</v>
      </c>
      <c r="E391" s="3" t="s">
        <v>42</v>
      </c>
      <c r="F391" s="3" t="s">
        <v>2659</v>
      </c>
      <c r="G391" s="3" t="s">
        <v>1206</v>
      </c>
      <c r="H391" s="3" t="s">
        <v>2660</v>
      </c>
      <c r="I391" s="3">
        <v>8</v>
      </c>
      <c r="J391" s="3" t="s">
        <v>14</v>
      </c>
      <c r="K391" s="3" t="s">
        <v>95</v>
      </c>
      <c r="L391" s="3" t="s">
        <v>95</v>
      </c>
      <c r="M391" s="3" t="s">
        <v>2661</v>
      </c>
      <c r="N391" s="3" t="s">
        <v>446</v>
      </c>
      <c r="O391" s="3" t="s">
        <v>19</v>
      </c>
      <c r="P391" s="3" t="s">
        <v>447</v>
      </c>
      <c r="Q391" s="3" t="s">
        <v>99</v>
      </c>
      <c r="R391" s="3">
        <v>4</v>
      </c>
      <c r="S391" s="3">
        <v>44934.51</v>
      </c>
      <c r="T391" s="3">
        <v>5</v>
      </c>
      <c r="U391" s="3">
        <v>170751.14</v>
      </c>
      <c r="V391" s="3">
        <v>100278.52</v>
      </c>
      <c r="W391" s="3">
        <v>70472.62</v>
      </c>
      <c r="X391" s="3">
        <v>41.27</v>
      </c>
      <c r="Y391" s="3">
        <v>49</v>
      </c>
      <c r="Z391" s="3" t="s">
        <v>15</v>
      </c>
      <c r="AA391" s="3" t="s">
        <v>100</v>
      </c>
      <c r="AB391" s="3" t="s">
        <v>101</v>
      </c>
      <c r="AC391" s="3"/>
    </row>
    <row r="392" spans="1:29" x14ac:dyDescent="0.3">
      <c r="A392" s="2" t="s">
        <v>2662</v>
      </c>
      <c r="B392" s="2" t="s">
        <v>2663</v>
      </c>
      <c r="C392" s="2" t="s">
        <v>1293</v>
      </c>
      <c r="D392" s="2" t="s">
        <v>2664</v>
      </c>
      <c r="E392" s="2" t="s">
        <v>33</v>
      </c>
      <c r="F392" s="2" t="s">
        <v>2665</v>
      </c>
      <c r="G392" s="2" t="s">
        <v>2666</v>
      </c>
      <c r="H392" s="2" t="s">
        <v>802</v>
      </c>
      <c r="I392" s="2">
        <v>2</v>
      </c>
      <c r="J392" s="2" t="s">
        <v>39</v>
      </c>
      <c r="K392" s="2" t="s">
        <v>193</v>
      </c>
      <c r="L392" s="2" t="s">
        <v>193</v>
      </c>
      <c r="M392" s="2" t="s">
        <v>2667</v>
      </c>
      <c r="N392" s="2" t="s">
        <v>150</v>
      </c>
      <c r="O392" s="2" t="s">
        <v>28</v>
      </c>
      <c r="P392" s="2" t="s">
        <v>151</v>
      </c>
      <c r="Q392" s="2" t="s">
        <v>138</v>
      </c>
      <c r="R392" s="2">
        <v>3</v>
      </c>
      <c r="S392" s="2">
        <v>46907.86</v>
      </c>
      <c r="T392" s="2">
        <v>5</v>
      </c>
      <c r="U392" s="2">
        <v>133687.4</v>
      </c>
      <c r="V392" s="2">
        <v>76457.16</v>
      </c>
      <c r="W392" s="2">
        <v>57230.239999999998</v>
      </c>
      <c r="X392" s="2">
        <v>42.81</v>
      </c>
      <c r="Y392" s="2">
        <v>49</v>
      </c>
      <c r="Z392" s="2" t="s">
        <v>47</v>
      </c>
      <c r="AA392" s="2" t="s">
        <v>100</v>
      </c>
      <c r="AB392" s="2" t="s">
        <v>101</v>
      </c>
      <c r="AC392" s="2">
        <v>3</v>
      </c>
    </row>
    <row r="393" spans="1:29" x14ac:dyDescent="0.3">
      <c r="A393" s="3" t="s">
        <v>2668</v>
      </c>
      <c r="B393" s="3" t="s">
        <v>2669</v>
      </c>
      <c r="C393" s="3" t="s">
        <v>1226</v>
      </c>
      <c r="D393" s="3" t="s">
        <v>2670</v>
      </c>
      <c r="E393" s="3" t="s">
        <v>42</v>
      </c>
      <c r="F393" s="3" t="s">
        <v>1322</v>
      </c>
      <c r="G393" s="3" t="s">
        <v>1776</v>
      </c>
      <c r="H393" s="3" t="s">
        <v>2671</v>
      </c>
      <c r="I393" s="3">
        <v>5</v>
      </c>
      <c r="J393" s="3" t="s">
        <v>22</v>
      </c>
      <c r="K393" s="3" t="s">
        <v>254</v>
      </c>
      <c r="L393" s="3" t="s">
        <v>254</v>
      </c>
      <c r="M393" s="3" t="s">
        <v>2672</v>
      </c>
      <c r="N393" s="3" t="s">
        <v>306</v>
      </c>
      <c r="O393" s="3" t="s">
        <v>21</v>
      </c>
      <c r="P393" s="3" t="s">
        <v>126</v>
      </c>
      <c r="Q393" s="3" t="s">
        <v>138</v>
      </c>
      <c r="R393" s="3">
        <v>4</v>
      </c>
      <c r="S393" s="3">
        <v>46623.75</v>
      </c>
      <c r="T393" s="3">
        <v>30</v>
      </c>
      <c r="U393" s="3">
        <v>130546.5</v>
      </c>
      <c r="V393" s="3">
        <v>61546.25</v>
      </c>
      <c r="W393" s="3">
        <v>69000.25</v>
      </c>
      <c r="X393" s="3">
        <v>52.85</v>
      </c>
      <c r="Y393" s="3">
        <v>199</v>
      </c>
      <c r="Z393" s="3" t="s">
        <v>40</v>
      </c>
      <c r="AA393" s="3" t="s">
        <v>100</v>
      </c>
      <c r="AB393" s="3" t="s">
        <v>101</v>
      </c>
      <c r="AC393" s="3">
        <v>4</v>
      </c>
    </row>
    <row r="394" spans="1:29" x14ac:dyDescent="0.3">
      <c r="A394" s="2" t="s">
        <v>2673</v>
      </c>
      <c r="B394" s="2" t="s">
        <v>2674</v>
      </c>
      <c r="C394" s="2" t="s">
        <v>412</v>
      </c>
      <c r="D394" s="2" t="s">
        <v>2675</v>
      </c>
      <c r="E394" s="2" t="s">
        <v>26</v>
      </c>
      <c r="F394" s="2" t="s">
        <v>263</v>
      </c>
      <c r="G394" s="2" t="s">
        <v>2238</v>
      </c>
      <c r="H394" s="2" t="s">
        <v>264</v>
      </c>
      <c r="I394" s="2">
        <v>3</v>
      </c>
      <c r="J394" s="2" t="s">
        <v>22</v>
      </c>
      <c r="K394" s="2" t="s">
        <v>254</v>
      </c>
      <c r="L394" s="2" t="s">
        <v>254</v>
      </c>
      <c r="M394" s="2" t="s">
        <v>2676</v>
      </c>
      <c r="N394" s="2" t="s">
        <v>97</v>
      </c>
      <c r="O394" s="2" t="s">
        <v>13</v>
      </c>
      <c r="P394" s="2" t="s">
        <v>98</v>
      </c>
      <c r="Q394" s="2" t="s">
        <v>114</v>
      </c>
      <c r="R394" s="2">
        <v>5</v>
      </c>
      <c r="S394" s="2">
        <v>26159.91</v>
      </c>
      <c r="T394" s="2">
        <v>20</v>
      </c>
      <c r="U394" s="2">
        <v>104639.64</v>
      </c>
      <c r="V394" s="2">
        <v>63909.95</v>
      </c>
      <c r="W394" s="2">
        <v>40729.69</v>
      </c>
      <c r="X394" s="2">
        <v>38.92</v>
      </c>
      <c r="Y394" s="2">
        <v>99</v>
      </c>
      <c r="Z394" s="2" t="s">
        <v>30</v>
      </c>
      <c r="AA394" s="2" t="s">
        <v>275</v>
      </c>
      <c r="AB394" s="2" t="s">
        <v>101</v>
      </c>
      <c r="AC394" s="2"/>
    </row>
    <row r="395" spans="1:29" x14ac:dyDescent="0.3">
      <c r="A395" s="3" t="s">
        <v>2677</v>
      </c>
      <c r="B395" s="3" t="s">
        <v>2678</v>
      </c>
      <c r="C395" s="3" t="s">
        <v>319</v>
      </c>
      <c r="D395" s="3" t="s">
        <v>2679</v>
      </c>
      <c r="E395" s="3" t="s">
        <v>18</v>
      </c>
      <c r="F395" s="3" t="s">
        <v>2450</v>
      </c>
      <c r="G395" s="3" t="s">
        <v>2364</v>
      </c>
      <c r="H395" s="3" t="s">
        <v>1695</v>
      </c>
      <c r="I395" s="3">
        <v>6</v>
      </c>
      <c r="J395" s="3" t="s">
        <v>39</v>
      </c>
      <c r="K395" s="3" t="s">
        <v>314</v>
      </c>
      <c r="L395" s="3" t="s">
        <v>314</v>
      </c>
      <c r="M395" s="3" t="s">
        <v>2680</v>
      </c>
      <c r="N395" s="3" t="s">
        <v>765</v>
      </c>
      <c r="O395" s="3" t="s">
        <v>27</v>
      </c>
      <c r="P395" s="3" t="s">
        <v>113</v>
      </c>
      <c r="Q395" s="3" t="s">
        <v>466</v>
      </c>
      <c r="R395" s="3">
        <v>4</v>
      </c>
      <c r="S395" s="3">
        <v>42113.04</v>
      </c>
      <c r="T395" s="3">
        <v>0</v>
      </c>
      <c r="U395" s="3">
        <v>168452.16</v>
      </c>
      <c r="V395" s="3">
        <v>102665.91</v>
      </c>
      <c r="W395" s="3">
        <v>65786.25</v>
      </c>
      <c r="X395" s="3">
        <v>39.049999999999997</v>
      </c>
      <c r="Y395" s="3">
        <v>149</v>
      </c>
      <c r="Z395" s="3" t="s">
        <v>40</v>
      </c>
      <c r="AA395" s="3" t="s">
        <v>100</v>
      </c>
      <c r="AB395" s="3" t="s">
        <v>101</v>
      </c>
      <c r="AC395" s="3">
        <v>1</v>
      </c>
    </row>
    <row r="396" spans="1:29" x14ac:dyDescent="0.3">
      <c r="A396" s="2" t="s">
        <v>2681</v>
      </c>
      <c r="B396" s="2" t="s">
        <v>2682</v>
      </c>
      <c r="C396" s="2" t="s">
        <v>1350</v>
      </c>
      <c r="D396" s="2" t="s">
        <v>2683</v>
      </c>
      <c r="E396" s="2" t="s">
        <v>33</v>
      </c>
      <c r="F396" s="2" t="s">
        <v>121</v>
      </c>
      <c r="G396" s="2" t="s">
        <v>2684</v>
      </c>
      <c r="H396" s="2" t="s">
        <v>2685</v>
      </c>
      <c r="I396" s="2">
        <v>4</v>
      </c>
      <c r="J396" s="2" t="s">
        <v>29</v>
      </c>
      <c r="K396" s="2" t="s">
        <v>834</v>
      </c>
      <c r="L396" s="2" t="s">
        <v>1000</v>
      </c>
      <c r="M396" s="2" t="s">
        <v>2686</v>
      </c>
      <c r="N396" s="2" t="s">
        <v>1611</v>
      </c>
      <c r="O396" s="2" t="s">
        <v>19</v>
      </c>
      <c r="P396" s="2" t="s">
        <v>365</v>
      </c>
      <c r="Q396" s="2" t="s">
        <v>287</v>
      </c>
      <c r="R396" s="2">
        <v>3</v>
      </c>
      <c r="S396" s="2">
        <v>13505.83</v>
      </c>
      <c r="T396" s="2">
        <v>10</v>
      </c>
      <c r="U396" s="2">
        <v>36465.74</v>
      </c>
      <c r="V396" s="2">
        <v>20770.27</v>
      </c>
      <c r="W396" s="2">
        <v>15695.47</v>
      </c>
      <c r="X396" s="2">
        <v>43.04</v>
      </c>
      <c r="Y396" s="2">
        <v>0</v>
      </c>
      <c r="Z396" s="2" t="s">
        <v>47</v>
      </c>
      <c r="AA396" s="2" t="s">
        <v>100</v>
      </c>
      <c r="AB396" s="2" t="s">
        <v>101</v>
      </c>
      <c r="AC396" s="2">
        <v>4</v>
      </c>
    </row>
    <row r="397" spans="1:29" x14ac:dyDescent="0.3">
      <c r="A397" s="3" t="s">
        <v>2687</v>
      </c>
      <c r="B397" s="3" t="s">
        <v>2688</v>
      </c>
      <c r="C397" s="3" t="s">
        <v>1737</v>
      </c>
      <c r="D397" s="3" t="s">
        <v>2689</v>
      </c>
      <c r="E397" s="3" t="s">
        <v>26</v>
      </c>
      <c r="F397" s="3" t="s">
        <v>754</v>
      </c>
      <c r="G397" s="3" t="s">
        <v>621</v>
      </c>
      <c r="H397" s="3" t="s">
        <v>850</v>
      </c>
      <c r="I397" s="3">
        <v>8</v>
      </c>
      <c r="J397" s="3" t="s">
        <v>22</v>
      </c>
      <c r="K397" s="3" t="s">
        <v>122</v>
      </c>
      <c r="L397" s="3" t="s">
        <v>236</v>
      </c>
      <c r="M397" s="3" t="s">
        <v>2690</v>
      </c>
      <c r="N397" s="3" t="s">
        <v>765</v>
      </c>
      <c r="O397" s="3" t="s">
        <v>27</v>
      </c>
      <c r="P397" s="3" t="s">
        <v>113</v>
      </c>
      <c r="Q397" s="3" t="s">
        <v>152</v>
      </c>
      <c r="R397" s="3">
        <v>4</v>
      </c>
      <c r="S397" s="3">
        <v>32675.3</v>
      </c>
      <c r="T397" s="3">
        <v>25</v>
      </c>
      <c r="U397" s="3">
        <v>98025.9</v>
      </c>
      <c r="V397" s="3">
        <v>58955.76</v>
      </c>
      <c r="W397" s="3">
        <v>39070.14</v>
      </c>
      <c r="X397" s="3">
        <v>39.86</v>
      </c>
      <c r="Y397" s="3">
        <v>0</v>
      </c>
      <c r="Z397" s="3" t="s">
        <v>47</v>
      </c>
      <c r="AA397" s="3" t="s">
        <v>672</v>
      </c>
      <c r="AB397" s="3" t="s">
        <v>101</v>
      </c>
      <c r="AC397" s="3"/>
    </row>
    <row r="398" spans="1:29" x14ac:dyDescent="0.3">
      <c r="A398" s="2" t="s">
        <v>2691</v>
      </c>
      <c r="B398" s="2" t="s">
        <v>2692</v>
      </c>
      <c r="C398" s="2" t="s">
        <v>1700</v>
      </c>
      <c r="D398" s="2" t="s">
        <v>2693</v>
      </c>
      <c r="E398" s="2" t="s">
        <v>33</v>
      </c>
      <c r="F398" s="2" t="s">
        <v>2617</v>
      </c>
      <c r="G398" s="2" t="s">
        <v>1870</v>
      </c>
      <c r="H398" s="2" t="s">
        <v>2618</v>
      </c>
      <c r="I398" s="2">
        <v>2</v>
      </c>
      <c r="J398" s="2" t="s">
        <v>14</v>
      </c>
      <c r="K398" s="2" t="s">
        <v>95</v>
      </c>
      <c r="L398" s="2" t="s">
        <v>95</v>
      </c>
      <c r="M398" s="2" t="s">
        <v>2694</v>
      </c>
      <c r="N398" s="2" t="s">
        <v>227</v>
      </c>
      <c r="O398" s="2" t="s">
        <v>13</v>
      </c>
      <c r="P398" s="2" t="s">
        <v>228</v>
      </c>
      <c r="Q398" s="2" t="s">
        <v>197</v>
      </c>
      <c r="R398" s="2">
        <v>2</v>
      </c>
      <c r="S398" s="2">
        <v>12191.53</v>
      </c>
      <c r="T398" s="2">
        <v>25</v>
      </c>
      <c r="U398" s="2">
        <v>18287.3</v>
      </c>
      <c r="V398" s="2">
        <v>11646.03</v>
      </c>
      <c r="W398" s="2">
        <v>6641.27</v>
      </c>
      <c r="X398" s="2">
        <v>36.32</v>
      </c>
      <c r="Y398" s="2">
        <v>29</v>
      </c>
      <c r="Z398" s="2" t="s">
        <v>15</v>
      </c>
      <c r="AA398" s="2" t="s">
        <v>100</v>
      </c>
      <c r="AB398" s="2" t="s">
        <v>101</v>
      </c>
      <c r="AC398" s="2">
        <v>2</v>
      </c>
    </row>
    <row r="399" spans="1:29" x14ac:dyDescent="0.3">
      <c r="A399" s="3" t="s">
        <v>2695</v>
      </c>
      <c r="B399" s="3" t="s">
        <v>2696</v>
      </c>
      <c r="C399" s="3" t="s">
        <v>759</v>
      </c>
      <c r="D399" s="3" t="s">
        <v>2697</v>
      </c>
      <c r="E399" s="3" t="s">
        <v>26</v>
      </c>
      <c r="F399" s="3" t="s">
        <v>2221</v>
      </c>
      <c r="G399" s="3" t="s">
        <v>982</v>
      </c>
      <c r="H399" s="3" t="s">
        <v>2698</v>
      </c>
      <c r="I399" s="3">
        <v>2</v>
      </c>
      <c r="J399" s="3" t="s">
        <v>39</v>
      </c>
      <c r="K399" s="3" t="s">
        <v>314</v>
      </c>
      <c r="L399" s="3" t="s">
        <v>314</v>
      </c>
      <c r="M399" s="3" t="s">
        <v>2699</v>
      </c>
      <c r="N399" s="3" t="s">
        <v>623</v>
      </c>
      <c r="O399" s="3" t="s">
        <v>19</v>
      </c>
      <c r="P399" s="3" t="s">
        <v>297</v>
      </c>
      <c r="Q399" s="3" t="s">
        <v>400</v>
      </c>
      <c r="R399" s="3">
        <v>3</v>
      </c>
      <c r="S399" s="3">
        <v>21458.34</v>
      </c>
      <c r="T399" s="3">
        <v>25</v>
      </c>
      <c r="U399" s="3">
        <v>48281.26</v>
      </c>
      <c r="V399" s="3">
        <v>30484.2</v>
      </c>
      <c r="W399" s="3">
        <v>17797.060000000001</v>
      </c>
      <c r="X399" s="3">
        <v>36.86</v>
      </c>
      <c r="Y399" s="3">
        <v>49</v>
      </c>
      <c r="Z399" s="3" t="s">
        <v>47</v>
      </c>
      <c r="AA399" s="3" t="s">
        <v>100</v>
      </c>
      <c r="AB399" s="3" t="s">
        <v>101</v>
      </c>
      <c r="AC399" s="3">
        <v>2</v>
      </c>
    </row>
    <row r="400" spans="1:29" x14ac:dyDescent="0.3">
      <c r="A400" s="2" t="s">
        <v>2700</v>
      </c>
      <c r="B400" s="2" t="s">
        <v>2701</v>
      </c>
      <c r="C400" s="2" t="s">
        <v>117</v>
      </c>
      <c r="D400" s="2" t="s">
        <v>2702</v>
      </c>
      <c r="E400" s="2" t="s">
        <v>26</v>
      </c>
      <c r="F400" s="2" t="s">
        <v>557</v>
      </c>
      <c r="G400" s="2" t="s">
        <v>1179</v>
      </c>
      <c r="H400" s="2" t="s">
        <v>701</v>
      </c>
      <c r="I400" s="2">
        <v>4</v>
      </c>
      <c r="J400" s="2" t="s">
        <v>39</v>
      </c>
      <c r="K400" s="2" t="s">
        <v>193</v>
      </c>
      <c r="L400" s="2" t="s">
        <v>193</v>
      </c>
      <c r="M400" s="2" t="s">
        <v>2703</v>
      </c>
      <c r="N400" s="2" t="s">
        <v>889</v>
      </c>
      <c r="O400" s="2" t="s">
        <v>27</v>
      </c>
      <c r="P400" s="2" t="s">
        <v>257</v>
      </c>
      <c r="Q400" s="2" t="s">
        <v>138</v>
      </c>
      <c r="R400" s="2">
        <v>4</v>
      </c>
      <c r="S400" s="2">
        <v>31653.68</v>
      </c>
      <c r="T400" s="2">
        <v>30</v>
      </c>
      <c r="U400" s="2">
        <v>88630.3</v>
      </c>
      <c r="V400" s="2">
        <v>46537.55</v>
      </c>
      <c r="W400" s="2">
        <v>42092.75</v>
      </c>
      <c r="X400" s="2">
        <v>47.49</v>
      </c>
      <c r="Y400" s="2">
        <v>199</v>
      </c>
      <c r="Z400" s="2" t="s">
        <v>23</v>
      </c>
      <c r="AA400" s="2" t="s">
        <v>275</v>
      </c>
      <c r="AB400" s="2" t="s">
        <v>101</v>
      </c>
      <c r="AC400" s="2"/>
    </row>
    <row r="401" spans="1:29" x14ac:dyDescent="0.3">
      <c r="A401" s="3" t="s">
        <v>2704</v>
      </c>
      <c r="B401" s="3" t="s">
        <v>2705</v>
      </c>
      <c r="C401" s="3" t="s">
        <v>768</v>
      </c>
      <c r="D401" s="3" t="s">
        <v>2706</v>
      </c>
      <c r="E401" s="3" t="s">
        <v>42</v>
      </c>
      <c r="F401" s="3" t="s">
        <v>2707</v>
      </c>
      <c r="G401" s="3" t="s">
        <v>2708</v>
      </c>
      <c r="H401" s="3" t="s">
        <v>180</v>
      </c>
      <c r="I401" s="3">
        <v>6</v>
      </c>
      <c r="J401" s="3" t="s">
        <v>39</v>
      </c>
      <c r="K401" s="3" t="s">
        <v>314</v>
      </c>
      <c r="L401" s="3" t="s">
        <v>314</v>
      </c>
      <c r="M401" s="3" t="s">
        <v>2709</v>
      </c>
      <c r="N401" s="3" t="s">
        <v>136</v>
      </c>
      <c r="O401" s="3" t="s">
        <v>28</v>
      </c>
      <c r="P401" s="3" t="s">
        <v>137</v>
      </c>
      <c r="Q401" s="3" t="s">
        <v>246</v>
      </c>
      <c r="R401" s="3">
        <v>1</v>
      </c>
      <c r="S401" s="3">
        <v>13773.96</v>
      </c>
      <c r="T401" s="3">
        <v>30</v>
      </c>
      <c r="U401" s="3">
        <v>9641.77</v>
      </c>
      <c r="V401" s="3">
        <v>6730.56</v>
      </c>
      <c r="W401" s="3">
        <v>2911.21</v>
      </c>
      <c r="X401" s="3">
        <v>30.19</v>
      </c>
      <c r="Y401" s="3">
        <v>49</v>
      </c>
      <c r="Z401" s="3" t="s">
        <v>23</v>
      </c>
      <c r="AA401" s="3" t="s">
        <v>275</v>
      </c>
      <c r="AB401" s="3" t="s">
        <v>101</v>
      </c>
      <c r="AC401" s="3"/>
    </row>
    <row r="402" spans="1:29" x14ac:dyDescent="0.3">
      <c r="A402" s="2" t="s">
        <v>2710</v>
      </c>
      <c r="B402" s="2" t="s">
        <v>1138</v>
      </c>
      <c r="C402" s="2" t="s">
        <v>1286</v>
      </c>
      <c r="D402" s="2" t="s">
        <v>2711</v>
      </c>
      <c r="E402" s="2" t="s">
        <v>26</v>
      </c>
      <c r="F402" s="2" t="s">
        <v>202</v>
      </c>
      <c r="G402" s="2" t="s">
        <v>2238</v>
      </c>
      <c r="H402" s="2" t="s">
        <v>2712</v>
      </c>
      <c r="I402" s="2">
        <v>8</v>
      </c>
      <c r="J402" s="2" t="s">
        <v>14</v>
      </c>
      <c r="K402" s="2" t="s">
        <v>171</v>
      </c>
      <c r="L402" s="2" t="s">
        <v>172</v>
      </c>
      <c r="M402" s="2" t="s">
        <v>2713</v>
      </c>
      <c r="N402" s="2" t="s">
        <v>185</v>
      </c>
      <c r="O402" s="2" t="s">
        <v>28</v>
      </c>
      <c r="P402" s="2" t="s">
        <v>151</v>
      </c>
      <c r="Q402" s="2" t="s">
        <v>218</v>
      </c>
      <c r="R402" s="2">
        <v>2</v>
      </c>
      <c r="S402" s="2">
        <v>3034.68</v>
      </c>
      <c r="T402" s="2">
        <v>20</v>
      </c>
      <c r="U402" s="2">
        <v>4855.49</v>
      </c>
      <c r="V402" s="2">
        <v>3080.64</v>
      </c>
      <c r="W402" s="2">
        <v>1774.85</v>
      </c>
      <c r="X402" s="2">
        <v>36.549999999999997</v>
      </c>
      <c r="Y402" s="2">
        <v>149</v>
      </c>
      <c r="Z402" s="2" t="s">
        <v>40</v>
      </c>
      <c r="AA402" s="2" t="s">
        <v>100</v>
      </c>
      <c r="AB402" s="2" t="s">
        <v>101</v>
      </c>
      <c r="AC402" s="2">
        <v>4</v>
      </c>
    </row>
    <row r="403" spans="1:29" x14ac:dyDescent="0.3">
      <c r="A403" s="3" t="s">
        <v>2714</v>
      </c>
      <c r="B403" s="3" t="s">
        <v>2715</v>
      </c>
      <c r="C403" s="3" t="s">
        <v>348</v>
      </c>
      <c r="D403" s="3" t="s">
        <v>2716</v>
      </c>
      <c r="E403" s="3" t="s">
        <v>33</v>
      </c>
      <c r="F403" s="3" t="s">
        <v>859</v>
      </c>
      <c r="G403" s="3" t="s">
        <v>887</v>
      </c>
      <c r="H403" s="3" t="s">
        <v>2666</v>
      </c>
      <c r="I403" s="3">
        <v>8</v>
      </c>
      <c r="J403" s="3" t="s">
        <v>22</v>
      </c>
      <c r="K403" s="3" t="s">
        <v>283</v>
      </c>
      <c r="L403" s="3" t="s">
        <v>284</v>
      </c>
      <c r="M403" s="3" t="s">
        <v>2717</v>
      </c>
      <c r="N403" s="3" t="s">
        <v>740</v>
      </c>
      <c r="O403" s="3" t="s">
        <v>21</v>
      </c>
      <c r="P403" s="3" t="s">
        <v>126</v>
      </c>
      <c r="Q403" s="3" t="s">
        <v>114</v>
      </c>
      <c r="R403" s="3">
        <v>3</v>
      </c>
      <c r="S403" s="3">
        <v>47014.64</v>
      </c>
      <c r="T403" s="3">
        <v>15</v>
      </c>
      <c r="U403" s="3">
        <v>119887.33</v>
      </c>
      <c r="V403" s="3">
        <v>83449.39</v>
      </c>
      <c r="W403" s="3">
        <v>36437.94</v>
      </c>
      <c r="X403" s="3">
        <v>30.39</v>
      </c>
      <c r="Y403" s="3">
        <v>0</v>
      </c>
      <c r="Z403" s="3" t="s">
        <v>40</v>
      </c>
      <c r="AA403" s="3" t="s">
        <v>100</v>
      </c>
      <c r="AB403" s="3" t="s">
        <v>101</v>
      </c>
      <c r="AC403" s="3"/>
    </row>
    <row r="404" spans="1:29" x14ac:dyDescent="0.3">
      <c r="A404" s="2" t="s">
        <v>2718</v>
      </c>
      <c r="B404" s="2" t="s">
        <v>2719</v>
      </c>
      <c r="C404" s="2" t="s">
        <v>2460</v>
      </c>
      <c r="D404" s="2" t="s">
        <v>2720</v>
      </c>
      <c r="E404" s="2" t="s">
        <v>18</v>
      </c>
      <c r="F404" s="2" t="s">
        <v>755</v>
      </c>
      <c r="G404" s="2" t="s">
        <v>849</v>
      </c>
      <c r="H404" s="2" t="s">
        <v>850</v>
      </c>
      <c r="I404" s="2">
        <v>5</v>
      </c>
      <c r="J404" s="2" t="s">
        <v>22</v>
      </c>
      <c r="K404" s="2" t="s">
        <v>283</v>
      </c>
      <c r="L404" s="2" t="s">
        <v>284</v>
      </c>
      <c r="M404" s="2" t="s">
        <v>2721</v>
      </c>
      <c r="N404" s="2" t="s">
        <v>931</v>
      </c>
      <c r="O404" s="2" t="s">
        <v>13</v>
      </c>
      <c r="P404" s="2" t="s">
        <v>419</v>
      </c>
      <c r="Q404" s="2" t="s">
        <v>400</v>
      </c>
      <c r="R404" s="2">
        <v>1</v>
      </c>
      <c r="S404" s="2">
        <v>40202.51</v>
      </c>
      <c r="T404" s="2">
        <v>30</v>
      </c>
      <c r="U404" s="2">
        <v>28141.759999999998</v>
      </c>
      <c r="V404" s="2">
        <v>14074.87</v>
      </c>
      <c r="W404" s="2">
        <v>14066.89</v>
      </c>
      <c r="X404" s="2">
        <v>49.99</v>
      </c>
      <c r="Y404" s="2">
        <v>49</v>
      </c>
      <c r="Z404" s="2" t="s">
        <v>30</v>
      </c>
      <c r="AA404" s="2" t="s">
        <v>100</v>
      </c>
      <c r="AB404" s="2" t="s">
        <v>101</v>
      </c>
      <c r="AC404" s="2">
        <v>1</v>
      </c>
    </row>
    <row r="405" spans="1:29" x14ac:dyDescent="0.3">
      <c r="A405" s="3" t="s">
        <v>2722</v>
      </c>
      <c r="B405" s="3" t="s">
        <v>2723</v>
      </c>
      <c r="C405" s="3" t="s">
        <v>166</v>
      </c>
      <c r="D405" s="3" t="s">
        <v>2724</v>
      </c>
      <c r="E405" s="3" t="s">
        <v>26</v>
      </c>
      <c r="F405" s="3" t="s">
        <v>2725</v>
      </c>
      <c r="G405" s="3" t="s">
        <v>1072</v>
      </c>
      <c r="H405" s="3" t="s">
        <v>2028</v>
      </c>
      <c r="I405" s="3">
        <v>8</v>
      </c>
      <c r="J405" s="3" t="s">
        <v>14</v>
      </c>
      <c r="K405" s="3" t="s">
        <v>215</v>
      </c>
      <c r="L405" s="3" t="s">
        <v>215</v>
      </c>
      <c r="M405" s="3" t="s">
        <v>2726</v>
      </c>
      <c r="N405" s="3" t="s">
        <v>1802</v>
      </c>
      <c r="O405" s="3" t="s">
        <v>28</v>
      </c>
      <c r="P405" s="3" t="s">
        <v>137</v>
      </c>
      <c r="Q405" s="3" t="s">
        <v>466</v>
      </c>
      <c r="R405" s="3">
        <v>4</v>
      </c>
      <c r="S405" s="3">
        <v>29781.98</v>
      </c>
      <c r="T405" s="3">
        <v>0</v>
      </c>
      <c r="U405" s="3">
        <v>119127.92</v>
      </c>
      <c r="V405" s="3">
        <v>71367</v>
      </c>
      <c r="W405" s="3">
        <v>47760.92</v>
      </c>
      <c r="X405" s="3">
        <v>40.090000000000003</v>
      </c>
      <c r="Y405" s="3">
        <v>149</v>
      </c>
      <c r="Z405" s="3" t="s">
        <v>40</v>
      </c>
      <c r="AA405" s="3" t="s">
        <v>100</v>
      </c>
      <c r="AB405" s="3" t="s">
        <v>101</v>
      </c>
      <c r="AC405" s="3">
        <v>5</v>
      </c>
    </row>
    <row r="406" spans="1:29" x14ac:dyDescent="0.3">
      <c r="A406" s="2" t="s">
        <v>2727</v>
      </c>
      <c r="B406" s="2" t="s">
        <v>2728</v>
      </c>
      <c r="C406" s="2" t="s">
        <v>2729</v>
      </c>
      <c r="D406" s="2" t="s">
        <v>2730</v>
      </c>
      <c r="E406" s="2" t="s">
        <v>26</v>
      </c>
      <c r="F406" s="2" t="s">
        <v>2731</v>
      </c>
      <c r="G406" s="2" t="s">
        <v>2494</v>
      </c>
      <c r="H406" s="2" t="s">
        <v>1435</v>
      </c>
      <c r="I406" s="2">
        <v>8</v>
      </c>
      <c r="J406" s="2" t="s">
        <v>14</v>
      </c>
      <c r="K406" s="2" t="s">
        <v>215</v>
      </c>
      <c r="L406" s="2" t="s">
        <v>215</v>
      </c>
      <c r="M406" s="2" t="s">
        <v>2732</v>
      </c>
      <c r="N406" s="2" t="s">
        <v>316</v>
      </c>
      <c r="O406" s="2" t="s">
        <v>28</v>
      </c>
      <c r="P406" s="2" t="s">
        <v>137</v>
      </c>
      <c r="Q406" s="2" t="s">
        <v>400</v>
      </c>
      <c r="R406" s="2">
        <v>5</v>
      </c>
      <c r="S406" s="2">
        <v>49504.29</v>
      </c>
      <c r="T406" s="2">
        <v>0</v>
      </c>
      <c r="U406" s="2">
        <v>247521.45</v>
      </c>
      <c r="V406" s="2">
        <v>137408.16</v>
      </c>
      <c r="W406" s="2">
        <v>110113.29</v>
      </c>
      <c r="X406" s="2">
        <v>44.49</v>
      </c>
      <c r="Y406" s="2">
        <v>149</v>
      </c>
      <c r="Z406" s="2" t="s">
        <v>30</v>
      </c>
      <c r="AA406" s="2" t="s">
        <v>100</v>
      </c>
      <c r="AB406" s="2" t="s">
        <v>101</v>
      </c>
      <c r="AC406" s="2"/>
    </row>
    <row r="407" spans="1:29" x14ac:dyDescent="0.3">
      <c r="A407" s="3" t="s">
        <v>2733</v>
      </c>
      <c r="B407" s="3" t="s">
        <v>2734</v>
      </c>
      <c r="C407" s="3" t="s">
        <v>1492</v>
      </c>
      <c r="D407" s="3" t="s">
        <v>2735</v>
      </c>
      <c r="E407" s="3" t="s">
        <v>33</v>
      </c>
      <c r="F407" s="3" t="s">
        <v>637</v>
      </c>
      <c r="G407" s="3" t="s">
        <v>2547</v>
      </c>
      <c r="H407" s="3" t="s">
        <v>168</v>
      </c>
      <c r="I407" s="3">
        <v>4</v>
      </c>
      <c r="J407" s="3" t="s">
        <v>14</v>
      </c>
      <c r="K407" s="3" t="s">
        <v>95</v>
      </c>
      <c r="L407" s="3" t="s">
        <v>95</v>
      </c>
      <c r="M407" s="3" t="s">
        <v>2736</v>
      </c>
      <c r="N407" s="3" t="s">
        <v>805</v>
      </c>
      <c r="O407" s="3" t="s">
        <v>28</v>
      </c>
      <c r="P407" s="3" t="s">
        <v>151</v>
      </c>
      <c r="Q407" s="3" t="s">
        <v>509</v>
      </c>
      <c r="R407" s="3">
        <v>1</v>
      </c>
      <c r="S407" s="3">
        <v>198.98</v>
      </c>
      <c r="T407" s="3">
        <v>20</v>
      </c>
      <c r="U407" s="3">
        <v>159.18</v>
      </c>
      <c r="V407" s="3">
        <v>88.11</v>
      </c>
      <c r="W407" s="3">
        <v>71.069999999999993</v>
      </c>
      <c r="X407" s="3">
        <v>44.65</v>
      </c>
      <c r="Y407" s="3">
        <v>0</v>
      </c>
      <c r="Z407" s="3" t="s">
        <v>47</v>
      </c>
      <c r="AA407" s="3" t="s">
        <v>100</v>
      </c>
      <c r="AB407" s="3" t="s">
        <v>101</v>
      </c>
      <c r="AC407" s="3">
        <v>1</v>
      </c>
    </row>
    <row r="408" spans="1:29" x14ac:dyDescent="0.3">
      <c r="A408" s="2" t="s">
        <v>2737</v>
      </c>
      <c r="B408" s="2" t="s">
        <v>2738</v>
      </c>
      <c r="C408" s="2" t="s">
        <v>716</v>
      </c>
      <c r="D408" s="2" t="s">
        <v>2739</v>
      </c>
      <c r="E408" s="2" t="s">
        <v>33</v>
      </c>
      <c r="F408" s="2" t="s">
        <v>2740</v>
      </c>
      <c r="G408" s="2" t="s">
        <v>2653</v>
      </c>
      <c r="H408" s="2" t="s">
        <v>2321</v>
      </c>
      <c r="I408" s="2">
        <v>4</v>
      </c>
      <c r="J408" s="2" t="s">
        <v>29</v>
      </c>
      <c r="K408" s="2" t="s">
        <v>834</v>
      </c>
      <c r="L408" s="2" t="s">
        <v>835</v>
      </c>
      <c r="M408" s="2" t="s">
        <v>2741</v>
      </c>
      <c r="N408" s="2" t="s">
        <v>286</v>
      </c>
      <c r="O408" s="2" t="s">
        <v>28</v>
      </c>
      <c r="P408" s="2" t="s">
        <v>137</v>
      </c>
      <c r="Q408" s="2" t="s">
        <v>114</v>
      </c>
      <c r="R408" s="2">
        <v>4</v>
      </c>
      <c r="S408" s="2">
        <v>2208.4299999999998</v>
      </c>
      <c r="T408" s="2">
        <v>15</v>
      </c>
      <c r="U408" s="2">
        <v>7508.66</v>
      </c>
      <c r="V408" s="2">
        <v>3897.51</v>
      </c>
      <c r="W408" s="2">
        <v>3611.15</v>
      </c>
      <c r="X408" s="2">
        <v>48.09</v>
      </c>
      <c r="Y408" s="2">
        <v>199</v>
      </c>
      <c r="Z408" s="2" t="s">
        <v>40</v>
      </c>
      <c r="AA408" s="2" t="s">
        <v>139</v>
      </c>
      <c r="AB408" s="2" t="s">
        <v>140</v>
      </c>
      <c r="AC408" s="2"/>
    </row>
    <row r="409" spans="1:29" x14ac:dyDescent="0.3">
      <c r="A409" s="3" t="s">
        <v>2742</v>
      </c>
      <c r="B409" s="3" t="s">
        <v>2743</v>
      </c>
      <c r="C409" s="3" t="s">
        <v>1700</v>
      </c>
      <c r="D409" s="3" t="s">
        <v>2744</v>
      </c>
      <c r="E409" s="3" t="s">
        <v>33</v>
      </c>
      <c r="F409" s="3" t="s">
        <v>2063</v>
      </c>
      <c r="G409" s="3" t="s">
        <v>1048</v>
      </c>
      <c r="H409" s="3" t="s">
        <v>1099</v>
      </c>
      <c r="I409" s="3">
        <v>8</v>
      </c>
      <c r="J409" s="3" t="s">
        <v>14</v>
      </c>
      <c r="K409" s="3" t="s">
        <v>712</v>
      </c>
      <c r="L409" s="3" t="s">
        <v>712</v>
      </c>
      <c r="M409" s="3" t="s">
        <v>173</v>
      </c>
      <c r="N409" s="3" t="s">
        <v>217</v>
      </c>
      <c r="O409" s="3" t="s">
        <v>21</v>
      </c>
      <c r="P409" s="3" t="s">
        <v>206</v>
      </c>
      <c r="Q409" s="3" t="s">
        <v>138</v>
      </c>
      <c r="R409" s="3">
        <v>3</v>
      </c>
      <c r="S409" s="3">
        <v>9991.34</v>
      </c>
      <c r="T409" s="3">
        <v>0</v>
      </c>
      <c r="U409" s="3">
        <v>29974.02</v>
      </c>
      <c r="V409" s="3">
        <v>18184.990000000002</v>
      </c>
      <c r="W409" s="3">
        <v>11789.03</v>
      </c>
      <c r="X409" s="3">
        <v>39.33</v>
      </c>
      <c r="Y409" s="3">
        <v>29</v>
      </c>
      <c r="Z409" s="3" t="s">
        <v>48</v>
      </c>
      <c r="AA409" s="3" t="s">
        <v>100</v>
      </c>
      <c r="AB409" s="3" t="s">
        <v>101</v>
      </c>
      <c r="AC409" s="3">
        <v>3</v>
      </c>
    </row>
    <row r="410" spans="1:29" x14ac:dyDescent="0.3">
      <c r="A410" s="2" t="s">
        <v>2745</v>
      </c>
      <c r="B410" s="2" t="s">
        <v>2746</v>
      </c>
      <c r="C410" s="2" t="s">
        <v>651</v>
      </c>
      <c r="D410" s="2" t="s">
        <v>2148</v>
      </c>
      <c r="E410" s="2" t="s">
        <v>26</v>
      </c>
      <c r="F410" s="2" t="s">
        <v>2747</v>
      </c>
      <c r="G410" s="2" t="s">
        <v>1907</v>
      </c>
      <c r="H410" s="2" t="s">
        <v>1486</v>
      </c>
      <c r="I410" s="2">
        <v>7</v>
      </c>
      <c r="J410" s="2" t="s">
        <v>14</v>
      </c>
      <c r="K410" s="2" t="s">
        <v>215</v>
      </c>
      <c r="L410" s="2" t="s">
        <v>215</v>
      </c>
      <c r="M410" s="2" t="s">
        <v>2748</v>
      </c>
      <c r="N410" s="2" t="s">
        <v>286</v>
      </c>
      <c r="O410" s="2" t="s">
        <v>28</v>
      </c>
      <c r="P410" s="2" t="s">
        <v>137</v>
      </c>
      <c r="Q410" s="2" t="s">
        <v>99</v>
      </c>
      <c r="R410" s="2">
        <v>2</v>
      </c>
      <c r="S410" s="2">
        <v>30325.05</v>
      </c>
      <c r="T410" s="2">
        <v>5</v>
      </c>
      <c r="U410" s="2">
        <v>57617.59</v>
      </c>
      <c r="V410" s="2">
        <v>34425.29</v>
      </c>
      <c r="W410" s="2">
        <v>23192.3</v>
      </c>
      <c r="X410" s="2">
        <v>40.25</v>
      </c>
      <c r="Y410" s="2">
        <v>0</v>
      </c>
      <c r="Z410" s="2" t="s">
        <v>43</v>
      </c>
      <c r="AA410" s="2" t="s">
        <v>100</v>
      </c>
      <c r="AB410" s="2" t="s">
        <v>101</v>
      </c>
      <c r="AC410" s="2">
        <v>5</v>
      </c>
    </row>
    <row r="411" spans="1:29" x14ac:dyDescent="0.3">
      <c r="A411" s="3" t="s">
        <v>2749</v>
      </c>
      <c r="B411" s="3" t="s">
        <v>2750</v>
      </c>
      <c r="C411" s="3" t="s">
        <v>2090</v>
      </c>
      <c r="D411" s="3" t="s">
        <v>2751</v>
      </c>
      <c r="E411" s="3" t="s">
        <v>42</v>
      </c>
      <c r="F411" s="3" t="s">
        <v>2248</v>
      </c>
      <c r="G411" s="3" t="s">
        <v>2752</v>
      </c>
      <c r="H411" s="3" t="s">
        <v>1264</v>
      </c>
      <c r="I411" s="3">
        <v>7</v>
      </c>
      <c r="J411" s="3" t="s">
        <v>22</v>
      </c>
      <c r="K411" s="3" t="s">
        <v>443</v>
      </c>
      <c r="L411" s="3" t="s">
        <v>567</v>
      </c>
      <c r="M411" s="3" t="s">
        <v>2753</v>
      </c>
      <c r="N411" s="3" t="s">
        <v>456</v>
      </c>
      <c r="O411" s="3" t="s">
        <v>21</v>
      </c>
      <c r="P411" s="3" t="s">
        <v>206</v>
      </c>
      <c r="Q411" s="3" t="s">
        <v>152</v>
      </c>
      <c r="R411" s="3">
        <v>2</v>
      </c>
      <c r="S411" s="3">
        <v>37588.589999999997</v>
      </c>
      <c r="T411" s="3">
        <v>5</v>
      </c>
      <c r="U411" s="3">
        <v>71418.320000000007</v>
      </c>
      <c r="V411" s="3">
        <v>33062.089999999997</v>
      </c>
      <c r="W411" s="3">
        <v>38356.230000000003</v>
      </c>
      <c r="X411" s="3">
        <v>53.71</v>
      </c>
      <c r="Y411" s="3">
        <v>149</v>
      </c>
      <c r="Z411" s="3" t="s">
        <v>15</v>
      </c>
      <c r="AA411" s="3" t="s">
        <v>100</v>
      </c>
      <c r="AB411" s="3" t="s">
        <v>101</v>
      </c>
      <c r="AC411" s="3">
        <v>3</v>
      </c>
    </row>
    <row r="412" spans="1:29" x14ac:dyDescent="0.3">
      <c r="A412" s="2" t="s">
        <v>2754</v>
      </c>
      <c r="B412" s="2" t="s">
        <v>2755</v>
      </c>
      <c r="C412" s="2" t="s">
        <v>1159</v>
      </c>
      <c r="D412" s="2" t="s">
        <v>2756</v>
      </c>
      <c r="E412" s="2" t="s">
        <v>18</v>
      </c>
      <c r="F412" s="2" t="s">
        <v>2757</v>
      </c>
      <c r="G412" s="2" t="s">
        <v>2758</v>
      </c>
      <c r="H412" s="2" t="s">
        <v>1389</v>
      </c>
      <c r="I412" s="2">
        <v>2</v>
      </c>
      <c r="J412" s="2" t="s">
        <v>22</v>
      </c>
      <c r="K412" s="2" t="s">
        <v>443</v>
      </c>
      <c r="L412" s="2" t="s">
        <v>567</v>
      </c>
      <c r="M412" s="2" t="s">
        <v>2759</v>
      </c>
      <c r="N412" s="2" t="s">
        <v>125</v>
      </c>
      <c r="O412" s="2" t="s">
        <v>21</v>
      </c>
      <c r="P412" s="2" t="s">
        <v>126</v>
      </c>
      <c r="Q412" s="2" t="s">
        <v>197</v>
      </c>
      <c r="R412" s="2">
        <v>1</v>
      </c>
      <c r="S412" s="2">
        <v>46213.81</v>
      </c>
      <c r="T412" s="2">
        <v>0</v>
      </c>
      <c r="U412" s="2">
        <v>46213.81</v>
      </c>
      <c r="V412" s="2">
        <v>24486.62</v>
      </c>
      <c r="W412" s="2">
        <v>21727.19</v>
      </c>
      <c r="X412" s="2">
        <v>47.01</v>
      </c>
      <c r="Y412" s="2">
        <v>199</v>
      </c>
      <c r="Z412" s="2" t="s">
        <v>30</v>
      </c>
      <c r="AA412" s="2" t="s">
        <v>100</v>
      </c>
      <c r="AB412" s="2" t="s">
        <v>101</v>
      </c>
      <c r="AC412" s="2">
        <v>3</v>
      </c>
    </row>
    <row r="413" spans="1:29" x14ac:dyDescent="0.3">
      <c r="A413" s="3" t="s">
        <v>2760</v>
      </c>
      <c r="B413" s="3" t="s">
        <v>2761</v>
      </c>
      <c r="C413" s="3" t="s">
        <v>90</v>
      </c>
      <c r="D413" s="3" t="s">
        <v>2762</v>
      </c>
      <c r="E413" s="3" t="s">
        <v>33</v>
      </c>
      <c r="F413" s="3" t="s">
        <v>2763</v>
      </c>
      <c r="G413" s="3" t="s">
        <v>2764</v>
      </c>
      <c r="H413" s="3" t="s">
        <v>1966</v>
      </c>
      <c r="I413" s="3">
        <v>4</v>
      </c>
      <c r="J413" s="3" t="s">
        <v>14</v>
      </c>
      <c r="K413" s="3" t="s">
        <v>183</v>
      </c>
      <c r="L413" s="3" t="s">
        <v>183</v>
      </c>
      <c r="M413" s="3" t="s">
        <v>2765</v>
      </c>
      <c r="N413" s="3" t="s">
        <v>465</v>
      </c>
      <c r="O413" s="3" t="s">
        <v>19</v>
      </c>
      <c r="P413" s="3" t="s">
        <v>447</v>
      </c>
      <c r="Q413" s="3" t="s">
        <v>608</v>
      </c>
      <c r="R413" s="3">
        <v>3</v>
      </c>
      <c r="S413" s="3">
        <v>25341.5</v>
      </c>
      <c r="T413" s="3">
        <v>0</v>
      </c>
      <c r="U413" s="3">
        <v>76024.5</v>
      </c>
      <c r="V413" s="3">
        <v>34370.550000000003</v>
      </c>
      <c r="W413" s="3">
        <v>41653.949999999997</v>
      </c>
      <c r="X413" s="3">
        <v>54.79</v>
      </c>
      <c r="Y413" s="3">
        <v>199</v>
      </c>
      <c r="Z413" s="3" t="s">
        <v>48</v>
      </c>
      <c r="AA413" s="3" t="s">
        <v>100</v>
      </c>
      <c r="AB413" s="3" t="s">
        <v>101</v>
      </c>
      <c r="AC413" s="3">
        <v>3</v>
      </c>
    </row>
    <row r="414" spans="1:29" x14ac:dyDescent="0.3">
      <c r="A414" s="2" t="s">
        <v>2766</v>
      </c>
      <c r="B414" s="2" t="s">
        <v>2767</v>
      </c>
      <c r="C414" s="2" t="s">
        <v>2534</v>
      </c>
      <c r="D414" s="2" t="s">
        <v>2768</v>
      </c>
      <c r="E414" s="2" t="s">
        <v>33</v>
      </c>
      <c r="F414" s="2" t="s">
        <v>785</v>
      </c>
      <c r="G414" s="2" t="s">
        <v>158</v>
      </c>
      <c r="H414" s="2" t="s">
        <v>405</v>
      </c>
      <c r="I414" s="2">
        <v>4</v>
      </c>
      <c r="J414" s="2" t="s">
        <v>14</v>
      </c>
      <c r="K414" s="2" t="s">
        <v>183</v>
      </c>
      <c r="L414" s="2" t="s">
        <v>183</v>
      </c>
      <c r="M414" s="2" t="s">
        <v>2769</v>
      </c>
      <c r="N414" s="2" t="s">
        <v>446</v>
      </c>
      <c r="O414" s="2" t="s">
        <v>19</v>
      </c>
      <c r="P414" s="2" t="s">
        <v>447</v>
      </c>
      <c r="Q414" s="2" t="s">
        <v>207</v>
      </c>
      <c r="R414" s="2">
        <v>4</v>
      </c>
      <c r="S414" s="2">
        <v>3109.22</v>
      </c>
      <c r="T414" s="2">
        <v>30</v>
      </c>
      <c r="U414" s="2">
        <v>8705.82</v>
      </c>
      <c r="V414" s="2">
        <v>4045.06</v>
      </c>
      <c r="W414" s="2">
        <v>4660.76</v>
      </c>
      <c r="X414" s="2">
        <v>53.54</v>
      </c>
      <c r="Y414" s="2">
        <v>29</v>
      </c>
      <c r="Z414" s="2" t="s">
        <v>23</v>
      </c>
      <c r="AA414" s="2" t="s">
        <v>100</v>
      </c>
      <c r="AB414" s="2" t="s">
        <v>101</v>
      </c>
      <c r="AC414" s="2"/>
    </row>
    <row r="415" spans="1:29" x14ac:dyDescent="0.3">
      <c r="A415" s="3" t="s">
        <v>2770</v>
      </c>
      <c r="B415" s="3" t="s">
        <v>2771</v>
      </c>
      <c r="C415" s="3" t="s">
        <v>2772</v>
      </c>
      <c r="D415" s="3" t="s">
        <v>2773</v>
      </c>
      <c r="E415" s="3" t="s">
        <v>18</v>
      </c>
      <c r="F415" s="3" t="s">
        <v>2774</v>
      </c>
      <c r="G415" s="3" t="s">
        <v>1661</v>
      </c>
      <c r="H415" s="3" t="s">
        <v>2775</v>
      </c>
      <c r="I415" s="3">
        <v>2</v>
      </c>
      <c r="J415" s="3" t="s">
        <v>29</v>
      </c>
      <c r="K415" s="3" t="s">
        <v>834</v>
      </c>
      <c r="L415" s="3" t="s">
        <v>835</v>
      </c>
      <c r="M415" s="3" t="s">
        <v>2776</v>
      </c>
      <c r="N415" s="3" t="s">
        <v>306</v>
      </c>
      <c r="O415" s="3" t="s">
        <v>21</v>
      </c>
      <c r="P415" s="3" t="s">
        <v>126</v>
      </c>
      <c r="Q415" s="3" t="s">
        <v>99</v>
      </c>
      <c r="R415" s="3">
        <v>3</v>
      </c>
      <c r="S415" s="3">
        <v>46407.519999999997</v>
      </c>
      <c r="T415" s="3">
        <v>5</v>
      </c>
      <c r="U415" s="3">
        <v>132261.43</v>
      </c>
      <c r="V415" s="3">
        <v>90315.39</v>
      </c>
      <c r="W415" s="3">
        <v>41946.04</v>
      </c>
      <c r="X415" s="3">
        <v>31.71</v>
      </c>
      <c r="Y415" s="3">
        <v>99</v>
      </c>
      <c r="Z415" s="3" t="s">
        <v>48</v>
      </c>
      <c r="AA415" s="3" t="s">
        <v>100</v>
      </c>
      <c r="AB415" s="3" t="s">
        <v>101</v>
      </c>
      <c r="AC415" s="3">
        <v>4</v>
      </c>
    </row>
    <row r="416" spans="1:29" x14ac:dyDescent="0.3">
      <c r="A416" s="2" t="s">
        <v>2777</v>
      </c>
      <c r="B416" s="2" t="s">
        <v>2778</v>
      </c>
      <c r="C416" s="2" t="s">
        <v>2779</v>
      </c>
      <c r="D416" s="2" t="s">
        <v>2780</v>
      </c>
      <c r="E416" s="2" t="s">
        <v>33</v>
      </c>
      <c r="F416" s="2" t="s">
        <v>1622</v>
      </c>
      <c r="G416" s="2" t="s">
        <v>581</v>
      </c>
      <c r="H416" s="2" t="s">
        <v>415</v>
      </c>
      <c r="I416" s="2">
        <v>5</v>
      </c>
      <c r="J416" s="2" t="s">
        <v>22</v>
      </c>
      <c r="K416" s="2" t="s">
        <v>443</v>
      </c>
      <c r="L416" s="2" t="s">
        <v>498</v>
      </c>
      <c r="M416" s="2" t="s">
        <v>2781</v>
      </c>
      <c r="N416" s="2" t="s">
        <v>631</v>
      </c>
      <c r="O416" s="2" t="s">
        <v>19</v>
      </c>
      <c r="P416" s="2" t="s">
        <v>297</v>
      </c>
      <c r="Q416" s="2" t="s">
        <v>466</v>
      </c>
      <c r="R416" s="2">
        <v>4</v>
      </c>
      <c r="S416" s="2">
        <v>22765.09</v>
      </c>
      <c r="T416" s="2">
        <v>30</v>
      </c>
      <c r="U416" s="2">
        <v>63742.25</v>
      </c>
      <c r="V416" s="2">
        <v>34764.14</v>
      </c>
      <c r="W416" s="2">
        <v>28978.11</v>
      </c>
      <c r="X416" s="2">
        <v>45.46</v>
      </c>
      <c r="Y416" s="2">
        <v>49</v>
      </c>
      <c r="Z416" s="2" t="s">
        <v>30</v>
      </c>
      <c r="AA416" s="2" t="s">
        <v>275</v>
      </c>
      <c r="AB416" s="2" t="s">
        <v>101</v>
      </c>
      <c r="AC416" s="2"/>
    </row>
    <row r="417" spans="1:29" x14ac:dyDescent="0.3">
      <c r="A417" s="3" t="s">
        <v>2782</v>
      </c>
      <c r="B417" s="3" t="s">
        <v>2783</v>
      </c>
      <c r="C417" s="3" t="s">
        <v>2590</v>
      </c>
      <c r="D417" s="3" t="s">
        <v>2784</v>
      </c>
      <c r="E417" s="3" t="s">
        <v>33</v>
      </c>
      <c r="F417" s="3" t="s">
        <v>1147</v>
      </c>
      <c r="G417" s="3" t="s">
        <v>2785</v>
      </c>
      <c r="H417" s="3" t="s">
        <v>2786</v>
      </c>
      <c r="I417" s="3">
        <v>3</v>
      </c>
      <c r="J417" s="3" t="s">
        <v>29</v>
      </c>
      <c r="K417" s="3" t="s">
        <v>834</v>
      </c>
      <c r="L417" s="3" t="s">
        <v>901</v>
      </c>
      <c r="M417" s="3" t="s">
        <v>2787</v>
      </c>
      <c r="N417" s="3" t="s">
        <v>788</v>
      </c>
      <c r="O417" s="3" t="s">
        <v>27</v>
      </c>
      <c r="P417" s="3" t="s">
        <v>113</v>
      </c>
      <c r="Q417" s="3" t="s">
        <v>355</v>
      </c>
      <c r="R417" s="3">
        <v>5</v>
      </c>
      <c r="S417" s="3">
        <v>1180.1600000000001</v>
      </c>
      <c r="T417" s="3">
        <v>15</v>
      </c>
      <c r="U417" s="3">
        <v>5015.68</v>
      </c>
      <c r="V417" s="3">
        <v>2587.89</v>
      </c>
      <c r="W417" s="3">
        <v>2427.79</v>
      </c>
      <c r="X417" s="3">
        <v>48.4</v>
      </c>
      <c r="Y417" s="3">
        <v>149</v>
      </c>
      <c r="Z417" s="3" t="s">
        <v>15</v>
      </c>
      <c r="AA417" s="3" t="s">
        <v>100</v>
      </c>
      <c r="AB417" s="3" t="s">
        <v>101</v>
      </c>
      <c r="AC417" s="3">
        <v>2</v>
      </c>
    </row>
    <row r="418" spans="1:29" x14ac:dyDescent="0.3">
      <c r="A418" s="2" t="s">
        <v>2788</v>
      </c>
      <c r="B418" s="2" t="s">
        <v>2789</v>
      </c>
      <c r="C418" s="2" t="s">
        <v>117</v>
      </c>
      <c r="D418" s="2" t="s">
        <v>2790</v>
      </c>
      <c r="E418" s="2" t="s">
        <v>18</v>
      </c>
      <c r="F418" s="2" t="s">
        <v>2791</v>
      </c>
      <c r="G418" s="2" t="s">
        <v>505</v>
      </c>
      <c r="H418" s="2" t="s">
        <v>969</v>
      </c>
      <c r="I418" s="2">
        <v>4</v>
      </c>
      <c r="J418" s="2" t="s">
        <v>22</v>
      </c>
      <c r="K418" s="2" t="s">
        <v>254</v>
      </c>
      <c r="L418" s="2" t="s">
        <v>254</v>
      </c>
      <c r="M418" s="2" t="s">
        <v>2792</v>
      </c>
      <c r="N418" s="2" t="s">
        <v>112</v>
      </c>
      <c r="O418" s="2" t="s">
        <v>27</v>
      </c>
      <c r="P418" s="2" t="s">
        <v>113</v>
      </c>
      <c r="Q418" s="2" t="s">
        <v>152</v>
      </c>
      <c r="R418" s="2">
        <v>4</v>
      </c>
      <c r="S418" s="2">
        <v>8997.42</v>
      </c>
      <c r="T418" s="2">
        <v>0</v>
      </c>
      <c r="U418" s="2">
        <v>35989.68</v>
      </c>
      <c r="V418" s="2">
        <v>22494.86</v>
      </c>
      <c r="W418" s="2">
        <v>13494.82</v>
      </c>
      <c r="X418" s="2">
        <v>37.5</v>
      </c>
      <c r="Y418" s="2">
        <v>99</v>
      </c>
      <c r="Z418" s="2" t="s">
        <v>30</v>
      </c>
      <c r="AA418" s="2" t="s">
        <v>139</v>
      </c>
      <c r="AB418" s="2" t="s">
        <v>140</v>
      </c>
      <c r="AC418" s="2"/>
    </row>
    <row r="419" spans="1:29" x14ac:dyDescent="0.3">
      <c r="A419" s="3" t="s">
        <v>2793</v>
      </c>
      <c r="B419" s="3" t="s">
        <v>2794</v>
      </c>
      <c r="C419" s="3" t="s">
        <v>412</v>
      </c>
      <c r="D419" s="3" t="s">
        <v>2795</v>
      </c>
      <c r="E419" s="3" t="s">
        <v>26</v>
      </c>
      <c r="F419" s="3" t="s">
        <v>1761</v>
      </c>
      <c r="G419" s="3" t="s">
        <v>2467</v>
      </c>
      <c r="H419" s="3" t="s">
        <v>2796</v>
      </c>
      <c r="I419" s="3">
        <v>5</v>
      </c>
      <c r="J419" s="3" t="s">
        <v>39</v>
      </c>
      <c r="K419" s="3" t="s">
        <v>193</v>
      </c>
      <c r="L419" s="3" t="s">
        <v>193</v>
      </c>
      <c r="M419" s="3" t="s">
        <v>2797</v>
      </c>
      <c r="N419" s="3" t="s">
        <v>418</v>
      </c>
      <c r="O419" s="3" t="s">
        <v>13</v>
      </c>
      <c r="P419" s="3" t="s">
        <v>419</v>
      </c>
      <c r="Q419" s="3" t="s">
        <v>466</v>
      </c>
      <c r="R419" s="3">
        <v>5</v>
      </c>
      <c r="S419" s="3">
        <v>15633.7</v>
      </c>
      <c r="T419" s="3">
        <v>10</v>
      </c>
      <c r="U419" s="3">
        <v>70351.649999999994</v>
      </c>
      <c r="V419" s="3">
        <v>44289.58</v>
      </c>
      <c r="W419" s="3">
        <v>26062.07</v>
      </c>
      <c r="X419" s="3">
        <v>37.049999999999997</v>
      </c>
      <c r="Y419" s="3">
        <v>49</v>
      </c>
      <c r="Z419" s="3" t="s">
        <v>30</v>
      </c>
      <c r="AA419" s="3" t="s">
        <v>100</v>
      </c>
      <c r="AB419" s="3" t="s">
        <v>101</v>
      </c>
      <c r="AC419" s="3"/>
    </row>
    <row r="420" spans="1:29" x14ac:dyDescent="0.3">
      <c r="A420" s="2" t="s">
        <v>2798</v>
      </c>
      <c r="B420" s="2" t="s">
        <v>2799</v>
      </c>
      <c r="C420" s="2" t="s">
        <v>1675</v>
      </c>
      <c r="D420" s="2" t="s">
        <v>2800</v>
      </c>
      <c r="E420" s="2" t="s">
        <v>26</v>
      </c>
      <c r="F420" s="2" t="s">
        <v>1391</v>
      </c>
      <c r="G420" s="2" t="s">
        <v>2801</v>
      </c>
      <c r="H420" s="2" t="s">
        <v>899</v>
      </c>
      <c r="I420" s="2">
        <v>5</v>
      </c>
      <c r="J420" s="2" t="s">
        <v>29</v>
      </c>
      <c r="K420" s="2" t="s">
        <v>834</v>
      </c>
      <c r="L420" s="2" t="s">
        <v>835</v>
      </c>
      <c r="M420" s="2" t="s">
        <v>2802</v>
      </c>
      <c r="N420" s="2" t="s">
        <v>256</v>
      </c>
      <c r="O420" s="2" t="s">
        <v>27</v>
      </c>
      <c r="P420" s="2" t="s">
        <v>257</v>
      </c>
      <c r="Q420" s="2" t="s">
        <v>114</v>
      </c>
      <c r="R420" s="2">
        <v>5</v>
      </c>
      <c r="S420" s="2">
        <v>3033.04</v>
      </c>
      <c r="T420" s="2">
        <v>5</v>
      </c>
      <c r="U420" s="2">
        <v>14406.94</v>
      </c>
      <c r="V420" s="2">
        <v>6564.14</v>
      </c>
      <c r="W420" s="2">
        <v>7842.8</v>
      </c>
      <c r="X420" s="2">
        <v>54.44</v>
      </c>
      <c r="Y420" s="2">
        <v>29</v>
      </c>
      <c r="Z420" s="2" t="s">
        <v>30</v>
      </c>
      <c r="AA420" s="2" t="s">
        <v>139</v>
      </c>
      <c r="AB420" s="2" t="s">
        <v>140</v>
      </c>
      <c r="AC420" s="2"/>
    </row>
    <row r="421" spans="1:29" x14ac:dyDescent="0.3">
      <c r="A421" s="3" t="s">
        <v>2803</v>
      </c>
      <c r="B421" s="3" t="s">
        <v>2804</v>
      </c>
      <c r="C421" s="3" t="s">
        <v>2345</v>
      </c>
      <c r="D421" s="3" t="s">
        <v>2805</v>
      </c>
      <c r="E421" s="3" t="s">
        <v>18</v>
      </c>
      <c r="F421" s="3" t="s">
        <v>1895</v>
      </c>
      <c r="G421" s="3" t="s">
        <v>2806</v>
      </c>
      <c r="H421" s="3" t="s">
        <v>1108</v>
      </c>
      <c r="I421" s="3">
        <v>7</v>
      </c>
      <c r="J421" s="3" t="s">
        <v>29</v>
      </c>
      <c r="K421" s="3" t="s">
        <v>334</v>
      </c>
      <c r="L421" s="3" t="s">
        <v>335</v>
      </c>
      <c r="M421" s="3" t="s">
        <v>2807</v>
      </c>
      <c r="N421" s="3" t="s">
        <v>931</v>
      </c>
      <c r="O421" s="3" t="s">
        <v>13</v>
      </c>
      <c r="P421" s="3" t="s">
        <v>419</v>
      </c>
      <c r="Q421" s="3" t="s">
        <v>355</v>
      </c>
      <c r="R421" s="3">
        <v>1</v>
      </c>
      <c r="S421" s="3">
        <v>49377.51</v>
      </c>
      <c r="T421" s="3">
        <v>5</v>
      </c>
      <c r="U421" s="3">
        <v>46908.63</v>
      </c>
      <c r="V421" s="3">
        <v>22360.05</v>
      </c>
      <c r="W421" s="3">
        <v>24548.58</v>
      </c>
      <c r="X421" s="3">
        <v>52.33</v>
      </c>
      <c r="Y421" s="3">
        <v>49</v>
      </c>
      <c r="Z421" s="3" t="s">
        <v>48</v>
      </c>
      <c r="AA421" s="3" t="s">
        <v>100</v>
      </c>
      <c r="AB421" s="3" t="s">
        <v>101</v>
      </c>
      <c r="AC421" s="3">
        <v>2</v>
      </c>
    </row>
    <row r="422" spans="1:29" x14ac:dyDescent="0.3">
      <c r="A422" s="2" t="s">
        <v>2808</v>
      </c>
      <c r="B422" s="2" t="s">
        <v>1884</v>
      </c>
      <c r="C422" s="2" t="s">
        <v>855</v>
      </c>
      <c r="D422" s="2" t="s">
        <v>2809</v>
      </c>
      <c r="E422" s="2" t="s">
        <v>26</v>
      </c>
      <c r="F422" s="2" t="s">
        <v>2462</v>
      </c>
      <c r="G422" s="2" t="s">
        <v>263</v>
      </c>
      <c r="H422" s="2" t="s">
        <v>770</v>
      </c>
      <c r="I422" s="2">
        <v>7</v>
      </c>
      <c r="J422" s="2" t="s">
        <v>22</v>
      </c>
      <c r="K422" s="2" t="s">
        <v>443</v>
      </c>
      <c r="L422" s="2" t="s">
        <v>444</v>
      </c>
      <c r="M422" s="2" t="s">
        <v>2810</v>
      </c>
      <c r="N422" s="2" t="s">
        <v>418</v>
      </c>
      <c r="O422" s="2" t="s">
        <v>13</v>
      </c>
      <c r="P422" s="2" t="s">
        <v>419</v>
      </c>
      <c r="Q422" s="2" t="s">
        <v>127</v>
      </c>
      <c r="R422" s="2">
        <v>3</v>
      </c>
      <c r="S422" s="2">
        <v>9286.44</v>
      </c>
      <c r="T422" s="2">
        <v>10</v>
      </c>
      <c r="U422" s="2">
        <v>25073.39</v>
      </c>
      <c r="V422" s="2">
        <v>12839.67</v>
      </c>
      <c r="W422" s="2">
        <v>12233.72</v>
      </c>
      <c r="X422" s="2">
        <v>48.79</v>
      </c>
      <c r="Y422" s="2">
        <v>199</v>
      </c>
      <c r="Z422" s="2" t="s">
        <v>47</v>
      </c>
      <c r="AA422" s="2" t="s">
        <v>275</v>
      </c>
      <c r="AB422" s="2" t="s">
        <v>140</v>
      </c>
      <c r="AC422" s="2"/>
    </row>
    <row r="423" spans="1:29" x14ac:dyDescent="0.3">
      <c r="A423" s="3" t="s">
        <v>2811</v>
      </c>
      <c r="B423" s="3" t="s">
        <v>2812</v>
      </c>
      <c r="C423" s="3" t="s">
        <v>260</v>
      </c>
      <c r="D423" s="3" t="s">
        <v>2813</v>
      </c>
      <c r="E423" s="3" t="s">
        <v>42</v>
      </c>
      <c r="F423" s="3" t="s">
        <v>1211</v>
      </c>
      <c r="G423" s="3" t="s">
        <v>2106</v>
      </c>
      <c r="H423" s="3" t="s">
        <v>1213</v>
      </c>
      <c r="I423" s="3">
        <v>6</v>
      </c>
      <c r="J423" s="3" t="s">
        <v>39</v>
      </c>
      <c r="K423" s="3" t="s">
        <v>109</v>
      </c>
      <c r="L423" s="3" t="s">
        <v>344</v>
      </c>
      <c r="M423" s="3" t="s">
        <v>2814</v>
      </c>
      <c r="N423" s="3" t="s">
        <v>508</v>
      </c>
      <c r="O423" s="3" t="s">
        <v>19</v>
      </c>
      <c r="P423" s="3" t="s">
        <v>365</v>
      </c>
      <c r="Q423" s="3" t="s">
        <v>99</v>
      </c>
      <c r="R423" s="3">
        <v>3</v>
      </c>
      <c r="S423" s="3">
        <v>28190</v>
      </c>
      <c r="T423" s="3">
        <v>15</v>
      </c>
      <c r="U423" s="3">
        <v>71884.5</v>
      </c>
      <c r="V423" s="3">
        <v>43543.14</v>
      </c>
      <c r="W423" s="3">
        <v>28341.360000000001</v>
      </c>
      <c r="X423" s="3">
        <v>39.43</v>
      </c>
      <c r="Y423" s="3">
        <v>199</v>
      </c>
      <c r="Z423" s="3" t="s">
        <v>40</v>
      </c>
      <c r="AA423" s="3" t="s">
        <v>186</v>
      </c>
      <c r="AB423" s="3" t="s">
        <v>101</v>
      </c>
      <c r="AC423" s="3"/>
    </row>
    <row r="424" spans="1:29" x14ac:dyDescent="0.3">
      <c r="A424" s="2" t="s">
        <v>2815</v>
      </c>
      <c r="B424" s="2" t="s">
        <v>2816</v>
      </c>
      <c r="C424" s="2" t="s">
        <v>2124</v>
      </c>
      <c r="D424" s="2" t="s">
        <v>2817</v>
      </c>
      <c r="E424" s="2" t="s">
        <v>18</v>
      </c>
      <c r="F424" s="2" t="s">
        <v>2806</v>
      </c>
      <c r="G424" s="2" t="s">
        <v>1282</v>
      </c>
      <c r="H424" s="2" t="s">
        <v>1107</v>
      </c>
      <c r="I424" s="2">
        <v>3</v>
      </c>
      <c r="J424" s="2" t="s">
        <v>14</v>
      </c>
      <c r="K424" s="2" t="s">
        <v>171</v>
      </c>
      <c r="L424" s="2" t="s">
        <v>407</v>
      </c>
      <c r="M424" s="2" t="s">
        <v>2818</v>
      </c>
      <c r="N424" s="2" t="s">
        <v>508</v>
      </c>
      <c r="O424" s="2" t="s">
        <v>19</v>
      </c>
      <c r="P424" s="2" t="s">
        <v>365</v>
      </c>
      <c r="Q424" s="2" t="s">
        <v>127</v>
      </c>
      <c r="R424" s="2">
        <v>4</v>
      </c>
      <c r="S424" s="2">
        <v>34565.160000000003</v>
      </c>
      <c r="T424" s="2">
        <v>30</v>
      </c>
      <c r="U424" s="2">
        <v>96782.45</v>
      </c>
      <c r="V424" s="2">
        <v>50567.79</v>
      </c>
      <c r="W424" s="2">
        <v>46214.66</v>
      </c>
      <c r="X424" s="2">
        <v>47.75</v>
      </c>
      <c r="Y424" s="2">
        <v>149</v>
      </c>
      <c r="Z424" s="2" t="s">
        <v>48</v>
      </c>
      <c r="AA424" s="2" t="s">
        <v>186</v>
      </c>
      <c r="AB424" s="2" t="s">
        <v>101</v>
      </c>
      <c r="AC424" s="2"/>
    </row>
    <row r="425" spans="1:29" x14ac:dyDescent="0.3">
      <c r="A425" s="3" t="s">
        <v>2819</v>
      </c>
      <c r="B425" s="3" t="s">
        <v>2820</v>
      </c>
      <c r="C425" s="3" t="s">
        <v>816</v>
      </c>
      <c r="D425" s="3" t="s">
        <v>2821</v>
      </c>
      <c r="E425" s="3" t="s">
        <v>26</v>
      </c>
      <c r="F425" s="3" t="s">
        <v>2822</v>
      </c>
      <c r="G425" s="3" t="s">
        <v>157</v>
      </c>
      <c r="H425" s="3" t="s">
        <v>158</v>
      </c>
      <c r="I425" s="3">
        <v>2</v>
      </c>
      <c r="J425" s="3" t="s">
        <v>39</v>
      </c>
      <c r="K425" s="3" t="s">
        <v>109</v>
      </c>
      <c r="L425" s="3" t="s">
        <v>110</v>
      </c>
      <c r="M425" s="3" t="s">
        <v>2823</v>
      </c>
      <c r="N425" s="3" t="s">
        <v>150</v>
      </c>
      <c r="O425" s="3" t="s">
        <v>28</v>
      </c>
      <c r="P425" s="3" t="s">
        <v>151</v>
      </c>
      <c r="Q425" s="3" t="s">
        <v>197</v>
      </c>
      <c r="R425" s="3">
        <v>1</v>
      </c>
      <c r="S425" s="3">
        <v>32925.22</v>
      </c>
      <c r="T425" s="3">
        <v>30</v>
      </c>
      <c r="U425" s="3">
        <v>23047.65</v>
      </c>
      <c r="V425" s="3">
        <v>12423.72</v>
      </c>
      <c r="W425" s="3">
        <v>10623.93</v>
      </c>
      <c r="X425" s="3">
        <v>46.1</v>
      </c>
      <c r="Y425" s="3">
        <v>29</v>
      </c>
      <c r="Z425" s="3" t="s">
        <v>43</v>
      </c>
      <c r="AA425" s="3" t="s">
        <v>100</v>
      </c>
      <c r="AB425" s="3" t="s">
        <v>101</v>
      </c>
      <c r="AC425" s="3">
        <v>5</v>
      </c>
    </row>
    <row r="426" spans="1:29" x14ac:dyDescent="0.3">
      <c r="A426" s="2" t="s">
        <v>2824</v>
      </c>
      <c r="B426" s="2" t="s">
        <v>2825</v>
      </c>
      <c r="C426" s="2" t="s">
        <v>1177</v>
      </c>
      <c r="D426" s="2" t="s">
        <v>2826</v>
      </c>
      <c r="E426" s="2" t="s">
        <v>33</v>
      </c>
      <c r="F426" s="2" t="s">
        <v>1306</v>
      </c>
      <c r="G426" s="2" t="s">
        <v>424</v>
      </c>
      <c r="H426" s="2" t="s">
        <v>2248</v>
      </c>
      <c r="I426" s="2">
        <v>5</v>
      </c>
      <c r="J426" s="2" t="s">
        <v>14</v>
      </c>
      <c r="K426" s="2" t="s">
        <v>215</v>
      </c>
      <c r="L426" s="2" t="s">
        <v>215</v>
      </c>
      <c r="M426" s="2" t="s">
        <v>2827</v>
      </c>
      <c r="N426" s="2" t="s">
        <v>465</v>
      </c>
      <c r="O426" s="2" t="s">
        <v>19</v>
      </c>
      <c r="P426" s="2" t="s">
        <v>447</v>
      </c>
      <c r="Q426" s="2" t="s">
        <v>138</v>
      </c>
      <c r="R426" s="2">
        <v>5</v>
      </c>
      <c r="S426" s="2">
        <v>4331.3599999999997</v>
      </c>
      <c r="T426" s="2">
        <v>10</v>
      </c>
      <c r="U426" s="2">
        <v>19491.12</v>
      </c>
      <c r="V426" s="2">
        <v>9902.9500000000007</v>
      </c>
      <c r="W426" s="2">
        <v>9588.17</v>
      </c>
      <c r="X426" s="2">
        <v>49.19</v>
      </c>
      <c r="Y426" s="2">
        <v>0</v>
      </c>
      <c r="Z426" s="2" t="s">
        <v>47</v>
      </c>
      <c r="AA426" s="2" t="s">
        <v>139</v>
      </c>
      <c r="AB426" s="2" t="s">
        <v>140</v>
      </c>
      <c r="AC426" s="2"/>
    </row>
    <row r="427" spans="1:29" x14ac:dyDescent="0.3">
      <c r="A427" s="3" t="s">
        <v>2828</v>
      </c>
      <c r="B427" s="3" t="s">
        <v>2829</v>
      </c>
      <c r="C427" s="3" t="s">
        <v>2590</v>
      </c>
      <c r="D427" s="3" t="s">
        <v>2830</v>
      </c>
      <c r="E427" s="3" t="s">
        <v>18</v>
      </c>
      <c r="F427" s="3" t="s">
        <v>1197</v>
      </c>
      <c r="G427" s="3" t="s">
        <v>2831</v>
      </c>
      <c r="H427" s="3" t="s">
        <v>1329</v>
      </c>
      <c r="I427" s="3">
        <v>6</v>
      </c>
      <c r="J427" s="3" t="s">
        <v>39</v>
      </c>
      <c r="K427" s="3" t="s">
        <v>109</v>
      </c>
      <c r="L427" s="3" t="s">
        <v>134</v>
      </c>
      <c r="M427" s="3" t="s">
        <v>2228</v>
      </c>
      <c r="N427" s="3" t="s">
        <v>217</v>
      </c>
      <c r="O427" s="3" t="s">
        <v>21</v>
      </c>
      <c r="P427" s="3" t="s">
        <v>206</v>
      </c>
      <c r="Q427" s="3" t="s">
        <v>207</v>
      </c>
      <c r="R427" s="3">
        <v>5</v>
      </c>
      <c r="S427" s="3">
        <v>16558.580000000002</v>
      </c>
      <c r="T427" s="3">
        <v>0</v>
      </c>
      <c r="U427" s="3">
        <v>82792.899999999994</v>
      </c>
      <c r="V427" s="3">
        <v>53645.8</v>
      </c>
      <c r="W427" s="3">
        <v>29147.1</v>
      </c>
      <c r="X427" s="3">
        <v>35.200000000000003</v>
      </c>
      <c r="Y427" s="3">
        <v>0</v>
      </c>
      <c r="Z427" s="3" t="s">
        <v>43</v>
      </c>
      <c r="AA427" s="3" t="s">
        <v>275</v>
      </c>
      <c r="AB427" s="3" t="s">
        <v>101</v>
      </c>
      <c r="AC427" s="3"/>
    </row>
    <row r="428" spans="1:29" x14ac:dyDescent="0.3">
      <c r="A428" s="2" t="s">
        <v>2832</v>
      </c>
      <c r="B428" s="2" t="s">
        <v>2833</v>
      </c>
      <c r="C428" s="2" t="s">
        <v>2834</v>
      </c>
      <c r="D428" s="2" t="s">
        <v>2835</v>
      </c>
      <c r="E428" s="2" t="s">
        <v>18</v>
      </c>
      <c r="F428" s="2" t="s">
        <v>2836</v>
      </c>
      <c r="G428" s="2" t="s">
        <v>1344</v>
      </c>
      <c r="H428" s="2" t="s">
        <v>1888</v>
      </c>
      <c r="I428" s="2">
        <v>6</v>
      </c>
      <c r="J428" s="2" t="s">
        <v>14</v>
      </c>
      <c r="K428" s="2" t="s">
        <v>215</v>
      </c>
      <c r="L428" s="2" t="s">
        <v>215</v>
      </c>
      <c r="M428" s="2" t="s">
        <v>2837</v>
      </c>
      <c r="N428" s="2" t="s">
        <v>456</v>
      </c>
      <c r="O428" s="2" t="s">
        <v>21</v>
      </c>
      <c r="P428" s="2" t="s">
        <v>206</v>
      </c>
      <c r="Q428" s="2" t="s">
        <v>287</v>
      </c>
      <c r="R428" s="2">
        <v>2</v>
      </c>
      <c r="S428" s="2">
        <v>10551.18</v>
      </c>
      <c r="T428" s="2">
        <v>30</v>
      </c>
      <c r="U428" s="2">
        <v>14771.65</v>
      </c>
      <c r="V428" s="2">
        <v>7303.65</v>
      </c>
      <c r="W428" s="2">
        <v>7468</v>
      </c>
      <c r="X428" s="2">
        <v>50.56</v>
      </c>
      <c r="Y428" s="2">
        <v>49</v>
      </c>
      <c r="Z428" s="2" t="s">
        <v>30</v>
      </c>
      <c r="AA428" s="2" t="s">
        <v>186</v>
      </c>
      <c r="AB428" s="2" t="s">
        <v>101</v>
      </c>
      <c r="AC428" s="2"/>
    </row>
    <row r="429" spans="1:29" x14ac:dyDescent="0.3">
      <c r="A429" s="3" t="s">
        <v>2838</v>
      </c>
      <c r="B429" s="3" t="s">
        <v>2839</v>
      </c>
      <c r="C429" s="3" t="s">
        <v>422</v>
      </c>
      <c r="D429" s="3" t="s">
        <v>2840</v>
      </c>
      <c r="E429" s="3" t="s">
        <v>33</v>
      </c>
      <c r="F429" s="3" t="s">
        <v>2841</v>
      </c>
      <c r="G429" s="3" t="s">
        <v>2685</v>
      </c>
      <c r="H429" s="3" t="s">
        <v>2842</v>
      </c>
      <c r="I429" s="3">
        <v>6</v>
      </c>
      <c r="J429" s="3" t="s">
        <v>39</v>
      </c>
      <c r="K429" s="3" t="s">
        <v>193</v>
      </c>
      <c r="L429" s="3" t="s">
        <v>193</v>
      </c>
      <c r="M429" s="3" t="s">
        <v>2843</v>
      </c>
      <c r="N429" s="3" t="s">
        <v>924</v>
      </c>
      <c r="O429" s="3" t="s">
        <v>13</v>
      </c>
      <c r="P429" s="3" t="s">
        <v>228</v>
      </c>
      <c r="Q429" s="3" t="s">
        <v>608</v>
      </c>
      <c r="R429" s="3">
        <v>1</v>
      </c>
      <c r="S429" s="3">
        <v>17880.95</v>
      </c>
      <c r="T429" s="3">
        <v>25</v>
      </c>
      <c r="U429" s="3">
        <v>13410.71</v>
      </c>
      <c r="V429" s="3">
        <v>7575.45</v>
      </c>
      <c r="W429" s="3">
        <v>5835.26</v>
      </c>
      <c r="X429" s="3">
        <v>43.51</v>
      </c>
      <c r="Y429" s="3">
        <v>0</v>
      </c>
      <c r="Z429" s="3" t="s">
        <v>15</v>
      </c>
      <c r="AA429" s="3" t="s">
        <v>100</v>
      </c>
      <c r="AB429" s="3" t="s">
        <v>101</v>
      </c>
      <c r="AC429" s="3">
        <v>1</v>
      </c>
    </row>
    <row r="430" spans="1:29" x14ac:dyDescent="0.3">
      <c r="A430" s="2" t="s">
        <v>2844</v>
      </c>
      <c r="B430" s="2" t="s">
        <v>2845</v>
      </c>
      <c r="C430" s="2" t="s">
        <v>1196</v>
      </c>
      <c r="D430" s="2" t="s">
        <v>2846</v>
      </c>
      <c r="E430" s="2" t="s">
        <v>18</v>
      </c>
      <c r="F430" s="2" t="s">
        <v>820</v>
      </c>
      <c r="G430" s="2" t="s">
        <v>556</v>
      </c>
      <c r="H430" s="2" t="s">
        <v>558</v>
      </c>
      <c r="I430" s="2">
        <v>8</v>
      </c>
      <c r="J430" s="2" t="s">
        <v>14</v>
      </c>
      <c r="K430" s="2" t="s">
        <v>95</v>
      </c>
      <c r="L430" s="2" t="s">
        <v>95</v>
      </c>
      <c r="M430" s="2" t="s">
        <v>1361</v>
      </c>
      <c r="N430" s="2" t="s">
        <v>475</v>
      </c>
      <c r="O430" s="2" t="s">
        <v>13</v>
      </c>
      <c r="P430" s="2" t="s">
        <v>228</v>
      </c>
      <c r="Q430" s="2" t="s">
        <v>114</v>
      </c>
      <c r="R430" s="2">
        <v>2</v>
      </c>
      <c r="S430" s="2">
        <v>20330.39</v>
      </c>
      <c r="T430" s="2">
        <v>15</v>
      </c>
      <c r="U430" s="2">
        <v>34561.660000000003</v>
      </c>
      <c r="V430" s="2">
        <v>23820.62</v>
      </c>
      <c r="W430" s="2">
        <v>10741.04</v>
      </c>
      <c r="X430" s="2">
        <v>31.08</v>
      </c>
      <c r="Y430" s="2">
        <v>49</v>
      </c>
      <c r="Z430" s="2" t="s">
        <v>48</v>
      </c>
      <c r="AA430" s="2" t="s">
        <v>100</v>
      </c>
      <c r="AB430" s="2" t="s">
        <v>101</v>
      </c>
      <c r="AC430" s="2"/>
    </row>
    <row r="431" spans="1:29" x14ac:dyDescent="0.3">
      <c r="A431" s="3" t="s">
        <v>2847</v>
      </c>
      <c r="B431" s="3" t="s">
        <v>2848</v>
      </c>
      <c r="C431" s="3" t="s">
        <v>799</v>
      </c>
      <c r="D431" s="3" t="s">
        <v>2849</v>
      </c>
      <c r="E431" s="3" t="s">
        <v>18</v>
      </c>
      <c r="F431" s="3" t="s">
        <v>2424</v>
      </c>
      <c r="G431" s="3" t="s">
        <v>660</v>
      </c>
      <c r="H431" s="3" t="s">
        <v>628</v>
      </c>
      <c r="I431" s="3">
        <v>7</v>
      </c>
      <c r="J431" s="3" t="s">
        <v>29</v>
      </c>
      <c r="K431" s="3" t="s">
        <v>160</v>
      </c>
      <c r="L431" s="3" t="s">
        <v>976</v>
      </c>
      <c r="M431" s="3" t="s">
        <v>2850</v>
      </c>
      <c r="N431" s="3" t="s">
        <v>256</v>
      </c>
      <c r="O431" s="3" t="s">
        <v>27</v>
      </c>
      <c r="P431" s="3" t="s">
        <v>257</v>
      </c>
      <c r="Q431" s="3" t="s">
        <v>287</v>
      </c>
      <c r="R431" s="3">
        <v>4</v>
      </c>
      <c r="S431" s="3">
        <v>23209.35</v>
      </c>
      <c r="T431" s="3">
        <v>20</v>
      </c>
      <c r="U431" s="3">
        <v>74269.919999999998</v>
      </c>
      <c r="V431" s="3">
        <v>41175.64</v>
      </c>
      <c r="W431" s="3">
        <v>33094.28</v>
      </c>
      <c r="X431" s="3">
        <v>44.56</v>
      </c>
      <c r="Y431" s="3">
        <v>149</v>
      </c>
      <c r="Z431" s="3" t="s">
        <v>47</v>
      </c>
      <c r="AA431" s="3" t="s">
        <v>100</v>
      </c>
      <c r="AB431" s="3" t="s">
        <v>101</v>
      </c>
      <c r="AC431" s="3">
        <v>5</v>
      </c>
    </row>
    <row r="432" spans="1:29" x14ac:dyDescent="0.3">
      <c r="A432" s="2" t="s">
        <v>2851</v>
      </c>
      <c r="B432" s="2" t="s">
        <v>2852</v>
      </c>
      <c r="C432" s="2" t="s">
        <v>603</v>
      </c>
      <c r="D432" s="2" t="s">
        <v>2853</v>
      </c>
      <c r="E432" s="2" t="s">
        <v>33</v>
      </c>
      <c r="F432" s="2" t="s">
        <v>2854</v>
      </c>
      <c r="G432" s="2" t="s">
        <v>2855</v>
      </c>
      <c r="H432" s="2" t="s">
        <v>2856</v>
      </c>
      <c r="I432" s="2">
        <v>5</v>
      </c>
      <c r="J432" s="2" t="s">
        <v>39</v>
      </c>
      <c r="K432" s="2" t="s">
        <v>225</v>
      </c>
      <c r="L432" s="2" t="s">
        <v>225</v>
      </c>
      <c r="M432" s="2" t="s">
        <v>1258</v>
      </c>
      <c r="N432" s="2" t="s">
        <v>616</v>
      </c>
      <c r="O432" s="2" t="s">
        <v>21</v>
      </c>
      <c r="P432" s="2" t="s">
        <v>206</v>
      </c>
      <c r="Q432" s="2" t="s">
        <v>287</v>
      </c>
      <c r="R432" s="2">
        <v>3</v>
      </c>
      <c r="S432" s="2">
        <v>17208.84</v>
      </c>
      <c r="T432" s="2">
        <v>15</v>
      </c>
      <c r="U432" s="2">
        <v>43882.54</v>
      </c>
      <c r="V432" s="2">
        <v>26298.5</v>
      </c>
      <c r="W432" s="2">
        <v>17584.04</v>
      </c>
      <c r="X432" s="2">
        <v>40.07</v>
      </c>
      <c r="Y432" s="2">
        <v>199</v>
      </c>
      <c r="Z432" s="2" t="s">
        <v>43</v>
      </c>
      <c r="AA432" s="2" t="s">
        <v>100</v>
      </c>
      <c r="AB432" s="2" t="s">
        <v>101</v>
      </c>
      <c r="AC432" s="2">
        <v>5</v>
      </c>
    </row>
    <row r="433" spans="1:29" x14ac:dyDescent="0.3">
      <c r="A433" s="3" t="s">
        <v>2857</v>
      </c>
      <c r="B433" s="3" t="s">
        <v>2858</v>
      </c>
      <c r="C433" s="3" t="s">
        <v>432</v>
      </c>
      <c r="D433" s="3" t="s">
        <v>2859</v>
      </c>
      <c r="E433" s="3" t="s">
        <v>26</v>
      </c>
      <c r="F433" s="3" t="s">
        <v>1771</v>
      </c>
      <c r="G433" s="3" t="s">
        <v>2860</v>
      </c>
      <c r="H433" s="3" t="s">
        <v>2861</v>
      </c>
      <c r="I433" s="3">
        <v>6</v>
      </c>
      <c r="J433" s="3" t="s">
        <v>14</v>
      </c>
      <c r="K433" s="3" t="s">
        <v>183</v>
      </c>
      <c r="L433" s="3" t="s">
        <v>183</v>
      </c>
      <c r="M433" s="3" t="s">
        <v>2862</v>
      </c>
      <c r="N433" s="3" t="s">
        <v>205</v>
      </c>
      <c r="O433" s="3" t="s">
        <v>21</v>
      </c>
      <c r="P433" s="3" t="s">
        <v>206</v>
      </c>
      <c r="Q433" s="3" t="s">
        <v>152</v>
      </c>
      <c r="R433" s="3">
        <v>2</v>
      </c>
      <c r="S433" s="3">
        <v>5238.8100000000004</v>
      </c>
      <c r="T433" s="3">
        <v>10</v>
      </c>
      <c r="U433" s="3">
        <v>9429.86</v>
      </c>
      <c r="V433" s="3">
        <v>4489.3900000000003</v>
      </c>
      <c r="W433" s="3">
        <v>4940.47</v>
      </c>
      <c r="X433" s="3">
        <v>52.39</v>
      </c>
      <c r="Y433" s="3">
        <v>99</v>
      </c>
      <c r="Z433" s="3" t="s">
        <v>48</v>
      </c>
      <c r="AA433" s="3" t="s">
        <v>100</v>
      </c>
      <c r="AB433" s="3" t="s">
        <v>101</v>
      </c>
      <c r="AC433" s="3">
        <v>2</v>
      </c>
    </row>
    <row r="434" spans="1:29" x14ac:dyDescent="0.3">
      <c r="A434" s="2" t="s">
        <v>2863</v>
      </c>
      <c r="B434" s="2" t="s">
        <v>2864</v>
      </c>
      <c r="C434" s="2" t="s">
        <v>2460</v>
      </c>
      <c r="D434" s="2" t="s">
        <v>2865</v>
      </c>
      <c r="E434" s="2" t="s">
        <v>26</v>
      </c>
      <c r="F434" s="2" t="s">
        <v>2866</v>
      </c>
      <c r="G434" s="2" t="s">
        <v>2867</v>
      </c>
      <c r="H434" s="2" t="s">
        <v>2868</v>
      </c>
      <c r="I434" s="2">
        <v>5</v>
      </c>
      <c r="J434" s="2" t="s">
        <v>14</v>
      </c>
      <c r="K434" s="2" t="s">
        <v>183</v>
      </c>
      <c r="L434" s="2" t="s">
        <v>183</v>
      </c>
      <c r="M434" s="2" t="s">
        <v>2033</v>
      </c>
      <c r="N434" s="2" t="s">
        <v>508</v>
      </c>
      <c r="O434" s="2" t="s">
        <v>19</v>
      </c>
      <c r="P434" s="2" t="s">
        <v>365</v>
      </c>
      <c r="Q434" s="2" t="s">
        <v>152</v>
      </c>
      <c r="R434" s="2">
        <v>4</v>
      </c>
      <c r="S434" s="2">
        <v>14471.45</v>
      </c>
      <c r="T434" s="2">
        <v>20</v>
      </c>
      <c r="U434" s="2">
        <v>46308.639999999999</v>
      </c>
      <c r="V434" s="2">
        <v>24951.3</v>
      </c>
      <c r="W434" s="2">
        <v>21357.34</v>
      </c>
      <c r="X434" s="2">
        <v>46.12</v>
      </c>
      <c r="Y434" s="2">
        <v>49</v>
      </c>
      <c r="Z434" s="2" t="s">
        <v>23</v>
      </c>
      <c r="AA434" s="2" t="s">
        <v>100</v>
      </c>
      <c r="AB434" s="2" t="s">
        <v>101</v>
      </c>
      <c r="AC434" s="2">
        <v>3</v>
      </c>
    </row>
    <row r="435" spans="1:29" x14ac:dyDescent="0.3">
      <c r="A435" s="3" t="s">
        <v>2869</v>
      </c>
      <c r="B435" s="3" t="s">
        <v>2870</v>
      </c>
      <c r="C435" s="3" t="s">
        <v>1097</v>
      </c>
      <c r="D435" s="3" t="s">
        <v>2871</v>
      </c>
      <c r="E435" s="3" t="s">
        <v>18</v>
      </c>
      <c r="F435" s="3" t="s">
        <v>2872</v>
      </c>
      <c r="G435" s="3" t="s">
        <v>2873</v>
      </c>
      <c r="H435" s="3" t="s">
        <v>1459</v>
      </c>
      <c r="I435" s="3">
        <v>4</v>
      </c>
      <c r="J435" s="3" t="s">
        <v>22</v>
      </c>
      <c r="K435" s="3" t="s">
        <v>443</v>
      </c>
      <c r="L435" s="3" t="s">
        <v>444</v>
      </c>
      <c r="M435" s="3" t="s">
        <v>2874</v>
      </c>
      <c r="N435" s="3" t="s">
        <v>354</v>
      </c>
      <c r="O435" s="3" t="s">
        <v>21</v>
      </c>
      <c r="P435" s="3" t="s">
        <v>196</v>
      </c>
      <c r="Q435" s="3" t="s">
        <v>400</v>
      </c>
      <c r="R435" s="3">
        <v>4</v>
      </c>
      <c r="S435" s="3">
        <v>14663.89</v>
      </c>
      <c r="T435" s="3">
        <v>20</v>
      </c>
      <c r="U435" s="3">
        <v>46924.45</v>
      </c>
      <c r="V435" s="3">
        <v>25876.69</v>
      </c>
      <c r="W435" s="3">
        <v>21047.759999999998</v>
      </c>
      <c r="X435" s="3">
        <v>44.85</v>
      </c>
      <c r="Y435" s="3">
        <v>99</v>
      </c>
      <c r="Z435" s="3" t="s">
        <v>47</v>
      </c>
      <c r="AA435" s="3" t="s">
        <v>100</v>
      </c>
      <c r="AB435" s="3" t="s">
        <v>101</v>
      </c>
      <c r="AC435" s="3">
        <v>4</v>
      </c>
    </row>
    <row r="436" spans="1:29" x14ac:dyDescent="0.3">
      <c r="A436" s="2" t="s">
        <v>2875</v>
      </c>
      <c r="B436" s="2" t="s">
        <v>2876</v>
      </c>
      <c r="C436" s="2" t="s">
        <v>2877</v>
      </c>
      <c r="D436" s="2" t="s">
        <v>2878</v>
      </c>
      <c r="E436" s="2" t="s">
        <v>18</v>
      </c>
      <c r="F436" s="2" t="s">
        <v>1887</v>
      </c>
      <c r="G436" s="2" t="s">
        <v>1888</v>
      </c>
      <c r="H436" s="2" t="s">
        <v>2537</v>
      </c>
      <c r="I436" s="2">
        <v>7</v>
      </c>
      <c r="J436" s="2" t="s">
        <v>39</v>
      </c>
      <c r="K436" s="2" t="s">
        <v>324</v>
      </c>
      <c r="L436" s="2" t="s">
        <v>1028</v>
      </c>
      <c r="M436" s="2" t="s">
        <v>2879</v>
      </c>
      <c r="N436" s="2" t="s">
        <v>508</v>
      </c>
      <c r="O436" s="2" t="s">
        <v>19</v>
      </c>
      <c r="P436" s="2" t="s">
        <v>365</v>
      </c>
      <c r="Q436" s="2" t="s">
        <v>400</v>
      </c>
      <c r="R436" s="2">
        <v>5</v>
      </c>
      <c r="S436" s="2">
        <v>11969.23</v>
      </c>
      <c r="T436" s="2">
        <v>5</v>
      </c>
      <c r="U436" s="2">
        <v>56853.84</v>
      </c>
      <c r="V436" s="2">
        <v>39431.589999999997</v>
      </c>
      <c r="W436" s="2">
        <v>17422.25</v>
      </c>
      <c r="X436" s="2">
        <v>30.64</v>
      </c>
      <c r="Y436" s="2">
        <v>199</v>
      </c>
      <c r="Z436" s="2" t="s">
        <v>43</v>
      </c>
      <c r="AA436" s="2" t="s">
        <v>672</v>
      </c>
      <c r="AB436" s="2" t="s">
        <v>101</v>
      </c>
      <c r="AC436" s="2"/>
    </row>
    <row r="437" spans="1:29" x14ac:dyDescent="0.3">
      <c r="A437" s="3" t="s">
        <v>2880</v>
      </c>
      <c r="B437" s="3" t="s">
        <v>2881</v>
      </c>
      <c r="C437" s="3" t="s">
        <v>2882</v>
      </c>
      <c r="D437" s="3" t="s">
        <v>2481</v>
      </c>
      <c r="E437" s="3" t="s">
        <v>18</v>
      </c>
      <c r="F437" s="3" t="s">
        <v>2883</v>
      </c>
      <c r="G437" s="3" t="s">
        <v>668</v>
      </c>
      <c r="H437" s="3" t="s">
        <v>1161</v>
      </c>
      <c r="I437" s="3">
        <v>3</v>
      </c>
      <c r="J437" s="3" t="s">
        <v>14</v>
      </c>
      <c r="K437" s="3" t="s">
        <v>171</v>
      </c>
      <c r="L437" s="3" t="s">
        <v>172</v>
      </c>
      <c r="M437" s="3" t="s">
        <v>2884</v>
      </c>
      <c r="N437" s="3" t="s">
        <v>266</v>
      </c>
      <c r="O437" s="3" t="s">
        <v>28</v>
      </c>
      <c r="P437" s="3" t="s">
        <v>151</v>
      </c>
      <c r="Q437" s="3" t="s">
        <v>608</v>
      </c>
      <c r="R437" s="3">
        <v>3</v>
      </c>
      <c r="S437" s="3">
        <v>45767.9</v>
      </c>
      <c r="T437" s="3">
        <v>20</v>
      </c>
      <c r="U437" s="3">
        <v>109842.96</v>
      </c>
      <c r="V437" s="3">
        <v>56388.39</v>
      </c>
      <c r="W437" s="3">
        <v>53454.57</v>
      </c>
      <c r="X437" s="3">
        <v>48.66</v>
      </c>
      <c r="Y437" s="3">
        <v>199</v>
      </c>
      <c r="Z437" s="3" t="s">
        <v>43</v>
      </c>
      <c r="AA437" s="3" t="s">
        <v>100</v>
      </c>
      <c r="AB437" s="3" t="s">
        <v>101</v>
      </c>
      <c r="AC437" s="3"/>
    </row>
    <row r="438" spans="1:29" x14ac:dyDescent="0.3">
      <c r="A438" s="2" t="s">
        <v>2885</v>
      </c>
      <c r="B438" s="2" t="s">
        <v>2886</v>
      </c>
      <c r="C438" s="2" t="s">
        <v>104</v>
      </c>
      <c r="D438" s="2" t="s">
        <v>2887</v>
      </c>
      <c r="E438" s="2" t="s">
        <v>26</v>
      </c>
      <c r="F438" s="2" t="s">
        <v>352</v>
      </c>
      <c r="G438" s="2" t="s">
        <v>2888</v>
      </c>
      <c r="H438" s="2" t="s">
        <v>1229</v>
      </c>
      <c r="I438" s="2">
        <v>8</v>
      </c>
      <c r="J438" s="2" t="s">
        <v>29</v>
      </c>
      <c r="K438" s="2" t="s">
        <v>334</v>
      </c>
      <c r="L438" s="2" t="s">
        <v>614</v>
      </c>
      <c r="M438" s="2" t="s">
        <v>2889</v>
      </c>
      <c r="N438" s="2" t="s">
        <v>150</v>
      </c>
      <c r="O438" s="2" t="s">
        <v>28</v>
      </c>
      <c r="P438" s="2" t="s">
        <v>151</v>
      </c>
      <c r="Q438" s="2" t="s">
        <v>246</v>
      </c>
      <c r="R438" s="2">
        <v>1</v>
      </c>
      <c r="S438" s="2">
        <v>14908.92</v>
      </c>
      <c r="T438" s="2">
        <v>30</v>
      </c>
      <c r="U438" s="2">
        <v>10436.24</v>
      </c>
      <c r="V438" s="2">
        <v>5771.04</v>
      </c>
      <c r="W438" s="2">
        <v>4665.2</v>
      </c>
      <c r="X438" s="2">
        <v>44.7</v>
      </c>
      <c r="Y438" s="2">
        <v>29</v>
      </c>
      <c r="Z438" s="2" t="s">
        <v>15</v>
      </c>
      <c r="AA438" s="2" t="s">
        <v>100</v>
      </c>
      <c r="AB438" s="2" t="s">
        <v>101</v>
      </c>
      <c r="AC438" s="2"/>
    </row>
    <row r="439" spans="1:29" x14ac:dyDescent="0.3">
      <c r="A439" s="3" t="s">
        <v>2890</v>
      </c>
      <c r="B439" s="3" t="s">
        <v>2891</v>
      </c>
      <c r="C439" s="3" t="s">
        <v>1326</v>
      </c>
      <c r="D439" s="3" t="s">
        <v>2892</v>
      </c>
      <c r="E439" s="3" t="s">
        <v>42</v>
      </c>
      <c r="F439" s="3" t="s">
        <v>2893</v>
      </c>
      <c r="G439" s="3" t="s">
        <v>1313</v>
      </c>
      <c r="H439" s="3" t="s">
        <v>2894</v>
      </c>
      <c r="I439" s="3">
        <v>2</v>
      </c>
      <c r="J439" s="3" t="s">
        <v>39</v>
      </c>
      <c r="K439" s="3" t="s">
        <v>109</v>
      </c>
      <c r="L439" s="3" t="s">
        <v>134</v>
      </c>
      <c r="M439" s="3" t="s">
        <v>2895</v>
      </c>
      <c r="N439" s="3" t="s">
        <v>1051</v>
      </c>
      <c r="O439" s="3" t="s">
        <v>28</v>
      </c>
      <c r="P439" s="3" t="s">
        <v>151</v>
      </c>
      <c r="Q439" s="3" t="s">
        <v>138</v>
      </c>
      <c r="R439" s="3">
        <v>1</v>
      </c>
      <c r="S439" s="3">
        <v>47468.53</v>
      </c>
      <c r="T439" s="3">
        <v>25</v>
      </c>
      <c r="U439" s="3">
        <v>35601.4</v>
      </c>
      <c r="V439" s="3">
        <v>23110.45</v>
      </c>
      <c r="W439" s="3">
        <v>12490.95</v>
      </c>
      <c r="X439" s="3">
        <v>35.090000000000003</v>
      </c>
      <c r="Y439" s="3">
        <v>49</v>
      </c>
      <c r="Z439" s="3" t="s">
        <v>23</v>
      </c>
      <c r="AA439" s="3" t="s">
        <v>100</v>
      </c>
      <c r="AB439" s="3" t="s">
        <v>140</v>
      </c>
      <c r="AC439" s="3"/>
    </row>
    <row r="440" spans="1:29" x14ac:dyDescent="0.3">
      <c r="A440" s="2" t="s">
        <v>2896</v>
      </c>
      <c r="B440" s="2" t="s">
        <v>2897</v>
      </c>
      <c r="C440" s="2" t="s">
        <v>2110</v>
      </c>
      <c r="D440" s="2" t="s">
        <v>2898</v>
      </c>
      <c r="E440" s="2" t="s">
        <v>42</v>
      </c>
      <c r="F440" s="2" t="s">
        <v>2899</v>
      </c>
      <c r="G440" s="2" t="s">
        <v>2900</v>
      </c>
      <c r="H440" s="2" t="s">
        <v>2387</v>
      </c>
      <c r="I440" s="2">
        <v>4</v>
      </c>
      <c r="J440" s="2" t="s">
        <v>29</v>
      </c>
      <c r="K440" s="2" t="s">
        <v>427</v>
      </c>
      <c r="L440" s="2" t="s">
        <v>1081</v>
      </c>
      <c r="M440" s="2" t="s">
        <v>2901</v>
      </c>
      <c r="N440" s="2" t="s">
        <v>852</v>
      </c>
      <c r="O440" s="2" t="s">
        <v>27</v>
      </c>
      <c r="P440" s="2" t="s">
        <v>175</v>
      </c>
      <c r="Q440" s="2" t="s">
        <v>218</v>
      </c>
      <c r="R440" s="2">
        <v>5</v>
      </c>
      <c r="S440" s="2">
        <v>43525.23</v>
      </c>
      <c r="T440" s="2">
        <v>20</v>
      </c>
      <c r="U440" s="2">
        <v>174100.92</v>
      </c>
      <c r="V440" s="2">
        <v>102998.59</v>
      </c>
      <c r="W440" s="2">
        <v>71102.33</v>
      </c>
      <c r="X440" s="2">
        <v>40.840000000000003</v>
      </c>
      <c r="Y440" s="2">
        <v>199</v>
      </c>
      <c r="Z440" s="2" t="s">
        <v>40</v>
      </c>
      <c r="AA440" s="2" t="s">
        <v>100</v>
      </c>
      <c r="AB440" s="2" t="s">
        <v>101</v>
      </c>
      <c r="AC440" s="2">
        <v>3</v>
      </c>
    </row>
    <row r="441" spans="1:29" x14ac:dyDescent="0.3">
      <c r="A441" s="3" t="s">
        <v>2902</v>
      </c>
      <c r="B441" s="3" t="s">
        <v>2903</v>
      </c>
      <c r="C441" s="3" t="s">
        <v>1683</v>
      </c>
      <c r="D441" s="3" t="s">
        <v>2904</v>
      </c>
      <c r="E441" s="3" t="s">
        <v>33</v>
      </c>
      <c r="F441" s="3" t="s">
        <v>2905</v>
      </c>
      <c r="G441" s="3" t="s">
        <v>180</v>
      </c>
      <c r="H441" s="3" t="s">
        <v>736</v>
      </c>
      <c r="I441" s="3">
        <v>6</v>
      </c>
      <c r="J441" s="3" t="s">
        <v>39</v>
      </c>
      <c r="K441" s="3" t="s">
        <v>324</v>
      </c>
      <c r="L441" s="3" t="s">
        <v>325</v>
      </c>
      <c r="M441" s="3" t="s">
        <v>2906</v>
      </c>
      <c r="N441" s="3" t="s">
        <v>136</v>
      </c>
      <c r="O441" s="3" t="s">
        <v>28</v>
      </c>
      <c r="P441" s="3" t="s">
        <v>137</v>
      </c>
      <c r="Q441" s="3" t="s">
        <v>466</v>
      </c>
      <c r="R441" s="3">
        <v>1</v>
      </c>
      <c r="S441" s="3">
        <v>40337.07</v>
      </c>
      <c r="T441" s="3">
        <v>0</v>
      </c>
      <c r="U441" s="3">
        <v>40337.07</v>
      </c>
      <c r="V441" s="3">
        <v>24735.86</v>
      </c>
      <c r="W441" s="3">
        <v>15601.21</v>
      </c>
      <c r="X441" s="3">
        <v>38.68</v>
      </c>
      <c r="Y441" s="3">
        <v>29</v>
      </c>
      <c r="Z441" s="3" t="s">
        <v>30</v>
      </c>
      <c r="AA441" s="3" t="s">
        <v>100</v>
      </c>
      <c r="AB441" s="3" t="s">
        <v>101</v>
      </c>
      <c r="AC441" s="3">
        <v>1</v>
      </c>
    </row>
    <row r="442" spans="1:29" x14ac:dyDescent="0.3">
      <c r="A442" s="2" t="s">
        <v>2907</v>
      </c>
      <c r="B442" s="2" t="s">
        <v>2908</v>
      </c>
      <c r="C442" s="2" t="s">
        <v>973</v>
      </c>
      <c r="D442" s="2" t="s">
        <v>2909</v>
      </c>
      <c r="E442" s="2" t="s">
        <v>33</v>
      </c>
      <c r="F442" s="2" t="s">
        <v>1133</v>
      </c>
      <c r="G442" s="2" t="s">
        <v>2910</v>
      </c>
      <c r="H442" s="2" t="s">
        <v>2074</v>
      </c>
      <c r="I442" s="2">
        <v>2</v>
      </c>
      <c r="J442" s="2" t="s">
        <v>14</v>
      </c>
      <c r="K442" s="2" t="s">
        <v>215</v>
      </c>
      <c r="L442" s="2" t="s">
        <v>215</v>
      </c>
      <c r="M442" s="2" t="s">
        <v>2911</v>
      </c>
      <c r="N442" s="2" t="s">
        <v>256</v>
      </c>
      <c r="O442" s="2" t="s">
        <v>27</v>
      </c>
      <c r="P442" s="2" t="s">
        <v>257</v>
      </c>
      <c r="Q442" s="2" t="s">
        <v>608</v>
      </c>
      <c r="R442" s="2">
        <v>2</v>
      </c>
      <c r="S442" s="2">
        <v>13234.11</v>
      </c>
      <c r="T442" s="2">
        <v>20</v>
      </c>
      <c r="U442" s="2">
        <v>21174.58</v>
      </c>
      <c r="V442" s="2">
        <v>13134.93</v>
      </c>
      <c r="W442" s="2">
        <v>8039.65</v>
      </c>
      <c r="X442" s="2">
        <v>37.97</v>
      </c>
      <c r="Y442" s="2">
        <v>99</v>
      </c>
      <c r="Z442" s="2" t="s">
        <v>43</v>
      </c>
      <c r="AA442" s="2" t="s">
        <v>100</v>
      </c>
      <c r="AB442" s="2" t="s">
        <v>101</v>
      </c>
      <c r="AC442" s="2"/>
    </row>
    <row r="443" spans="1:29" x14ac:dyDescent="0.3">
      <c r="A443" s="3" t="s">
        <v>2912</v>
      </c>
      <c r="B443" s="3" t="s">
        <v>2913</v>
      </c>
      <c r="C443" s="3" t="s">
        <v>1590</v>
      </c>
      <c r="D443" s="3" t="s">
        <v>2914</v>
      </c>
      <c r="E443" s="3" t="s">
        <v>18</v>
      </c>
      <c r="F443" s="3" t="s">
        <v>1282</v>
      </c>
      <c r="G443" s="3" t="s">
        <v>1106</v>
      </c>
      <c r="H443" s="3" t="s">
        <v>2915</v>
      </c>
      <c r="I443" s="3">
        <v>7</v>
      </c>
      <c r="J443" s="3" t="s">
        <v>14</v>
      </c>
      <c r="K443" s="3" t="s">
        <v>95</v>
      </c>
      <c r="L443" s="3" t="s">
        <v>95</v>
      </c>
      <c r="M443" s="3" t="s">
        <v>2916</v>
      </c>
      <c r="N443" s="3" t="s">
        <v>1380</v>
      </c>
      <c r="O443" s="3" t="s">
        <v>28</v>
      </c>
      <c r="P443" s="3" t="s">
        <v>137</v>
      </c>
      <c r="Q443" s="3" t="s">
        <v>608</v>
      </c>
      <c r="R443" s="3">
        <v>5</v>
      </c>
      <c r="S443" s="3">
        <v>28561.72</v>
      </c>
      <c r="T443" s="3">
        <v>0</v>
      </c>
      <c r="U443" s="3">
        <v>142808.6</v>
      </c>
      <c r="V443" s="3">
        <v>68986.36</v>
      </c>
      <c r="W443" s="3">
        <v>73822.240000000005</v>
      </c>
      <c r="X443" s="3">
        <v>51.69</v>
      </c>
      <c r="Y443" s="3">
        <v>49</v>
      </c>
      <c r="Z443" s="3" t="s">
        <v>15</v>
      </c>
      <c r="AA443" s="3" t="s">
        <v>100</v>
      </c>
      <c r="AB443" s="3" t="s">
        <v>101</v>
      </c>
      <c r="AC443" s="3">
        <v>3</v>
      </c>
    </row>
    <row r="444" spans="1:29" x14ac:dyDescent="0.3">
      <c r="A444" s="2" t="s">
        <v>2917</v>
      </c>
      <c r="B444" s="2" t="s">
        <v>2918</v>
      </c>
      <c r="C444" s="2" t="s">
        <v>870</v>
      </c>
      <c r="D444" s="2" t="s">
        <v>2919</v>
      </c>
      <c r="E444" s="2" t="s">
        <v>42</v>
      </c>
      <c r="F444" s="2" t="s">
        <v>2920</v>
      </c>
      <c r="G444" s="2" t="s">
        <v>2921</v>
      </c>
      <c r="H444" s="2" t="s">
        <v>2922</v>
      </c>
      <c r="I444" s="2">
        <v>6</v>
      </c>
      <c r="J444" s="2" t="s">
        <v>39</v>
      </c>
      <c r="K444" s="2" t="s">
        <v>225</v>
      </c>
      <c r="L444" s="2" t="s">
        <v>225</v>
      </c>
      <c r="M444" s="2" t="s">
        <v>2923</v>
      </c>
      <c r="N444" s="2" t="s">
        <v>924</v>
      </c>
      <c r="O444" s="2" t="s">
        <v>13</v>
      </c>
      <c r="P444" s="2" t="s">
        <v>228</v>
      </c>
      <c r="Q444" s="2" t="s">
        <v>99</v>
      </c>
      <c r="R444" s="2">
        <v>1</v>
      </c>
      <c r="S444" s="2">
        <v>37891.24</v>
      </c>
      <c r="T444" s="2">
        <v>10</v>
      </c>
      <c r="U444" s="2">
        <v>34102.120000000003</v>
      </c>
      <c r="V444" s="2">
        <v>17037.5</v>
      </c>
      <c r="W444" s="2">
        <v>17064.62</v>
      </c>
      <c r="X444" s="2">
        <v>50.04</v>
      </c>
      <c r="Y444" s="2">
        <v>99</v>
      </c>
      <c r="Z444" s="2" t="s">
        <v>40</v>
      </c>
      <c r="AA444" s="2" t="s">
        <v>100</v>
      </c>
      <c r="AB444" s="2" t="s">
        <v>101</v>
      </c>
      <c r="AC444" s="2"/>
    </row>
    <row r="445" spans="1:29" x14ac:dyDescent="0.3">
      <c r="A445" s="3" t="s">
        <v>2924</v>
      </c>
      <c r="B445" s="3" t="s">
        <v>2925</v>
      </c>
      <c r="C445" s="3" t="s">
        <v>1675</v>
      </c>
      <c r="D445" s="3" t="s">
        <v>2926</v>
      </c>
      <c r="E445" s="3" t="s">
        <v>26</v>
      </c>
      <c r="F445" s="3" t="s">
        <v>2927</v>
      </c>
      <c r="G445" s="3" t="s">
        <v>2928</v>
      </c>
      <c r="H445" s="3" t="s">
        <v>2929</v>
      </c>
      <c r="I445" s="3">
        <v>2</v>
      </c>
      <c r="J445" s="3" t="s">
        <v>29</v>
      </c>
      <c r="K445" s="3" t="s">
        <v>427</v>
      </c>
      <c r="L445" s="3" t="s">
        <v>428</v>
      </c>
      <c r="M445" s="3" t="s">
        <v>2930</v>
      </c>
      <c r="N445" s="3" t="s">
        <v>518</v>
      </c>
      <c r="O445" s="3" t="s">
        <v>19</v>
      </c>
      <c r="P445" s="3" t="s">
        <v>365</v>
      </c>
      <c r="Q445" s="3" t="s">
        <v>608</v>
      </c>
      <c r="R445" s="3">
        <v>3</v>
      </c>
      <c r="S445" s="3">
        <v>38592.5</v>
      </c>
      <c r="T445" s="3">
        <v>30</v>
      </c>
      <c r="U445" s="3">
        <v>81044.25</v>
      </c>
      <c r="V445" s="3">
        <v>44518.080000000002</v>
      </c>
      <c r="W445" s="3">
        <v>36526.17</v>
      </c>
      <c r="X445" s="3">
        <v>45.07</v>
      </c>
      <c r="Y445" s="3">
        <v>49</v>
      </c>
      <c r="Z445" s="3" t="s">
        <v>47</v>
      </c>
      <c r="AA445" s="3" t="s">
        <v>100</v>
      </c>
      <c r="AB445" s="3" t="s">
        <v>140</v>
      </c>
      <c r="AC445" s="3">
        <v>3</v>
      </c>
    </row>
    <row r="446" spans="1:29" x14ac:dyDescent="0.3">
      <c r="A446" s="2" t="s">
        <v>2931</v>
      </c>
      <c r="B446" s="2" t="s">
        <v>2932</v>
      </c>
      <c r="C446" s="2" t="s">
        <v>1911</v>
      </c>
      <c r="D446" s="2" t="s">
        <v>2933</v>
      </c>
      <c r="E446" s="2" t="s">
        <v>26</v>
      </c>
      <c r="F446" s="2" t="s">
        <v>2934</v>
      </c>
      <c r="G446" s="2" t="s">
        <v>2935</v>
      </c>
      <c r="H446" s="2" t="s">
        <v>2294</v>
      </c>
      <c r="I446" s="2">
        <v>8</v>
      </c>
      <c r="J446" s="2" t="s">
        <v>39</v>
      </c>
      <c r="K446" s="2" t="s">
        <v>193</v>
      </c>
      <c r="L446" s="2" t="s">
        <v>193</v>
      </c>
      <c r="M446" s="2" t="s">
        <v>2936</v>
      </c>
      <c r="N446" s="2" t="s">
        <v>456</v>
      </c>
      <c r="O446" s="2" t="s">
        <v>21</v>
      </c>
      <c r="P446" s="2" t="s">
        <v>206</v>
      </c>
      <c r="Q446" s="2" t="s">
        <v>207</v>
      </c>
      <c r="R446" s="2">
        <v>3</v>
      </c>
      <c r="S446" s="2">
        <v>5746.98</v>
      </c>
      <c r="T446" s="2">
        <v>10</v>
      </c>
      <c r="U446" s="2">
        <v>15516.85</v>
      </c>
      <c r="V446" s="2">
        <v>9320.9</v>
      </c>
      <c r="W446" s="2">
        <v>6195.95</v>
      </c>
      <c r="X446" s="2">
        <v>39.93</v>
      </c>
      <c r="Y446" s="2">
        <v>29</v>
      </c>
      <c r="Z446" s="2" t="s">
        <v>23</v>
      </c>
      <c r="AA446" s="2" t="s">
        <v>139</v>
      </c>
      <c r="AB446" s="2" t="s">
        <v>140</v>
      </c>
      <c r="AC446" s="2"/>
    </row>
    <row r="447" spans="1:29" x14ac:dyDescent="0.3">
      <c r="A447" s="3" t="s">
        <v>2937</v>
      </c>
      <c r="B447" s="3" t="s">
        <v>958</v>
      </c>
      <c r="C447" s="3" t="s">
        <v>1683</v>
      </c>
      <c r="D447" s="3" t="s">
        <v>2938</v>
      </c>
      <c r="E447" s="3" t="s">
        <v>33</v>
      </c>
      <c r="F447" s="3" t="s">
        <v>1622</v>
      </c>
      <c r="G447" s="3" t="s">
        <v>1242</v>
      </c>
      <c r="H447" s="3" t="s">
        <v>1726</v>
      </c>
      <c r="I447" s="3">
        <v>5</v>
      </c>
      <c r="J447" s="3" t="s">
        <v>29</v>
      </c>
      <c r="K447" s="3" t="s">
        <v>148</v>
      </c>
      <c r="L447" s="3" t="s">
        <v>148</v>
      </c>
      <c r="M447" s="3" t="s">
        <v>2939</v>
      </c>
      <c r="N447" s="3" t="s">
        <v>924</v>
      </c>
      <c r="O447" s="3" t="s">
        <v>13</v>
      </c>
      <c r="P447" s="3" t="s">
        <v>228</v>
      </c>
      <c r="Q447" s="3" t="s">
        <v>287</v>
      </c>
      <c r="R447" s="3">
        <v>1</v>
      </c>
      <c r="S447" s="3">
        <v>27620.35</v>
      </c>
      <c r="T447" s="3">
        <v>10</v>
      </c>
      <c r="U447" s="3">
        <v>24858.31</v>
      </c>
      <c r="V447" s="3">
        <v>16099.75</v>
      </c>
      <c r="W447" s="3">
        <v>8758.56</v>
      </c>
      <c r="X447" s="3">
        <v>35.229999999999997</v>
      </c>
      <c r="Y447" s="3">
        <v>99</v>
      </c>
      <c r="Z447" s="3" t="s">
        <v>15</v>
      </c>
      <c r="AA447" s="3" t="s">
        <v>100</v>
      </c>
      <c r="AB447" s="3" t="s">
        <v>101</v>
      </c>
      <c r="AC447" s="3">
        <v>5</v>
      </c>
    </row>
    <row r="448" spans="1:29" x14ac:dyDescent="0.3">
      <c r="A448" s="2" t="s">
        <v>2940</v>
      </c>
      <c r="B448" s="2" t="s">
        <v>2941</v>
      </c>
      <c r="C448" s="2" t="s">
        <v>2729</v>
      </c>
      <c r="D448" s="2" t="s">
        <v>2942</v>
      </c>
      <c r="E448" s="2" t="s">
        <v>26</v>
      </c>
      <c r="F448" s="2" t="s">
        <v>2943</v>
      </c>
      <c r="G448" s="2" t="s">
        <v>2944</v>
      </c>
      <c r="H448" s="2" t="s">
        <v>2945</v>
      </c>
      <c r="I448" s="2">
        <v>8</v>
      </c>
      <c r="J448" s="2" t="s">
        <v>29</v>
      </c>
      <c r="K448" s="2" t="s">
        <v>160</v>
      </c>
      <c r="L448" s="2" t="s">
        <v>559</v>
      </c>
      <c r="M448" s="2" t="s">
        <v>2946</v>
      </c>
      <c r="N448" s="2" t="s">
        <v>374</v>
      </c>
      <c r="O448" s="2" t="s">
        <v>21</v>
      </c>
      <c r="P448" s="2" t="s">
        <v>196</v>
      </c>
      <c r="Q448" s="2" t="s">
        <v>207</v>
      </c>
      <c r="R448" s="2">
        <v>2</v>
      </c>
      <c r="S448" s="2">
        <v>11783.25</v>
      </c>
      <c r="T448" s="2">
        <v>25</v>
      </c>
      <c r="U448" s="2">
        <v>17674.88</v>
      </c>
      <c r="V448" s="2">
        <v>9202.58</v>
      </c>
      <c r="W448" s="2">
        <v>8472.2999999999993</v>
      </c>
      <c r="X448" s="2">
        <v>47.93</v>
      </c>
      <c r="Y448" s="2">
        <v>149</v>
      </c>
      <c r="Z448" s="2" t="s">
        <v>47</v>
      </c>
      <c r="AA448" s="2" t="s">
        <v>672</v>
      </c>
      <c r="AB448" s="2" t="s">
        <v>101</v>
      </c>
      <c r="AC448" s="2"/>
    </row>
    <row r="449" spans="1:29" x14ac:dyDescent="0.3">
      <c r="A449" s="3" t="s">
        <v>2947</v>
      </c>
      <c r="B449" s="3" t="s">
        <v>2948</v>
      </c>
      <c r="C449" s="3" t="s">
        <v>300</v>
      </c>
      <c r="D449" s="3" t="s">
        <v>2949</v>
      </c>
      <c r="E449" s="3" t="s">
        <v>26</v>
      </c>
      <c r="F449" s="3" t="s">
        <v>2950</v>
      </c>
      <c r="G449" s="3" t="s">
        <v>292</v>
      </c>
      <c r="H449" s="3" t="s">
        <v>2312</v>
      </c>
      <c r="I449" s="3">
        <v>2</v>
      </c>
      <c r="J449" s="3" t="s">
        <v>39</v>
      </c>
      <c r="K449" s="3" t="s">
        <v>193</v>
      </c>
      <c r="L449" s="3" t="s">
        <v>193</v>
      </c>
      <c r="M449" s="3" t="s">
        <v>2951</v>
      </c>
      <c r="N449" s="3" t="s">
        <v>1122</v>
      </c>
      <c r="O449" s="3" t="s">
        <v>27</v>
      </c>
      <c r="P449" s="3" t="s">
        <v>257</v>
      </c>
      <c r="Q449" s="3" t="s">
        <v>400</v>
      </c>
      <c r="R449" s="3">
        <v>5</v>
      </c>
      <c r="S449" s="3">
        <v>47230.78</v>
      </c>
      <c r="T449" s="3">
        <v>15</v>
      </c>
      <c r="U449" s="3">
        <v>200730.82</v>
      </c>
      <c r="V449" s="3">
        <v>119878.52</v>
      </c>
      <c r="W449" s="3">
        <v>80852.3</v>
      </c>
      <c r="X449" s="3">
        <v>40.28</v>
      </c>
      <c r="Y449" s="3">
        <v>99</v>
      </c>
      <c r="Z449" s="3" t="s">
        <v>47</v>
      </c>
      <c r="AA449" s="3" t="s">
        <v>100</v>
      </c>
      <c r="AB449" s="3" t="s">
        <v>101</v>
      </c>
      <c r="AC449" s="3">
        <v>2</v>
      </c>
    </row>
    <row r="450" spans="1:29" x14ac:dyDescent="0.3">
      <c r="A450" s="2" t="s">
        <v>2952</v>
      </c>
      <c r="B450" s="2" t="s">
        <v>2953</v>
      </c>
      <c r="C450" s="2" t="s">
        <v>450</v>
      </c>
      <c r="D450" s="2" t="s">
        <v>2954</v>
      </c>
      <c r="E450" s="2" t="s">
        <v>26</v>
      </c>
      <c r="F450" s="2" t="s">
        <v>1835</v>
      </c>
      <c r="G450" s="2" t="s">
        <v>2955</v>
      </c>
      <c r="H450" s="2" t="s">
        <v>1824</v>
      </c>
      <c r="I450" s="2">
        <v>7</v>
      </c>
      <c r="J450" s="2" t="s">
        <v>22</v>
      </c>
      <c r="K450" s="2" t="s">
        <v>738</v>
      </c>
      <c r="L450" s="2" t="s">
        <v>738</v>
      </c>
      <c r="M450" s="2" t="s">
        <v>2956</v>
      </c>
      <c r="N450" s="2" t="s">
        <v>163</v>
      </c>
      <c r="O450" s="2" t="s">
        <v>21</v>
      </c>
      <c r="P450" s="2" t="s">
        <v>126</v>
      </c>
      <c r="Q450" s="2" t="s">
        <v>207</v>
      </c>
      <c r="R450" s="2">
        <v>1</v>
      </c>
      <c r="S450" s="2">
        <v>11781.38</v>
      </c>
      <c r="T450" s="2">
        <v>5</v>
      </c>
      <c r="U450" s="2">
        <v>11192.31</v>
      </c>
      <c r="V450" s="2">
        <v>6302.96</v>
      </c>
      <c r="W450" s="2">
        <v>4889.3500000000004</v>
      </c>
      <c r="X450" s="2">
        <v>43.68</v>
      </c>
      <c r="Y450" s="2">
        <v>0</v>
      </c>
      <c r="Z450" s="2" t="s">
        <v>23</v>
      </c>
      <c r="AA450" s="2" t="s">
        <v>100</v>
      </c>
      <c r="AB450" s="2" t="s">
        <v>101</v>
      </c>
      <c r="AC450" s="2">
        <v>1</v>
      </c>
    </row>
    <row r="451" spans="1:29" x14ac:dyDescent="0.3">
      <c r="A451" s="3" t="s">
        <v>2957</v>
      </c>
      <c r="B451" s="3" t="s">
        <v>2958</v>
      </c>
      <c r="C451" s="3" t="s">
        <v>432</v>
      </c>
      <c r="D451" s="3" t="s">
        <v>2959</v>
      </c>
      <c r="E451" s="3" t="s">
        <v>33</v>
      </c>
      <c r="F451" s="3" t="s">
        <v>922</v>
      </c>
      <c r="G451" s="3" t="s">
        <v>235</v>
      </c>
      <c r="H451" s="3" t="s">
        <v>2910</v>
      </c>
      <c r="I451" s="3">
        <v>7</v>
      </c>
      <c r="J451" s="3" t="s">
        <v>29</v>
      </c>
      <c r="K451" s="3" t="s">
        <v>160</v>
      </c>
      <c r="L451" s="3" t="s">
        <v>976</v>
      </c>
      <c r="M451" s="3" t="s">
        <v>2960</v>
      </c>
      <c r="N451" s="3" t="s">
        <v>185</v>
      </c>
      <c r="O451" s="3" t="s">
        <v>28</v>
      </c>
      <c r="P451" s="3" t="s">
        <v>151</v>
      </c>
      <c r="Q451" s="3" t="s">
        <v>197</v>
      </c>
      <c r="R451" s="3">
        <v>3</v>
      </c>
      <c r="S451" s="3">
        <v>7932.26</v>
      </c>
      <c r="T451" s="3">
        <v>30</v>
      </c>
      <c r="U451" s="3">
        <v>16657.75</v>
      </c>
      <c r="V451" s="3">
        <v>9230.84</v>
      </c>
      <c r="W451" s="3">
        <v>7426.91</v>
      </c>
      <c r="X451" s="3">
        <v>44.59</v>
      </c>
      <c r="Y451" s="3">
        <v>29</v>
      </c>
      <c r="Z451" s="3" t="s">
        <v>43</v>
      </c>
      <c r="AA451" s="3" t="s">
        <v>186</v>
      </c>
      <c r="AB451" s="3" t="s">
        <v>101</v>
      </c>
      <c r="AC451" s="3"/>
    </row>
    <row r="452" spans="1:29" x14ac:dyDescent="0.3">
      <c r="A452" s="2" t="s">
        <v>2961</v>
      </c>
      <c r="B452" s="2" t="s">
        <v>2962</v>
      </c>
      <c r="C452" s="2" t="s">
        <v>840</v>
      </c>
      <c r="D452" s="2" t="s">
        <v>2963</v>
      </c>
      <c r="E452" s="2" t="s">
        <v>18</v>
      </c>
      <c r="F452" s="2" t="s">
        <v>1373</v>
      </c>
      <c r="G452" s="2" t="s">
        <v>975</v>
      </c>
      <c r="H452" s="2" t="s">
        <v>436</v>
      </c>
      <c r="I452" s="2">
        <v>6</v>
      </c>
      <c r="J452" s="2" t="s">
        <v>39</v>
      </c>
      <c r="K452" s="2" t="s">
        <v>324</v>
      </c>
      <c r="L452" s="2" t="s">
        <v>325</v>
      </c>
      <c r="M452" s="2" t="s">
        <v>2964</v>
      </c>
      <c r="N452" s="2" t="s">
        <v>740</v>
      </c>
      <c r="O452" s="2" t="s">
        <v>21</v>
      </c>
      <c r="P452" s="2" t="s">
        <v>126</v>
      </c>
      <c r="Q452" s="2" t="s">
        <v>114</v>
      </c>
      <c r="R452" s="2">
        <v>5</v>
      </c>
      <c r="S452" s="2">
        <v>5285.6</v>
      </c>
      <c r="T452" s="2">
        <v>25</v>
      </c>
      <c r="U452" s="2">
        <v>19821</v>
      </c>
      <c r="V452" s="2">
        <v>10983.05</v>
      </c>
      <c r="W452" s="2">
        <v>8837.9500000000007</v>
      </c>
      <c r="X452" s="2">
        <v>44.59</v>
      </c>
      <c r="Y452" s="2">
        <v>0</v>
      </c>
      <c r="Z452" s="2" t="s">
        <v>48</v>
      </c>
      <c r="AA452" s="2" t="s">
        <v>186</v>
      </c>
      <c r="AB452" s="2" t="s">
        <v>101</v>
      </c>
      <c r="AC452" s="2"/>
    </row>
    <row r="453" spans="1:29" x14ac:dyDescent="0.3">
      <c r="A453" s="3" t="s">
        <v>2965</v>
      </c>
      <c r="B453" s="3" t="s">
        <v>2966</v>
      </c>
      <c r="C453" s="3" t="s">
        <v>339</v>
      </c>
      <c r="D453" s="3" t="s">
        <v>2967</v>
      </c>
      <c r="E453" s="3" t="s">
        <v>33</v>
      </c>
      <c r="F453" s="3" t="s">
        <v>1592</v>
      </c>
      <c r="G453" s="3" t="s">
        <v>2968</v>
      </c>
      <c r="H453" s="3" t="s">
        <v>1833</v>
      </c>
      <c r="I453" s="3">
        <v>5</v>
      </c>
      <c r="J453" s="3" t="s">
        <v>29</v>
      </c>
      <c r="K453" s="3" t="s">
        <v>427</v>
      </c>
      <c r="L453" s="3" t="s">
        <v>428</v>
      </c>
      <c r="M453" s="3" t="s">
        <v>2969</v>
      </c>
      <c r="N453" s="3" t="s">
        <v>1611</v>
      </c>
      <c r="O453" s="3" t="s">
        <v>19</v>
      </c>
      <c r="P453" s="3" t="s">
        <v>365</v>
      </c>
      <c r="Q453" s="3" t="s">
        <v>287</v>
      </c>
      <c r="R453" s="3">
        <v>3</v>
      </c>
      <c r="S453" s="3">
        <v>16499.02</v>
      </c>
      <c r="T453" s="3">
        <v>5</v>
      </c>
      <c r="U453" s="3">
        <v>47022.21</v>
      </c>
      <c r="V453" s="3">
        <v>23342.75</v>
      </c>
      <c r="W453" s="3">
        <v>23679.46</v>
      </c>
      <c r="X453" s="3">
        <v>50.36</v>
      </c>
      <c r="Y453" s="3">
        <v>49</v>
      </c>
      <c r="Z453" s="3" t="s">
        <v>23</v>
      </c>
      <c r="AA453" s="3" t="s">
        <v>100</v>
      </c>
      <c r="AB453" s="3" t="s">
        <v>101</v>
      </c>
      <c r="AC453" s="3">
        <v>1</v>
      </c>
    </row>
    <row r="454" spans="1:29" x14ac:dyDescent="0.3">
      <c r="A454" s="2" t="s">
        <v>2970</v>
      </c>
      <c r="B454" s="2" t="s">
        <v>2971</v>
      </c>
      <c r="C454" s="2" t="s">
        <v>554</v>
      </c>
      <c r="D454" s="2" t="s">
        <v>2972</v>
      </c>
      <c r="E454" s="2" t="s">
        <v>42</v>
      </c>
      <c r="F454" s="2" t="s">
        <v>1135</v>
      </c>
      <c r="G454" s="2" t="s">
        <v>2973</v>
      </c>
      <c r="H454" s="2" t="s">
        <v>2974</v>
      </c>
      <c r="I454" s="2">
        <v>2</v>
      </c>
      <c r="J454" s="2" t="s">
        <v>29</v>
      </c>
      <c r="K454" s="2" t="s">
        <v>834</v>
      </c>
      <c r="L454" s="2" t="s">
        <v>1000</v>
      </c>
      <c r="M454" s="2" t="s">
        <v>2975</v>
      </c>
      <c r="N454" s="2" t="s">
        <v>374</v>
      </c>
      <c r="O454" s="2" t="s">
        <v>21</v>
      </c>
      <c r="P454" s="2" t="s">
        <v>196</v>
      </c>
      <c r="Q454" s="2" t="s">
        <v>127</v>
      </c>
      <c r="R454" s="2">
        <v>5</v>
      </c>
      <c r="S454" s="2">
        <v>9420.4599999999991</v>
      </c>
      <c r="T454" s="2">
        <v>30</v>
      </c>
      <c r="U454" s="2">
        <v>32971.61</v>
      </c>
      <c r="V454" s="2">
        <v>16369.62</v>
      </c>
      <c r="W454" s="2">
        <v>16601.990000000002</v>
      </c>
      <c r="X454" s="2">
        <v>50.35</v>
      </c>
      <c r="Y454" s="2">
        <v>99</v>
      </c>
      <c r="Z454" s="2" t="s">
        <v>40</v>
      </c>
      <c r="AA454" s="2" t="s">
        <v>100</v>
      </c>
      <c r="AB454" s="2" t="s">
        <v>101</v>
      </c>
      <c r="AC454" s="2">
        <v>3</v>
      </c>
    </row>
    <row r="455" spans="1:29" x14ac:dyDescent="0.3">
      <c r="A455" s="3" t="s">
        <v>2976</v>
      </c>
      <c r="B455" s="3" t="s">
        <v>2977</v>
      </c>
      <c r="C455" s="3" t="s">
        <v>619</v>
      </c>
      <c r="D455" s="3" t="s">
        <v>2978</v>
      </c>
      <c r="E455" s="3" t="s">
        <v>42</v>
      </c>
      <c r="F455" s="3" t="s">
        <v>2979</v>
      </c>
      <c r="G455" s="3" t="s">
        <v>2980</v>
      </c>
      <c r="H455" s="3" t="s">
        <v>1345</v>
      </c>
      <c r="I455" s="3">
        <v>4</v>
      </c>
      <c r="J455" s="3" t="s">
        <v>14</v>
      </c>
      <c r="K455" s="3" t="s">
        <v>215</v>
      </c>
      <c r="L455" s="3" t="s">
        <v>215</v>
      </c>
      <c r="M455" s="3" t="s">
        <v>2981</v>
      </c>
      <c r="N455" s="3" t="s">
        <v>592</v>
      </c>
      <c r="O455" s="3" t="s">
        <v>21</v>
      </c>
      <c r="P455" s="3" t="s">
        <v>206</v>
      </c>
      <c r="Q455" s="3" t="s">
        <v>114</v>
      </c>
      <c r="R455" s="3">
        <v>4</v>
      </c>
      <c r="S455" s="3">
        <v>21333.46</v>
      </c>
      <c r="T455" s="3">
        <v>25</v>
      </c>
      <c r="U455" s="3">
        <v>64000.38</v>
      </c>
      <c r="V455" s="3">
        <v>28874.62</v>
      </c>
      <c r="W455" s="3">
        <v>35125.760000000002</v>
      </c>
      <c r="X455" s="3">
        <v>54.88</v>
      </c>
      <c r="Y455" s="3">
        <v>199</v>
      </c>
      <c r="Z455" s="3" t="s">
        <v>43</v>
      </c>
      <c r="AA455" s="3" t="s">
        <v>672</v>
      </c>
      <c r="AB455" s="3" t="s">
        <v>101</v>
      </c>
      <c r="AC455" s="3"/>
    </row>
    <row r="456" spans="1:29" x14ac:dyDescent="0.3">
      <c r="A456" s="2" t="s">
        <v>2982</v>
      </c>
      <c r="B456" s="2" t="s">
        <v>602</v>
      </c>
      <c r="C456" s="2" t="s">
        <v>2622</v>
      </c>
      <c r="D456" s="2" t="s">
        <v>2983</v>
      </c>
      <c r="E456" s="2" t="s">
        <v>42</v>
      </c>
      <c r="F456" s="2" t="s">
        <v>396</v>
      </c>
      <c r="G456" s="2" t="s">
        <v>2617</v>
      </c>
      <c r="H456" s="2" t="s">
        <v>397</v>
      </c>
      <c r="I456" s="2">
        <v>4</v>
      </c>
      <c r="J456" s="2" t="s">
        <v>22</v>
      </c>
      <c r="K456" s="2" t="s">
        <v>122</v>
      </c>
      <c r="L456" s="2" t="s">
        <v>236</v>
      </c>
      <c r="M456" s="2" t="s">
        <v>2984</v>
      </c>
      <c r="N456" s="2" t="s">
        <v>631</v>
      </c>
      <c r="O456" s="2" t="s">
        <v>19</v>
      </c>
      <c r="P456" s="2" t="s">
        <v>297</v>
      </c>
      <c r="Q456" s="2" t="s">
        <v>152</v>
      </c>
      <c r="R456" s="2">
        <v>2</v>
      </c>
      <c r="S456" s="2">
        <v>9705.76</v>
      </c>
      <c r="T456" s="2">
        <v>20</v>
      </c>
      <c r="U456" s="2">
        <v>15529.22</v>
      </c>
      <c r="V456" s="2">
        <v>7448.9</v>
      </c>
      <c r="W456" s="2">
        <v>8080.32</v>
      </c>
      <c r="X456" s="2">
        <v>52.03</v>
      </c>
      <c r="Y456" s="2">
        <v>199</v>
      </c>
      <c r="Z456" s="2" t="s">
        <v>23</v>
      </c>
      <c r="AA456" s="2" t="s">
        <v>139</v>
      </c>
      <c r="AB456" s="2" t="s">
        <v>140</v>
      </c>
      <c r="AC456" s="2"/>
    </row>
    <row r="457" spans="1:29" x14ac:dyDescent="0.3">
      <c r="A457" s="3" t="s">
        <v>2985</v>
      </c>
      <c r="B457" s="3" t="s">
        <v>2986</v>
      </c>
      <c r="C457" s="3" t="s">
        <v>1880</v>
      </c>
      <c r="D457" s="3" t="s">
        <v>1086</v>
      </c>
      <c r="E457" s="3" t="s">
        <v>18</v>
      </c>
      <c r="F457" s="3" t="s">
        <v>2987</v>
      </c>
      <c r="G457" s="3" t="s">
        <v>1661</v>
      </c>
      <c r="H457" s="3" t="s">
        <v>872</v>
      </c>
      <c r="I457" s="3">
        <v>5</v>
      </c>
      <c r="J457" s="3" t="s">
        <v>39</v>
      </c>
      <c r="K457" s="3" t="s">
        <v>193</v>
      </c>
      <c r="L457" s="3" t="s">
        <v>193</v>
      </c>
      <c r="M457" s="3" t="s">
        <v>2988</v>
      </c>
      <c r="N457" s="3" t="s">
        <v>399</v>
      </c>
      <c r="O457" s="3" t="s">
        <v>21</v>
      </c>
      <c r="P457" s="3" t="s">
        <v>196</v>
      </c>
      <c r="Q457" s="3" t="s">
        <v>218</v>
      </c>
      <c r="R457" s="3">
        <v>4</v>
      </c>
      <c r="S457" s="3">
        <v>32457.8</v>
      </c>
      <c r="T457" s="3">
        <v>10</v>
      </c>
      <c r="U457" s="3">
        <v>116848.08</v>
      </c>
      <c r="V457" s="3">
        <v>62957.58</v>
      </c>
      <c r="W457" s="3">
        <v>53890.5</v>
      </c>
      <c r="X457" s="3">
        <v>46.12</v>
      </c>
      <c r="Y457" s="3">
        <v>149</v>
      </c>
      <c r="Z457" s="3" t="s">
        <v>23</v>
      </c>
      <c r="AA457" s="3" t="s">
        <v>139</v>
      </c>
      <c r="AB457" s="3" t="s">
        <v>140</v>
      </c>
      <c r="AC457" s="3"/>
    </row>
    <row r="458" spans="1:29" x14ac:dyDescent="0.3">
      <c r="A458" s="2" t="s">
        <v>2989</v>
      </c>
      <c r="B458" s="2" t="s">
        <v>2990</v>
      </c>
      <c r="C458" s="2" t="s">
        <v>1091</v>
      </c>
      <c r="D458" s="2" t="s">
        <v>2991</v>
      </c>
      <c r="E458" s="2" t="s">
        <v>42</v>
      </c>
      <c r="F458" s="2" t="s">
        <v>1569</v>
      </c>
      <c r="G458" s="2" t="s">
        <v>2403</v>
      </c>
      <c r="H458" s="2" t="s">
        <v>2992</v>
      </c>
      <c r="I458" s="2">
        <v>7</v>
      </c>
      <c r="J458" s="2" t="s">
        <v>29</v>
      </c>
      <c r="K458" s="2" t="s">
        <v>427</v>
      </c>
      <c r="L458" s="2" t="s">
        <v>428</v>
      </c>
      <c r="M458" s="2" t="s">
        <v>1896</v>
      </c>
      <c r="N458" s="2" t="s">
        <v>931</v>
      </c>
      <c r="O458" s="2" t="s">
        <v>13</v>
      </c>
      <c r="P458" s="2" t="s">
        <v>419</v>
      </c>
      <c r="Q458" s="2" t="s">
        <v>99</v>
      </c>
      <c r="R458" s="2">
        <v>5</v>
      </c>
      <c r="S458" s="2">
        <v>39658.910000000003</v>
      </c>
      <c r="T458" s="2">
        <v>10</v>
      </c>
      <c r="U458" s="2">
        <v>178465.1</v>
      </c>
      <c r="V458" s="2">
        <v>110928.66</v>
      </c>
      <c r="W458" s="2">
        <v>67536.44</v>
      </c>
      <c r="X458" s="2">
        <v>37.840000000000003</v>
      </c>
      <c r="Y458" s="2">
        <v>49</v>
      </c>
      <c r="Z458" s="2" t="s">
        <v>47</v>
      </c>
      <c r="AA458" s="2" t="s">
        <v>100</v>
      </c>
      <c r="AB458" s="2" t="s">
        <v>101</v>
      </c>
      <c r="AC458" s="2">
        <v>2</v>
      </c>
    </row>
    <row r="459" spans="1:29" x14ac:dyDescent="0.3">
      <c r="A459" s="3" t="s">
        <v>2993</v>
      </c>
      <c r="B459" s="3" t="s">
        <v>2994</v>
      </c>
      <c r="C459" s="3" t="s">
        <v>1233</v>
      </c>
      <c r="D459" s="3" t="s">
        <v>2995</v>
      </c>
      <c r="E459" s="3" t="s">
        <v>18</v>
      </c>
      <c r="F459" s="3" t="s">
        <v>809</v>
      </c>
      <c r="G459" s="3" t="s">
        <v>2996</v>
      </c>
      <c r="H459" s="3" t="s">
        <v>1033</v>
      </c>
      <c r="I459" s="3">
        <v>7</v>
      </c>
      <c r="J459" s="3" t="s">
        <v>29</v>
      </c>
      <c r="K459" s="3" t="s">
        <v>334</v>
      </c>
      <c r="L459" s="3" t="s">
        <v>335</v>
      </c>
      <c r="M459" s="3" t="s">
        <v>2997</v>
      </c>
      <c r="N459" s="3" t="s">
        <v>600</v>
      </c>
      <c r="O459" s="3" t="s">
        <v>27</v>
      </c>
      <c r="P459" s="3" t="s">
        <v>175</v>
      </c>
      <c r="Q459" s="3" t="s">
        <v>99</v>
      </c>
      <c r="R459" s="3">
        <v>3</v>
      </c>
      <c r="S459" s="3">
        <v>7438.32</v>
      </c>
      <c r="T459" s="3">
        <v>5</v>
      </c>
      <c r="U459" s="3">
        <v>21199.21</v>
      </c>
      <c r="V459" s="3">
        <v>10063.08</v>
      </c>
      <c r="W459" s="3">
        <v>11136.13</v>
      </c>
      <c r="X459" s="3">
        <v>52.53</v>
      </c>
      <c r="Y459" s="3">
        <v>29</v>
      </c>
      <c r="Z459" s="3" t="s">
        <v>23</v>
      </c>
      <c r="AA459" s="3" t="s">
        <v>100</v>
      </c>
      <c r="AB459" s="3" t="s">
        <v>101</v>
      </c>
      <c r="AC459" s="3">
        <v>1</v>
      </c>
    </row>
    <row r="460" spans="1:29" x14ac:dyDescent="0.3">
      <c r="A460" s="2" t="s">
        <v>2998</v>
      </c>
      <c r="B460" s="2" t="s">
        <v>2999</v>
      </c>
      <c r="C460" s="2" t="s">
        <v>2124</v>
      </c>
      <c r="D460" s="2" t="s">
        <v>3000</v>
      </c>
      <c r="E460" s="2" t="s">
        <v>18</v>
      </c>
      <c r="F460" s="2" t="s">
        <v>1141</v>
      </c>
      <c r="G460" s="2" t="s">
        <v>2504</v>
      </c>
      <c r="H460" s="2" t="s">
        <v>1940</v>
      </c>
      <c r="I460" s="2">
        <v>6</v>
      </c>
      <c r="J460" s="2" t="s">
        <v>14</v>
      </c>
      <c r="K460" s="2" t="s">
        <v>712</v>
      </c>
      <c r="L460" s="2" t="s">
        <v>712</v>
      </c>
      <c r="M460" s="2" t="s">
        <v>3001</v>
      </c>
      <c r="N460" s="2" t="s">
        <v>409</v>
      </c>
      <c r="O460" s="2" t="s">
        <v>21</v>
      </c>
      <c r="P460" s="2" t="s">
        <v>196</v>
      </c>
      <c r="Q460" s="2" t="s">
        <v>466</v>
      </c>
      <c r="R460" s="2">
        <v>1</v>
      </c>
      <c r="S460" s="2">
        <v>33098.69</v>
      </c>
      <c r="T460" s="2">
        <v>20</v>
      </c>
      <c r="U460" s="2">
        <v>26478.95</v>
      </c>
      <c r="V460" s="2">
        <v>18059.400000000001</v>
      </c>
      <c r="W460" s="2">
        <v>8419.5499999999993</v>
      </c>
      <c r="X460" s="2">
        <v>31.8</v>
      </c>
      <c r="Y460" s="2">
        <v>149</v>
      </c>
      <c r="Z460" s="2" t="s">
        <v>30</v>
      </c>
      <c r="AA460" s="2" t="s">
        <v>100</v>
      </c>
      <c r="AB460" s="2" t="s">
        <v>101</v>
      </c>
      <c r="AC460" s="2">
        <v>1</v>
      </c>
    </row>
    <row r="461" spans="1:29" x14ac:dyDescent="0.3">
      <c r="A461" s="3" t="s">
        <v>3002</v>
      </c>
      <c r="B461" s="3" t="s">
        <v>3003</v>
      </c>
      <c r="C461" s="3" t="s">
        <v>1038</v>
      </c>
      <c r="D461" s="3" t="s">
        <v>3004</v>
      </c>
      <c r="E461" s="3" t="s">
        <v>26</v>
      </c>
      <c r="F461" s="3" t="s">
        <v>121</v>
      </c>
      <c r="G461" s="3" t="s">
        <v>1063</v>
      </c>
      <c r="H461" s="3" t="s">
        <v>3005</v>
      </c>
      <c r="I461" s="3">
        <v>5</v>
      </c>
      <c r="J461" s="3" t="s">
        <v>29</v>
      </c>
      <c r="K461" s="3" t="s">
        <v>834</v>
      </c>
      <c r="L461" s="3" t="s">
        <v>1000</v>
      </c>
      <c r="M461" s="3" t="s">
        <v>3006</v>
      </c>
      <c r="N461" s="3" t="s">
        <v>518</v>
      </c>
      <c r="O461" s="3" t="s">
        <v>19</v>
      </c>
      <c r="P461" s="3" t="s">
        <v>365</v>
      </c>
      <c r="Q461" s="3" t="s">
        <v>99</v>
      </c>
      <c r="R461" s="3">
        <v>2</v>
      </c>
      <c r="S461" s="3">
        <v>49235.94</v>
      </c>
      <c r="T461" s="3">
        <v>25</v>
      </c>
      <c r="U461" s="3">
        <v>73853.91</v>
      </c>
      <c r="V461" s="3">
        <v>38676.5</v>
      </c>
      <c r="W461" s="3">
        <v>35177.410000000003</v>
      </c>
      <c r="X461" s="3">
        <v>47.63</v>
      </c>
      <c r="Y461" s="3">
        <v>29</v>
      </c>
      <c r="Z461" s="3" t="s">
        <v>30</v>
      </c>
      <c r="AA461" s="3" t="s">
        <v>139</v>
      </c>
      <c r="AB461" s="3" t="s">
        <v>140</v>
      </c>
      <c r="AC461" s="3"/>
    </row>
    <row r="462" spans="1:29" x14ac:dyDescent="0.3">
      <c r="A462" s="2" t="s">
        <v>3007</v>
      </c>
      <c r="B462" s="2" t="s">
        <v>3008</v>
      </c>
      <c r="C462" s="2" t="s">
        <v>847</v>
      </c>
      <c r="D462" s="2" t="s">
        <v>3009</v>
      </c>
      <c r="E462" s="2" t="s">
        <v>33</v>
      </c>
      <c r="F462" s="2" t="s">
        <v>2712</v>
      </c>
      <c r="G462" s="2" t="s">
        <v>3010</v>
      </c>
      <c r="H462" s="2" t="s">
        <v>1040</v>
      </c>
      <c r="I462" s="2">
        <v>6</v>
      </c>
      <c r="J462" s="2" t="s">
        <v>14</v>
      </c>
      <c r="K462" s="2" t="s">
        <v>712</v>
      </c>
      <c r="L462" s="2" t="s">
        <v>712</v>
      </c>
      <c r="M462" s="2" t="s">
        <v>3011</v>
      </c>
      <c r="N462" s="2" t="s">
        <v>704</v>
      </c>
      <c r="O462" s="2" t="s">
        <v>13</v>
      </c>
      <c r="P462" s="2" t="s">
        <v>419</v>
      </c>
      <c r="Q462" s="2" t="s">
        <v>138</v>
      </c>
      <c r="R462" s="2">
        <v>5</v>
      </c>
      <c r="S462" s="2">
        <v>47253.42</v>
      </c>
      <c r="T462" s="2">
        <v>5</v>
      </c>
      <c r="U462" s="2">
        <v>224453.74</v>
      </c>
      <c r="V462" s="2">
        <v>119165.12</v>
      </c>
      <c r="W462" s="2">
        <v>105288.62</v>
      </c>
      <c r="X462" s="2">
        <v>46.91</v>
      </c>
      <c r="Y462" s="2">
        <v>0</v>
      </c>
      <c r="Z462" s="2" t="s">
        <v>40</v>
      </c>
      <c r="AA462" s="2" t="s">
        <v>100</v>
      </c>
      <c r="AB462" s="2" t="s">
        <v>101</v>
      </c>
      <c r="AC462" s="2">
        <v>3</v>
      </c>
    </row>
    <row r="463" spans="1:29" x14ac:dyDescent="0.3">
      <c r="A463" s="3" t="s">
        <v>3012</v>
      </c>
      <c r="B463" s="3" t="s">
        <v>3013</v>
      </c>
      <c r="C463" s="3" t="s">
        <v>1068</v>
      </c>
      <c r="D463" s="3" t="s">
        <v>3014</v>
      </c>
      <c r="E463" s="3" t="s">
        <v>33</v>
      </c>
      <c r="F463" s="3" t="s">
        <v>1048</v>
      </c>
      <c r="G463" s="3" t="s">
        <v>2747</v>
      </c>
      <c r="H463" s="3" t="s">
        <v>3015</v>
      </c>
      <c r="I463" s="3">
        <v>5</v>
      </c>
      <c r="J463" s="3" t="s">
        <v>22</v>
      </c>
      <c r="K463" s="3" t="s">
        <v>443</v>
      </c>
      <c r="L463" s="3" t="s">
        <v>498</v>
      </c>
      <c r="M463" s="3" t="s">
        <v>3016</v>
      </c>
      <c r="N463" s="3" t="s">
        <v>3017</v>
      </c>
      <c r="O463" s="3" t="s">
        <v>13</v>
      </c>
      <c r="P463" s="3" t="s">
        <v>419</v>
      </c>
      <c r="Q463" s="3" t="s">
        <v>466</v>
      </c>
      <c r="R463" s="3">
        <v>5</v>
      </c>
      <c r="S463" s="3">
        <v>20910.09</v>
      </c>
      <c r="T463" s="3">
        <v>25</v>
      </c>
      <c r="U463" s="3">
        <v>78412.84</v>
      </c>
      <c r="V463" s="3">
        <v>54498.95</v>
      </c>
      <c r="W463" s="3">
        <v>23913.89</v>
      </c>
      <c r="X463" s="3">
        <v>30.5</v>
      </c>
      <c r="Y463" s="3">
        <v>149</v>
      </c>
      <c r="Z463" s="3" t="s">
        <v>23</v>
      </c>
      <c r="AA463" s="3" t="s">
        <v>186</v>
      </c>
      <c r="AB463" s="3" t="s">
        <v>101</v>
      </c>
      <c r="AC463" s="3"/>
    </row>
    <row r="464" spans="1:29" x14ac:dyDescent="0.3">
      <c r="A464" s="2" t="s">
        <v>3018</v>
      </c>
      <c r="B464" s="2" t="s">
        <v>3019</v>
      </c>
      <c r="C464" s="2" t="s">
        <v>1166</v>
      </c>
      <c r="D464" s="2" t="s">
        <v>3020</v>
      </c>
      <c r="E464" s="2" t="s">
        <v>18</v>
      </c>
      <c r="F464" s="2" t="s">
        <v>2525</v>
      </c>
      <c r="G464" s="2" t="s">
        <v>1240</v>
      </c>
      <c r="H464" s="2" t="s">
        <v>2226</v>
      </c>
      <c r="I464" s="2">
        <v>5</v>
      </c>
      <c r="J464" s="2" t="s">
        <v>39</v>
      </c>
      <c r="K464" s="2" t="s">
        <v>225</v>
      </c>
      <c r="L464" s="2" t="s">
        <v>225</v>
      </c>
      <c r="M464" s="2" t="s">
        <v>3021</v>
      </c>
      <c r="N464" s="2" t="s">
        <v>296</v>
      </c>
      <c r="O464" s="2" t="s">
        <v>19</v>
      </c>
      <c r="P464" s="2" t="s">
        <v>297</v>
      </c>
      <c r="Q464" s="2" t="s">
        <v>246</v>
      </c>
      <c r="R464" s="2">
        <v>1</v>
      </c>
      <c r="S464" s="2">
        <v>39345.269999999997</v>
      </c>
      <c r="T464" s="2">
        <v>15</v>
      </c>
      <c r="U464" s="2">
        <v>33443.480000000003</v>
      </c>
      <c r="V464" s="2">
        <v>18945.28</v>
      </c>
      <c r="W464" s="2">
        <v>14498.2</v>
      </c>
      <c r="X464" s="2">
        <v>43.35</v>
      </c>
      <c r="Y464" s="2">
        <v>49</v>
      </c>
      <c r="Z464" s="2" t="s">
        <v>40</v>
      </c>
      <c r="AA464" s="2" t="s">
        <v>100</v>
      </c>
      <c r="AB464" s="2" t="s">
        <v>101</v>
      </c>
      <c r="AC464" s="2">
        <v>1</v>
      </c>
    </row>
    <row r="465" spans="1:29" x14ac:dyDescent="0.3">
      <c r="A465" s="3" t="s">
        <v>3022</v>
      </c>
      <c r="B465" s="3" t="s">
        <v>3023</v>
      </c>
      <c r="C465" s="3" t="s">
        <v>2202</v>
      </c>
      <c r="D465" s="3" t="s">
        <v>3024</v>
      </c>
      <c r="E465" s="3" t="s">
        <v>42</v>
      </c>
      <c r="F465" s="3" t="s">
        <v>3025</v>
      </c>
      <c r="G465" s="3" t="s">
        <v>3026</v>
      </c>
      <c r="H465" s="3" t="s">
        <v>3027</v>
      </c>
      <c r="I465" s="3">
        <v>3</v>
      </c>
      <c r="J465" s="3" t="s">
        <v>29</v>
      </c>
      <c r="K465" s="3" t="s">
        <v>160</v>
      </c>
      <c r="L465" s="3" t="s">
        <v>559</v>
      </c>
      <c r="M465" s="3" t="s">
        <v>3028</v>
      </c>
      <c r="N465" s="3" t="s">
        <v>456</v>
      </c>
      <c r="O465" s="3" t="s">
        <v>21</v>
      </c>
      <c r="P465" s="3" t="s">
        <v>206</v>
      </c>
      <c r="Q465" s="3" t="s">
        <v>99</v>
      </c>
      <c r="R465" s="3">
        <v>3</v>
      </c>
      <c r="S465" s="3">
        <v>24219.95</v>
      </c>
      <c r="T465" s="3">
        <v>15</v>
      </c>
      <c r="U465" s="3">
        <v>61760.87</v>
      </c>
      <c r="V465" s="3">
        <v>37141.06</v>
      </c>
      <c r="W465" s="3">
        <v>24619.81</v>
      </c>
      <c r="X465" s="3">
        <v>39.86</v>
      </c>
      <c r="Y465" s="3">
        <v>49</v>
      </c>
      <c r="Z465" s="3" t="s">
        <v>15</v>
      </c>
      <c r="AA465" s="3" t="s">
        <v>100</v>
      </c>
      <c r="AB465" s="3" t="s">
        <v>101</v>
      </c>
      <c r="AC465" s="3"/>
    </row>
    <row r="466" spans="1:29" x14ac:dyDescent="0.3">
      <c r="A466" s="2" t="s">
        <v>3029</v>
      </c>
      <c r="B466" s="2" t="s">
        <v>3030</v>
      </c>
      <c r="C466" s="2" t="s">
        <v>651</v>
      </c>
      <c r="D466" s="2" t="s">
        <v>3031</v>
      </c>
      <c r="E466" s="2" t="s">
        <v>33</v>
      </c>
      <c r="F466" s="2" t="s">
        <v>272</v>
      </c>
      <c r="G466" s="2" t="s">
        <v>170</v>
      </c>
      <c r="H466" s="2" t="s">
        <v>1282</v>
      </c>
      <c r="I466" s="2">
        <v>6</v>
      </c>
      <c r="J466" s="2" t="s">
        <v>39</v>
      </c>
      <c r="K466" s="2" t="s">
        <v>314</v>
      </c>
      <c r="L466" s="2" t="s">
        <v>314</v>
      </c>
      <c r="M466" s="2" t="s">
        <v>3032</v>
      </c>
      <c r="N466" s="2" t="s">
        <v>354</v>
      </c>
      <c r="O466" s="2" t="s">
        <v>21</v>
      </c>
      <c r="P466" s="2" t="s">
        <v>196</v>
      </c>
      <c r="Q466" s="2" t="s">
        <v>207</v>
      </c>
      <c r="R466" s="2">
        <v>4</v>
      </c>
      <c r="S466" s="2">
        <v>8526.68</v>
      </c>
      <c r="T466" s="2">
        <v>5</v>
      </c>
      <c r="U466" s="2">
        <v>32401.38</v>
      </c>
      <c r="V466" s="2">
        <v>15108.63</v>
      </c>
      <c r="W466" s="2">
        <v>17292.75</v>
      </c>
      <c r="X466" s="2">
        <v>53.37</v>
      </c>
      <c r="Y466" s="2">
        <v>0</v>
      </c>
      <c r="Z466" s="2" t="s">
        <v>30</v>
      </c>
      <c r="AA466" s="2" t="s">
        <v>275</v>
      </c>
      <c r="AB466" s="2" t="s">
        <v>101</v>
      </c>
      <c r="AC466" s="2"/>
    </row>
    <row r="467" spans="1:29" x14ac:dyDescent="0.3">
      <c r="A467" s="3" t="s">
        <v>3033</v>
      </c>
      <c r="B467" s="3" t="s">
        <v>3034</v>
      </c>
      <c r="C467" s="3" t="s">
        <v>1326</v>
      </c>
      <c r="D467" s="3" t="s">
        <v>3035</v>
      </c>
      <c r="E467" s="3" t="s">
        <v>33</v>
      </c>
      <c r="F467" s="3" t="s">
        <v>3036</v>
      </c>
      <c r="G467" s="3" t="s">
        <v>341</v>
      </c>
      <c r="H467" s="3" t="s">
        <v>343</v>
      </c>
      <c r="I467" s="3">
        <v>5</v>
      </c>
      <c r="J467" s="3" t="s">
        <v>22</v>
      </c>
      <c r="K467" s="3" t="s">
        <v>283</v>
      </c>
      <c r="L467" s="3" t="s">
        <v>748</v>
      </c>
      <c r="M467" s="3" t="s">
        <v>3037</v>
      </c>
      <c r="N467" s="3" t="s">
        <v>1223</v>
      </c>
      <c r="O467" s="3" t="s">
        <v>19</v>
      </c>
      <c r="P467" s="3" t="s">
        <v>447</v>
      </c>
      <c r="Q467" s="3" t="s">
        <v>197</v>
      </c>
      <c r="R467" s="3">
        <v>2</v>
      </c>
      <c r="S467" s="3">
        <v>43857.27</v>
      </c>
      <c r="T467" s="3">
        <v>15</v>
      </c>
      <c r="U467" s="3">
        <v>74557.36</v>
      </c>
      <c r="V467" s="3">
        <v>51714.83</v>
      </c>
      <c r="W467" s="3">
        <v>22842.53</v>
      </c>
      <c r="X467" s="3">
        <v>30.64</v>
      </c>
      <c r="Y467" s="3">
        <v>49</v>
      </c>
      <c r="Z467" s="3" t="s">
        <v>23</v>
      </c>
      <c r="AA467" s="3" t="s">
        <v>672</v>
      </c>
      <c r="AB467" s="3" t="s">
        <v>101</v>
      </c>
      <c r="AC467" s="3"/>
    </row>
    <row r="468" spans="1:29" x14ac:dyDescent="0.3">
      <c r="A468" s="2" t="s">
        <v>3038</v>
      </c>
      <c r="B468" s="2" t="s">
        <v>3039</v>
      </c>
      <c r="C468" s="2" t="s">
        <v>1517</v>
      </c>
      <c r="D468" s="2" t="s">
        <v>3040</v>
      </c>
      <c r="E468" s="2" t="s">
        <v>42</v>
      </c>
      <c r="F468" s="2" t="s">
        <v>661</v>
      </c>
      <c r="G468" s="2" t="s">
        <v>3041</v>
      </c>
      <c r="H468" s="2" t="s">
        <v>3042</v>
      </c>
      <c r="I468" s="2">
        <v>4</v>
      </c>
      <c r="J468" s="2" t="s">
        <v>39</v>
      </c>
      <c r="K468" s="2" t="s">
        <v>324</v>
      </c>
      <c r="L468" s="2" t="s">
        <v>1028</v>
      </c>
      <c r="M468" s="2" t="s">
        <v>3043</v>
      </c>
      <c r="N468" s="2" t="s">
        <v>600</v>
      </c>
      <c r="O468" s="2" t="s">
        <v>27</v>
      </c>
      <c r="P468" s="2" t="s">
        <v>175</v>
      </c>
      <c r="Q468" s="2" t="s">
        <v>197</v>
      </c>
      <c r="R468" s="2">
        <v>4</v>
      </c>
      <c r="S468" s="2">
        <v>20937.36</v>
      </c>
      <c r="T468" s="2">
        <v>20</v>
      </c>
      <c r="U468" s="2">
        <v>66999.55</v>
      </c>
      <c r="V468" s="2">
        <v>40740.01</v>
      </c>
      <c r="W468" s="2">
        <v>26259.54</v>
      </c>
      <c r="X468" s="2">
        <v>39.19</v>
      </c>
      <c r="Y468" s="2">
        <v>149</v>
      </c>
      <c r="Z468" s="2" t="s">
        <v>43</v>
      </c>
      <c r="AA468" s="2" t="s">
        <v>100</v>
      </c>
      <c r="AB468" s="2" t="s">
        <v>101</v>
      </c>
      <c r="AC468" s="2">
        <v>2</v>
      </c>
    </row>
    <row r="469" spans="1:29" x14ac:dyDescent="0.3">
      <c r="A469" s="3" t="s">
        <v>3044</v>
      </c>
      <c r="B469" s="3" t="s">
        <v>3045</v>
      </c>
      <c r="C469" s="3" t="s">
        <v>1304</v>
      </c>
      <c r="D469" s="3" t="s">
        <v>3046</v>
      </c>
      <c r="E469" s="3" t="s">
        <v>33</v>
      </c>
      <c r="F469" s="3" t="s">
        <v>473</v>
      </c>
      <c r="G469" s="3" t="s">
        <v>3047</v>
      </c>
      <c r="H469" s="3" t="s">
        <v>735</v>
      </c>
      <c r="I469" s="3">
        <v>6</v>
      </c>
      <c r="J469" s="3" t="s">
        <v>22</v>
      </c>
      <c r="K469" s="3" t="s">
        <v>443</v>
      </c>
      <c r="L469" s="3" t="s">
        <v>498</v>
      </c>
      <c r="M469" s="3" t="s">
        <v>3048</v>
      </c>
      <c r="N469" s="3" t="s">
        <v>964</v>
      </c>
      <c r="O469" s="3" t="s">
        <v>13</v>
      </c>
      <c r="P469" s="3" t="s">
        <v>98</v>
      </c>
      <c r="Q469" s="3" t="s">
        <v>509</v>
      </c>
      <c r="R469" s="3">
        <v>5</v>
      </c>
      <c r="S469" s="3">
        <v>37798.97</v>
      </c>
      <c r="T469" s="3">
        <v>5</v>
      </c>
      <c r="U469" s="3">
        <v>179545.11</v>
      </c>
      <c r="V469" s="3">
        <v>89316.03</v>
      </c>
      <c r="W469" s="3">
        <v>90229.08</v>
      </c>
      <c r="X469" s="3">
        <v>50.25</v>
      </c>
      <c r="Y469" s="3">
        <v>29</v>
      </c>
      <c r="Z469" s="3" t="s">
        <v>30</v>
      </c>
      <c r="AA469" s="3" t="s">
        <v>139</v>
      </c>
      <c r="AB469" s="3" t="s">
        <v>140</v>
      </c>
      <c r="AC469" s="3"/>
    </row>
    <row r="470" spans="1:29" x14ac:dyDescent="0.3">
      <c r="A470" s="2" t="s">
        <v>3049</v>
      </c>
      <c r="B470" s="2" t="s">
        <v>3050</v>
      </c>
      <c r="C470" s="2" t="s">
        <v>2460</v>
      </c>
      <c r="D470" s="2" t="s">
        <v>3051</v>
      </c>
      <c r="E470" s="2" t="s">
        <v>42</v>
      </c>
      <c r="F470" s="2" t="s">
        <v>2708</v>
      </c>
      <c r="G470" s="2" t="s">
        <v>473</v>
      </c>
      <c r="H470" s="2" t="s">
        <v>2905</v>
      </c>
      <c r="I470" s="2">
        <v>4</v>
      </c>
      <c r="J470" s="2" t="s">
        <v>14</v>
      </c>
      <c r="K470" s="2" t="s">
        <v>215</v>
      </c>
      <c r="L470" s="2" t="s">
        <v>215</v>
      </c>
      <c r="M470" s="2" t="s">
        <v>3052</v>
      </c>
      <c r="N470" s="2" t="s">
        <v>150</v>
      </c>
      <c r="O470" s="2" t="s">
        <v>28</v>
      </c>
      <c r="P470" s="2" t="s">
        <v>151</v>
      </c>
      <c r="Q470" s="2" t="s">
        <v>246</v>
      </c>
      <c r="R470" s="2">
        <v>2</v>
      </c>
      <c r="S470" s="2">
        <v>25636.71</v>
      </c>
      <c r="T470" s="2">
        <v>20</v>
      </c>
      <c r="U470" s="2">
        <v>41018.74</v>
      </c>
      <c r="V470" s="2">
        <v>28007.31</v>
      </c>
      <c r="W470" s="2">
        <v>13011.43</v>
      </c>
      <c r="X470" s="2">
        <v>31.72</v>
      </c>
      <c r="Y470" s="2">
        <v>199</v>
      </c>
      <c r="Z470" s="2" t="s">
        <v>47</v>
      </c>
      <c r="AA470" s="2" t="s">
        <v>186</v>
      </c>
      <c r="AB470" s="2" t="s">
        <v>101</v>
      </c>
      <c r="AC470" s="2"/>
    </row>
    <row r="471" spans="1:29" x14ac:dyDescent="0.3">
      <c r="A471" s="3" t="s">
        <v>3053</v>
      </c>
      <c r="B471" s="3" t="s">
        <v>3054</v>
      </c>
      <c r="C471" s="3" t="s">
        <v>2202</v>
      </c>
      <c r="D471" s="3" t="s">
        <v>3055</v>
      </c>
      <c r="E471" s="3" t="s">
        <v>33</v>
      </c>
      <c r="F471" s="3" t="s">
        <v>1887</v>
      </c>
      <c r="G471" s="3" t="s">
        <v>1345</v>
      </c>
      <c r="H471" s="3" t="s">
        <v>653</v>
      </c>
      <c r="I471" s="3">
        <v>8</v>
      </c>
      <c r="J471" s="3" t="s">
        <v>39</v>
      </c>
      <c r="K471" s="3" t="s">
        <v>324</v>
      </c>
      <c r="L471" s="3" t="s">
        <v>325</v>
      </c>
      <c r="M471" s="3" t="s">
        <v>3056</v>
      </c>
      <c r="N471" s="3" t="s">
        <v>648</v>
      </c>
      <c r="O471" s="3" t="s">
        <v>27</v>
      </c>
      <c r="P471" s="3" t="s">
        <v>113</v>
      </c>
      <c r="Q471" s="3" t="s">
        <v>152</v>
      </c>
      <c r="R471" s="3">
        <v>1</v>
      </c>
      <c r="S471" s="3">
        <v>48255.27</v>
      </c>
      <c r="T471" s="3">
        <v>15</v>
      </c>
      <c r="U471" s="3">
        <v>41016.980000000003</v>
      </c>
      <c r="V471" s="3">
        <v>22261.09</v>
      </c>
      <c r="W471" s="3">
        <v>18755.89</v>
      </c>
      <c r="X471" s="3">
        <v>45.73</v>
      </c>
      <c r="Y471" s="3">
        <v>29</v>
      </c>
      <c r="Z471" s="3" t="s">
        <v>40</v>
      </c>
      <c r="AA471" s="3" t="s">
        <v>100</v>
      </c>
      <c r="AB471" s="3" t="s">
        <v>101</v>
      </c>
      <c r="AC471" s="3">
        <v>2</v>
      </c>
    </row>
    <row r="472" spans="1:29" x14ac:dyDescent="0.3">
      <c r="A472" s="2" t="s">
        <v>3057</v>
      </c>
      <c r="B472" s="2" t="s">
        <v>3058</v>
      </c>
      <c r="C472" s="2" t="s">
        <v>1451</v>
      </c>
      <c r="D472" s="2" t="s">
        <v>3059</v>
      </c>
      <c r="E472" s="2" t="s">
        <v>26</v>
      </c>
      <c r="F472" s="2" t="s">
        <v>1487</v>
      </c>
      <c r="G472" s="2" t="s">
        <v>1749</v>
      </c>
      <c r="H472" s="2" t="s">
        <v>1488</v>
      </c>
      <c r="I472" s="2">
        <v>4</v>
      </c>
      <c r="J472" s="2" t="s">
        <v>29</v>
      </c>
      <c r="K472" s="2" t="s">
        <v>148</v>
      </c>
      <c r="L472" s="2" t="s">
        <v>148</v>
      </c>
      <c r="M472" s="2" t="s">
        <v>3060</v>
      </c>
      <c r="N472" s="2" t="s">
        <v>805</v>
      </c>
      <c r="O472" s="2" t="s">
        <v>28</v>
      </c>
      <c r="P472" s="2" t="s">
        <v>151</v>
      </c>
      <c r="Q472" s="2" t="s">
        <v>355</v>
      </c>
      <c r="R472" s="2">
        <v>1</v>
      </c>
      <c r="S472" s="2">
        <v>30356.66</v>
      </c>
      <c r="T472" s="2">
        <v>25</v>
      </c>
      <c r="U472" s="2">
        <v>22767.49</v>
      </c>
      <c r="V472" s="2">
        <v>12873.41</v>
      </c>
      <c r="W472" s="2">
        <v>9894.08</v>
      </c>
      <c r="X472" s="2">
        <v>43.46</v>
      </c>
      <c r="Y472" s="2">
        <v>29</v>
      </c>
      <c r="Z472" s="2" t="s">
        <v>30</v>
      </c>
      <c r="AA472" s="2" t="s">
        <v>100</v>
      </c>
      <c r="AB472" s="2" t="s">
        <v>101</v>
      </c>
      <c r="AC472" s="2">
        <v>1</v>
      </c>
    </row>
    <row r="473" spans="1:29" x14ac:dyDescent="0.3">
      <c r="A473" s="3" t="s">
        <v>3061</v>
      </c>
      <c r="B473" s="3" t="s">
        <v>3062</v>
      </c>
      <c r="C473" s="3" t="s">
        <v>1395</v>
      </c>
      <c r="D473" s="3" t="s">
        <v>3063</v>
      </c>
      <c r="E473" s="3" t="s">
        <v>33</v>
      </c>
      <c r="F473" s="3" t="s">
        <v>1712</v>
      </c>
      <c r="G473" s="3" t="s">
        <v>557</v>
      </c>
      <c r="H473" s="3" t="s">
        <v>558</v>
      </c>
      <c r="I473" s="3">
        <v>6</v>
      </c>
      <c r="J473" s="3" t="s">
        <v>22</v>
      </c>
      <c r="K473" s="3" t="s">
        <v>738</v>
      </c>
      <c r="L473" s="3" t="s">
        <v>738</v>
      </c>
      <c r="M473" s="3" t="s">
        <v>3064</v>
      </c>
      <c r="N473" s="3" t="s">
        <v>409</v>
      </c>
      <c r="O473" s="3" t="s">
        <v>21</v>
      </c>
      <c r="P473" s="3" t="s">
        <v>196</v>
      </c>
      <c r="Q473" s="3" t="s">
        <v>287</v>
      </c>
      <c r="R473" s="3">
        <v>1</v>
      </c>
      <c r="S473" s="3">
        <v>29010.71</v>
      </c>
      <c r="T473" s="3">
        <v>15</v>
      </c>
      <c r="U473" s="3">
        <v>24659.1</v>
      </c>
      <c r="V473" s="3">
        <v>16291.25</v>
      </c>
      <c r="W473" s="3">
        <v>8367.85</v>
      </c>
      <c r="X473" s="3">
        <v>33.93</v>
      </c>
      <c r="Y473" s="3">
        <v>29</v>
      </c>
      <c r="Z473" s="3" t="s">
        <v>40</v>
      </c>
      <c r="AA473" s="3" t="s">
        <v>139</v>
      </c>
      <c r="AB473" s="3" t="s">
        <v>140</v>
      </c>
      <c r="AC473" s="3"/>
    </row>
    <row r="474" spans="1:29" x14ac:dyDescent="0.3">
      <c r="A474" s="2" t="s">
        <v>3065</v>
      </c>
      <c r="B474" s="2" t="s">
        <v>3066</v>
      </c>
      <c r="C474" s="2" t="s">
        <v>1451</v>
      </c>
      <c r="D474" s="2" t="s">
        <v>3067</v>
      </c>
      <c r="E474" s="2" t="s">
        <v>18</v>
      </c>
      <c r="F474" s="2" t="s">
        <v>2001</v>
      </c>
      <c r="G474" s="2" t="s">
        <v>3068</v>
      </c>
      <c r="H474" s="2" t="s">
        <v>3069</v>
      </c>
      <c r="I474" s="2">
        <v>8</v>
      </c>
      <c r="J474" s="2" t="s">
        <v>14</v>
      </c>
      <c r="K474" s="2" t="s">
        <v>95</v>
      </c>
      <c r="L474" s="2" t="s">
        <v>95</v>
      </c>
      <c r="M474" s="2" t="s">
        <v>3070</v>
      </c>
      <c r="N474" s="2" t="s">
        <v>788</v>
      </c>
      <c r="O474" s="2" t="s">
        <v>27</v>
      </c>
      <c r="P474" s="2" t="s">
        <v>113</v>
      </c>
      <c r="Q474" s="2" t="s">
        <v>197</v>
      </c>
      <c r="R474" s="2">
        <v>3</v>
      </c>
      <c r="S474" s="2">
        <v>46049.13</v>
      </c>
      <c r="T474" s="2">
        <v>15</v>
      </c>
      <c r="U474" s="2">
        <v>117425.28</v>
      </c>
      <c r="V474" s="2">
        <v>64007.34</v>
      </c>
      <c r="W474" s="2">
        <v>53417.94</v>
      </c>
      <c r="X474" s="2">
        <v>45.49</v>
      </c>
      <c r="Y474" s="2">
        <v>29</v>
      </c>
      <c r="Z474" s="2" t="s">
        <v>43</v>
      </c>
      <c r="AA474" s="2" t="s">
        <v>139</v>
      </c>
      <c r="AB474" s="2" t="s">
        <v>140</v>
      </c>
      <c r="AC474" s="2"/>
    </row>
    <row r="475" spans="1:29" x14ac:dyDescent="0.3">
      <c r="A475" s="3" t="s">
        <v>3071</v>
      </c>
      <c r="B475" s="3" t="s">
        <v>3072</v>
      </c>
      <c r="C475" s="3" t="s">
        <v>1590</v>
      </c>
      <c r="D475" s="3" t="s">
        <v>3073</v>
      </c>
      <c r="E475" s="3" t="s">
        <v>18</v>
      </c>
      <c r="F475" s="3" t="s">
        <v>2120</v>
      </c>
      <c r="G475" s="3" t="s">
        <v>3074</v>
      </c>
      <c r="H475" s="3" t="s">
        <v>2402</v>
      </c>
      <c r="I475" s="3">
        <v>8</v>
      </c>
      <c r="J475" s="3" t="s">
        <v>22</v>
      </c>
      <c r="K475" s="3" t="s">
        <v>122</v>
      </c>
      <c r="L475" s="3" t="s">
        <v>236</v>
      </c>
      <c r="M475" s="3" t="s">
        <v>3075</v>
      </c>
      <c r="N475" s="3" t="s">
        <v>837</v>
      </c>
      <c r="O475" s="3" t="s">
        <v>27</v>
      </c>
      <c r="P475" s="3" t="s">
        <v>257</v>
      </c>
      <c r="Q475" s="3" t="s">
        <v>355</v>
      </c>
      <c r="R475" s="3">
        <v>1</v>
      </c>
      <c r="S475" s="3">
        <v>31091.87</v>
      </c>
      <c r="T475" s="3">
        <v>10</v>
      </c>
      <c r="U475" s="3">
        <v>27982.68</v>
      </c>
      <c r="V475" s="3">
        <v>12753.9</v>
      </c>
      <c r="W475" s="3">
        <v>15228.78</v>
      </c>
      <c r="X475" s="3">
        <v>54.42</v>
      </c>
      <c r="Y475" s="3">
        <v>29</v>
      </c>
      <c r="Z475" s="3" t="s">
        <v>23</v>
      </c>
      <c r="AA475" s="3" t="s">
        <v>100</v>
      </c>
      <c r="AB475" s="3" t="s">
        <v>101</v>
      </c>
      <c r="AC475" s="3"/>
    </row>
    <row r="476" spans="1:29" x14ac:dyDescent="0.3">
      <c r="A476" s="2" t="s">
        <v>3076</v>
      </c>
      <c r="B476" s="2" t="s">
        <v>3077</v>
      </c>
      <c r="C476" s="2" t="s">
        <v>725</v>
      </c>
      <c r="D476" s="2" t="s">
        <v>3078</v>
      </c>
      <c r="E476" s="2" t="s">
        <v>18</v>
      </c>
      <c r="F476" s="2" t="s">
        <v>453</v>
      </c>
      <c r="G476" s="2" t="s">
        <v>670</v>
      </c>
      <c r="H476" s="2" t="s">
        <v>2927</v>
      </c>
      <c r="I476" s="2">
        <v>2</v>
      </c>
      <c r="J476" s="2" t="s">
        <v>29</v>
      </c>
      <c r="K476" s="2" t="s">
        <v>427</v>
      </c>
      <c r="L476" s="2" t="s">
        <v>1871</v>
      </c>
      <c r="M476" s="2" t="s">
        <v>3079</v>
      </c>
      <c r="N476" s="2" t="s">
        <v>286</v>
      </c>
      <c r="O476" s="2" t="s">
        <v>28</v>
      </c>
      <c r="P476" s="2" t="s">
        <v>137</v>
      </c>
      <c r="Q476" s="2" t="s">
        <v>466</v>
      </c>
      <c r="R476" s="2">
        <v>2</v>
      </c>
      <c r="S476" s="2">
        <v>30928.32</v>
      </c>
      <c r="T476" s="2">
        <v>0</v>
      </c>
      <c r="U476" s="2">
        <v>61856.639999999999</v>
      </c>
      <c r="V476" s="2">
        <v>30608.78</v>
      </c>
      <c r="W476" s="2">
        <v>31247.86</v>
      </c>
      <c r="X476" s="2">
        <v>50.52</v>
      </c>
      <c r="Y476" s="2">
        <v>199</v>
      </c>
      <c r="Z476" s="2" t="s">
        <v>30</v>
      </c>
      <c r="AA476" s="2" t="s">
        <v>186</v>
      </c>
      <c r="AB476" s="2" t="s">
        <v>101</v>
      </c>
      <c r="AC476" s="2"/>
    </row>
    <row r="477" spans="1:29" x14ac:dyDescent="0.3">
      <c r="A477" s="3" t="s">
        <v>3080</v>
      </c>
      <c r="B477" s="3" t="s">
        <v>3081</v>
      </c>
      <c r="C477" s="3" t="s">
        <v>2529</v>
      </c>
      <c r="D477" s="3" t="s">
        <v>3082</v>
      </c>
      <c r="E477" s="3" t="s">
        <v>42</v>
      </c>
      <c r="F477" s="3" t="s">
        <v>3083</v>
      </c>
      <c r="G477" s="3" t="s">
        <v>1889</v>
      </c>
      <c r="H477" s="3" t="s">
        <v>2168</v>
      </c>
      <c r="I477" s="3">
        <v>7</v>
      </c>
      <c r="J477" s="3" t="s">
        <v>14</v>
      </c>
      <c r="K477" s="3" t="s">
        <v>183</v>
      </c>
      <c r="L477" s="3" t="s">
        <v>183</v>
      </c>
      <c r="M477" s="3" t="s">
        <v>3084</v>
      </c>
      <c r="N477" s="3" t="s">
        <v>364</v>
      </c>
      <c r="O477" s="3" t="s">
        <v>19</v>
      </c>
      <c r="P477" s="3" t="s">
        <v>365</v>
      </c>
      <c r="Q477" s="3" t="s">
        <v>138</v>
      </c>
      <c r="R477" s="3">
        <v>5</v>
      </c>
      <c r="S477" s="3">
        <v>1444.33</v>
      </c>
      <c r="T477" s="3">
        <v>20</v>
      </c>
      <c r="U477" s="3">
        <v>5777.32</v>
      </c>
      <c r="V477" s="3">
        <v>3986.6</v>
      </c>
      <c r="W477" s="3">
        <v>1790.72</v>
      </c>
      <c r="X477" s="3">
        <v>31</v>
      </c>
      <c r="Y477" s="3">
        <v>99</v>
      </c>
      <c r="Z477" s="3" t="s">
        <v>23</v>
      </c>
      <c r="AA477" s="3" t="s">
        <v>186</v>
      </c>
      <c r="AB477" s="3" t="s">
        <v>101</v>
      </c>
      <c r="AC477" s="3"/>
    </row>
    <row r="478" spans="1:29" x14ac:dyDescent="0.3">
      <c r="A478" s="2" t="s">
        <v>3085</v>
      </c>
      <c r="B478" s="2" t="s">
        <v>3086</v>
      </c>
      <c r="C478" s="2" t="s">
        <v>2110</v>
      </c>
      <c r="D478" s="2" t="s">
        <v>3087</v>
      </c>
      <c r="E478" s="2" t="s">
        <v>33</v>
      </c>
      <c r="F478" s="2" t="s">
        <v>984</v>
      </c>
      <c r="G478" s="2" t="s">
        <v>3088</v>
      </c>
      <c r="H478" s="2" t="s">
        <v>2563</v>
      </c>
      <c r="I478" s="2">
        <v>6</v>
      </c>
      <c r="J478" s="2" t="s">
        <v>29</v>
      </c>
      <c r="K478" s="2" t="s">
        <v>427</v>
      </c>
      <c r="L478" s="2" t="s">
        <v>1081</v>
      </c>
      <c r="M478" s="2" t="s">
        <v>3089</v>
      </c>
      <c r="N478" s="2" t="s">
        <v>150</v>
      </c>
      <c r="O478" s="2" t="s">
        <v>28</v>
      </c>
      <c r="P478" s="2" t="s">
        <v>151</v>
      </c>
      <c r="Q478" s="2" t="s">
        <v>197</v>
      </c>
      <c r="R478" s="2">
        <v>1</v>
      </c>
      <c r="S478" s="2">
        <v>28558.06</v>
      </c>
      <c r="T478" s="2">
        <v>0</v>
      </c>
      <c r="U478" s="2">
        <v>28558.06</v>
      </c>
      <c r="V478" s="2">
        <v>14330.27</v>
      </c>
      <c r="W478" s="2">
        <v>14227.79</v>
      </c>
      <c r="X478" s="2">
        <v>49.82</v>
      </c>
      <c r="Y478" s="2">
        <v>49</v>
      </c>
      <c r="Z478" s="2" t="s">
        <v>40</v>
      </c>
      <c r="AA478" s="2" t="s">
        <v>100</v>
      </c>
      <c r="AB478" s="2" t="s">
        <v>101</v>
      </c>
      <c r="AC478" s="2">
        <v>3</v>
      </c>
    </row>
    <row r="479" spans="1:29" x14ac:dyDescent="0.3">
      <c r="A479" s="3" t="s">
        <v>3090</v>
      </c>
      <c r="B479" s="3" t="s">
        <v>3091</v>
      </c>
      <c r="C479" s="3" t="s">
        <v>1273</v>
      </c>
      <c r="D479" s="3" t="s">
        <v>3092</v>
      </c>
      <c r="E479" s="3" t="s">
        <v>18</v>
      </c>
      <c r="F479" s="3" t="s">
        <v>2328</v>
      </c>
      <c r="G479" s="3" t="s">
        <v>3010</v>
      </c>
      <c r="H479" s="3" t="s">
        <v>244</v>
      </c>
      <c r="I479" s="3">
        <v>7</v>
      </c>
      <c r="J479" s="3" t="s">
        <v>14</v>
      </c>
      <c r="K479" s="3" t="s">
        <v>215</v>
      </c>
      <c r="L479" s="3" t="s">
        <v>215</v>
      </c>
      <c r="M479" s="3" t="s">
        <v>3093</v>
      </c>
      <c r="N479" s="3" t="s">
        <v>364</v>
      </c>
      <c r="O479" s="3" t="s">
        <v>19</v>
      </c>
      <c r="P479" s="3" t="s">
        <v>365</v>
      </c>
      <c r="Q479" s="3" t="s">
        <v>138</v>
      </c>
      <c r="R479" s="3">
        <v>3</v>
      </c>
      <c r="S479" s="3">
        <v>46366.75</v>
      </c>
      <c r="T479" s="3">
        <v>0</v>
      </c>
      <c r="U479" s="3">
        <v>139100.25</v>
      </c>
      <c r="V479" s="3">
        <v>96159.679999999993</v>
      </c>
      <c r="W479" s="3">
        <v>42940.57</v>
      </c>
      <c r="X479" s="3">
        <v>30.87</v>
      </c>
      <c r="Y479" s="3">
        <v>199</v>
      </c>
      <c r="Z479" s="3" t="s">
        <v>40</v>
      </c>
      <c r="AA479" s="3" t="s">
        <v>139</v>
      </c>
      <c r="AB479" s="3" t="s">
        <v>140</v>
      </c>
      <c r="AC479" s="3"/>
    </row>
    <row r="480" spans="1:29" x14ac:dyDescent="0.3">
      <c r="A480" s="2" t="s">
        <v>3094</v>
      </c>
      <c r="B480" s="2" t="s">
        <v>3095</v>
      </c>
      <c r="C480" s="2" t="s">
        <v>1665</v>
      </c>
      <c r="D480" s="2" t="s">
        <v>1810</v>
      </c>
      <c r="E480" s="2" t="s">
        <v>18</v>
      </c>
      <c r="F480" s="2" t="s">
        <v>1168</v>
      </c>
      <c r="G480" s="2" t="s">
        <v>1228</v>
      </c>
      <c r="H480" s="2" t="s">
        <v>490</v>
      </c>
      <c r="I480" s="2">
        <v>3</v>
      </c>
      <c r="J480" s="2" t="s">
        <v>39</v>
      </c>
      <c r="K480" s="2" t="s">
        <v>109</v>
      </c>
      <c r="L480" s="2" t="s">
        <v>344</v>
      </c>
      <c r="M480" s="2" t="s">
        <v>3096</v>
      </c>
      <c r="N480" s="2" t="s">
        <v>296</v>
      </c>
      <c r="O480" s="2" t="s">
        <v>19</v>
      </c>
      <c r="P480" s="2" t="s">
        <v>297</v>
      </c>
      <c r="Q480" s="2" t="s">
        <v>509</v>
      </c>
      <c r="R480" s="2">
        <v>1</v>
      </c>
      <c r="S480" s="2">
        <v>40051.980000000003</v>
      </c>
      <c r="T480" s="2">
        <v>25</v>
      </c>
      <c r="U480" s="2">
        <v>30038.99</v>
      </c>
      <c r="V480" s="2">
        <v>13644.25</v>
      </c>
      <c r="W480" s="2">
        <v>16394.740000000002</v>
      </c>
      <c r="X480" s="2">
        <v>54.58</v>
      </c>
      <c r="Y480" s="2">
        <v>99</v>
      </c>
      <c r="Z480" s="2" t="s">
        <v>48</v>
      </c>
      <c r="AA480" s="2" t="s">
        <v>139</v>
      </c>
      <c r="AB480" s="2" t="s">
        <v>140</v>
      </c>
      <c r="AC480" s="2"/>
    </row>
    <row r="481" spans="1:29" x14ac:dyDescent="0.3">
      <c r="A481" s="3" t="s">
        <v>3097</v>
      </c>
      <c r="B481" s="3" t="s">
        <v>3098</v>
      </c>
      <c r="C481" s="3" t="s">
        <v>1364</v>
      </c>
      <c r="D481" s="3" t="s">
        <v>3099</v>
      </c>
      <c r="E481" s="3" t="s">
        <v>33</v>
      </c>
      <c r="F481" s="3" t="s">
        <v>1366</v>
      </c>
      <c r="G481" s="3" t="s">
        <v>3100</v>
      </c>
      <c r="H481" s="3" t="s">
        <v>3101</v>
      </c>
      <c r="I481" s="3">
        <v>8</v>
      </c>
      <c r="J481" s="3" t="s">
        <v>22</v>
      </c>
      <c r="K481" s="3" t="s">
        <v>122</v>
      </c>
      <c r="L481" s="3" t="s">
        <v>236</v>
      </c>
      <c r="M481" s="3" t="s">
        <v>3102</v>
      </c>
      <c r="N481" s="3" t="s">
        <v>296</v>
      </c>
      <c r="O481" s="3" t="s">
        <v>19</v>
      </c>
      <c r="P481" s="3" t="s">
        <v>297</v>
      </c>
      <c r="Q481" s="3" t="s">
        <v>207</v>
      </c>
      <c r="R481" s="3">
        <v>2</v>
      </c>
      <c r="S481" s="3">
        <v>44371.79</v>
      </c>
      <c r="T481" s="3">
        <v>20</v>
      </c>
      <c r="U481" s="3">
        <v>70994.86</v>
      </c>
      <c r="V481" s="3">
        <v>44015.47</v>
      </c>
      <c r="W481" s="3">
        <v>26979.39</v>
      </c>
      <c r="X481" s="3">
        <v>38</v>
      </c>
      <c r="Y481" s="3">
        <v>0</v>
      </c>
      <c r="Z481" s="3" t="s">
        <v>48</v>
      </c>
      <c r="AA481" s="3" t="s">
        <v>100</v>
      </c>
      <c r="AB481" s="3" t="s">
        <v>101</v>
      </c>
      <c r="AC481" s="3">
        <v>2</v>
      </c>
    </row>
    <row r="482" spans="1:29" x14ac:dyDescent="0.3">
      <c r="A482" s="2" t="s">
        <v>3103</v>
      </c>
      <c r="B482" s="2" t="s">
        <v>3104</v>
      </c>
      <c r="C482" s="2" t="s">
        <v>536</v>
      </c>
      <c r="D482" s="2" t="s">
        <v>3105</v>
      </c>
      <c r="E482" s="2" t="s">
        <v>26</v>
      </c>
      <c r="F482" s="2" t="s">
        <v>1479</v>
      </c>
      <c r="G482" s="2" t="s">
        <v>2227</v>
      </c>
      <c r="H482" s="2" t="s">
        <v>3106</v>
      </c>
      <c r="I482" s="2">
        <v>4</v>
      </c>
      <c r="J482" s="2" t="s">
        <v>22</v>
      </c>
      <c r="K482" s="2" t="s">
        <v>122</v>
      </c>
      <c r="L482" s="2" t="s">
        <v>812</v>
      </c>
      <c r="M482" s="2" t="s">
        <v>3107</v>
      </c>
      <c r="N482" s="2" t="s">
        <v>1603</v>
      </c>
      <c r="O482" s="2" t="s">
        <v>19</v>
      </c>
      <c r="P482" s="2" t="s">
        <v>365</v>
      </c>
      <c r="Q482" s="2" t="s">
        <v>218</v>
      </c>
      <c r="R482" s="2">
        <v>4</v>
      </c>
      <c r="S482" s="2">
        <v>34713.519999999997</v>
      </c>
      <c r="T482" s="2">
        <v>20</v>
      </c>
      <c r="U482" s="2">
        <v>111083.26</v>
      </c>
      <c r="V482" s="2">
        <v>60837.31</v>
      </c>
      <c r="W482" s="2">
        <v>50245.95</v>
      </c>
      <c r="X482" s="2">
        <v>45.23</v>
      </c>
      <c r="Y482" s="2">
        <v>149</v>
      </c>
      <c r="Z482" s="2" t="s">
        <v>23</v>
      </c>
      <c r="AA482" s="2" t="s">
        <v>672</v>
      </c>
      <c r="AB482" s="2" t="s">
        <v>101</v>
      </c>
      <c r="AC482" s="2"/>
    </row>
    <row r="483" spans="1:29" x14ac:dyDescent="0.3">
      <c r="A483" s="3" t="s">
        <v>3108</v>
      </c>
      <c r="B483" s="3" t="s">
        <v>3109</v>
      </c>
      <c r="C483" s="3" t="s">
        <v>1644</v>
      </c>
      <c r="D483" s="3" t="s">
        <v>3110</v>
      </c>
      <c r="E483" s="3" t="s">
        <v>33</v>
      </c>
      <c r="F483" s="3" t="s">
        <v>490</v>
      </c>
      <c r="G483" s="3" t="s">
        <v>491</v>
      </c>
      <c r="H483" s="3" t="s">
        <v>2221</v>
      </c>
      <c r="I483" s="3">
        <v>7</v>
      </c>
      <c r="J483" s="3" t="s">
        <v>22</v>
      </c>
      <c r="K483" s="3" t="s">
        <v>254</v>
      </c>
      <c r="L483" s="3" t="s">
        <v>254</v>
      </c>
      <c r="M483" s="3" t="s">
        <v>3111</v>
      </c>
      <c r="N483" s="3" t="s">
        <v>286</v>
      </c>
      <c r="O483" s="3" t="s">
        <v>28</v>
      </c>
      <c r="P483" s="3" t="s">
        <v>137</v>
      </c>
      <c r="Q483" s="3" t="s">
        <v>197</v>
      </c>
      <c r="R483" s="3">
        <v>1</v>
      </c>
      <c r="S483" s="3">
        <v>30379.87</v>
      </c>
      <c r="T483" s="3">
        <v>20</v>
      </c>
      <c r="U483" s="3">
        <v>24303.9</v>
      </c>
      <c r="V483" s="3">
        <v>14841.8</v>
      </c>
      <c r="W483" s="3">
        <v>9462.1</v>
      </c>
      <c r="X483" s="3">
        <v>38.93</v>
      </c>
      <c r="Y483" s="3">
        <v>199</v>
      </c>
      <c r="Z483" s="3" t="s">
        <v>15</v>
      </c>
      <c r="AA483" s="3" t="s">
        <v>100</v>
      </c>
      <c r="AB483" s="3" t="s">
        <v>101</v>
      </c>
      <c r="AC483" s="3">
        <v>4</v>
      </c>
    </row>
    <row r="484" spans="1:29" x14ac:dyDescent="0.3">
      <c r="A484" s="2" t="s">
        <v>3112</v>
      </c>
      <c r="B484" s="2" t="s">
        <v>3113</v>
      </c>
      <c r="C484" s="2" t="s">
        <v>1068</v>
      </c>
      <c r="D484" s="2" t="s">
        <v>3114</v>
      </c>
      <c r="E484" s="2" t="s">
        <v>26</v>
      </c>
      <c r="F484" s="2" t="s">
        <v>3115</v>
      </c>
      <c r="G484" s="2" t="s">
        <v>2127</v>
      </c>
      <c r="H484" s="2" t="s">
        <v>1585</v>
      </c>
      <c r="I484" s="2">
        <v>6</v>
      </c>
      <c r="J484" s="2" t="s">
        <v>22</v>
      </c>
      <c r="K484" s="2" t="s">
        <v>283</v>
      </c>
      <c r="L484" s="2" t="s">
        <v>284</v>
      </c>
      <c r="M484" s="2" t="s">
        <v>3111</v>
      </c>
      <c r="N484" s="2" t="s">
        <v>788</v>
      </c>
      <c r="O484" s="2" t="s">
        <v>27</v>
      </c>
      <c r="P484" s="2" t="s">
        <v>113</v>
      </c>
      <c r="Q484" s="2" t="s">
        <v>138</v>
      </c>
      <c r="R484" s="2">
        <v>5</v>
      </c>
      <c r="S484" s="2">
        <v>9256.36</v>
      </c>
      <c r="T484" s="2">
        <v>15</v>
      </c>
      <c r="U484" s="2">
        <v>39339.53</v>
      </c>
      <c r="V484" s="2">
        <v>27244.52</v>
      </c>
      <c r="W484" s="2">
        <v>12095.01</v>
      </c>
      <c r="X484" s="2">
        <v>30.75</v>
      </c>
      <c r="Y484" s="2">
        <v>49</v>
      </c>
      <c r="Z484" s="2" t="s">
        <v>15</v>
      </c>
      <c r="AA484" s="2" t="s">
        <v>100</v>
      </c>
      <c r="AB484" s="2" t="s">
        <v>101</v>
      </c>
      <c r="AC484" s="2">
        <v>3</v>
      </c>
    </row>
    <row r="485" spans="1:29" x14ac:dyDescent="0.3">
      <c r="A485" s="3" t="s">
        <v>3116</v>
      </c>
      <c r="B485" s="3" t="s">
        <v>3117</v>
      </c>
      <c r="C485" s="3" t="s">
        <v>450</v>
      </c>
      <c r="D485" s="3" t="s">
        <v>3118</v>
      </c>
      <c r="E485" s="3" t="s">
        <v>42</v>
      </c>
      <c r="F485" s="3" t="s">
        <v>1696</v>
      </c>
      <c r="G485" s="3" t="s">
        <v>281</v>
      </c>
      <c r="H485" s="3" t="s">
        <v>3119</v>
      </c>
      <c r="I485" s="3">
        <v>4</v>
      </c>
      <c r="J485" s="3" t="s">
        <v>14</v>
      </c>
      <c r="K485" s="3" t="s">
        <v>215</v>
      </c>
      <c r="L485" s="3" t="s">
        <v>215</v>
      </c>
      <c r="M485" s="3" t="s">
        <v>3120</v>
      </c>
      <c r="N485" s="3" t="s">
        <v>551</v>
      </c>
      <c r="O485" s="3" t="s">
        <v>13</v>
      </c>
      <c r="P485" s="3" t="s">
        <v>98</v>
      </c>
      <c r="Q485" s="3" t="s">
        <v>400</v>
      </c>
      <c r="R485" s="3">
        <v>1</v>
      </c>
      <c r="S485" s="3">
        <v>130.68</v>
      </c>
      <c r="T485" s="3">
        <v>0</v>
      </c>
      <c r="U485" s="3">
        <v>130.68</v>
      </c>
      <c r="V485" s="3">
        <v>90.89</v>
      </c>
      <c r="W485" s="3">
        <v>39.79</v>
      </c>
      <c r="X485" s="3">
        <v>30.45</v>
      </c>
      <c r="Y485" s="3">
        <v>199</v>
      </c>
      <c r="Z485" s="3" t="s">
        <v>48</v>
      </c>
      <c r="AA485" s="3" t="s">
        <v>100</v>
      </c>
      <c r="AB485" s="3" t="s">
        <v>101</v>
      </c>
      <c r="AC485" s="3">
        <v>4</v>
      </c>
    </row>
    <row r="486" spans="1:29" x14ac:dyDescent="0.3">
      <c r="A486" s="2" t="s">
        <v>3121</v>
      </c>
      <c r="B486" s="2" t="s">
        <v>3122</v>
      </c>
      <c r="C486" s="2" t="s">
        <v>521</v>
      </c>
      <c r="D486" s="2" t="s">
        <v>3123</v>
      </c>
      <c r="E486" s="2" t="s">
        <v>18</v>
      </c>
      <c r="F486" s="2" t="s">
        <v>2264</v>
      </c>
      <c r="G486" s="2" t="s">
        <v>3124</v>
      </c>
      <c r="H486" s="2" t="s">
        <v>2654</v>
      </c>
      <c r="I486" s="2">
        <v>6</v>
      </c>
      <c r="J486" s="2" t="s">
        <v>14</v>
      </c>
      <c r="K486" s="2" t="s">
        <v>171</v>
      </c>
      <c r="L486" s="2" t="s">
        <v>541</v>
      </c>
      <c r="M486" s="2" t="s">
        <v>2680</v>
      </c>
      <c r="N486" s="2" t="s">
        <v>266</v>
      </c>
      <c r="O486" s="2" t="s">
        <v>28</v>
      </c>
      <c r="P486" s="2" t="s">
        <v>151</v>
      </c>
      <c r="Q486" s="2" t="s">
        <v>138</v>
      </c>
      <c r="R486" s="2">
        <v>2</v>
      </c>
      <c r="S486" s="2">
        <v>8544.57</v>
      </c>
      <c r="T486" s="2">
        <v>25</v>
      </c>
      <c r="U486" s="2">
        <v>12816.85</v>
      </c>
      <c r="V486" s="2">
        <v>7855.83</v>
      </c>
      <c r="W486" s="2">
        <v>4961.0200000000004</v>
      </c>
      <c r="X486" s="2">
        <v>38.71</v>
      </c>
      <c r="Y486" s="2">
        <v>99</v>
      </c>
      <c r="Z486" s="2" t="s">
        <v>23</v>
      </c>
      <c r="AA486" s="2" t="s">
        <v>100</v>
      </c>
      <c r="AB486" s="2" t="s">
        <v>101</v>
      </c>
      <c r="AC486" s="2">
        <v>4</v>
      </c>
    </row>
    <row r="487" spans="1:29" x14ac:dyDescent="0.3">
      <c r="A487" s="3" t="s">
        <v>3125</v>
      </c>
      <c r="B487" s="3" t="s">
        <v>3126</v>
      </c>
      <c r="C487" s="3" t="s">
        <v>2622</v>
      </c>
      <c r="D487" s="3" t="s">
        <v>3127</v>
      </c>
      <c r="E487" s="3" t="s">
        <v>26</v>
      </c>
      <c r="F487" s="3" t="s">
        <v>3128</v>
      </c>
      <c r="G487" s="3" t="s">
        <v>2934</v>
      </c>
      <c r="H487" s="3" t="s">
        <v>2013</v>
      </c>
      <c r="I487" s="3">
        <v>6</v>
      </c>
      <c r="J487" s="3" t="s">
        <v>29</v>
      </c>
      <c r="K487" s="3" t="s">
        <v>334</v>
      </c>
      <c r="L487" s="3" t="s">
        <v>614</v>
      </c>
      <c r="M487" s="3" t="s">
        <v>3129</v>
      </c>
      <c r="N487" s="3" t="s">
        <v>686</v>
      </c>
      <c r="O487" s="3" t="s">
        <v>13</v>
      </c>
      <c r="P487" s="3" t="s">
        <v>228</v>
      </c>
      <c r="Q487" s="3" t="s">
        <v>138</v>
      </c>
      <c r="R487" s="3">
        <v>4</v>
      </c>
      <c r="S487" s="3">
        <v>6605.47</v>
      </c>
      <c r="T487" s="3">
        <v>30</v>
      </c>
      <c r="U487" s="3">
        <v>18495.32</v>
      </c>
      <c r="V487" s="3">
        <v>8635.32</v>
      </c>
      <c r="W487" s="3">
        <v>9860</v>
      </c>
      <c r="X487" s="3">
        <v>53.31</v>
      </c>
      <c r="Y487" s="3">
        <v>29</v>
      </c>
      <c r="Z487" s="3" t="s">
        <v>48</v>
      </c>
      <c r="AA487" s="3" t="s">
        <v>100</v>
      </c>
      <c r="AB487" s="3" t="s">
        <v>101</v>
      </c>
      <c r="AC487" s="3"/>
    </row>
    <row r="488" spans="1:29" x14ac:dyDescent="0.3">
      <c r="A488" s="2" t="s">
        <v>3130</v>
      </c>
      <c r="B488" s="2" t="s">
        <v>3131</v>
      </c>
      <c r="C488" s="2" t="s">
        <v>1792</v>
      </c>
      <c r="D488" s="2" t="s">
        <v>3132</v>
      </c>
      <c r="E488" s="2" t="s">
        <v>18</v>
      </c>
      <c r="F488" s="2" t="s">
        <v>3133</v>
      </c>
      <c r="G488" s="2" t="s">
        <v>3134</v>
      </c>
      <c r="H488" s="2" t="s">
        <v>802</v>
      </c>
      <c r="I488" s="2">
        <v>6</v>
      </c>
      <c r="J488" s="2" t="s">
        <v>22</v>
      </c>
      <c r="K488" s="2" t="s">
        <v>254</v>
      </c>
      <c r="L488" s="2" t="s">
        <v>254</v>
      </c>
      <c r="M488" s="2" t="s">
        <v>3135</v>
      </c>
      <c r="N488" s="2" t="s">
        <v>631</v>
      </c>
      <c r="O488" s="2" t="s">
        <v>19</v>
      </c>
      <c r="P488" s="2" t="s">
        <v>297</v>
      </c>
      <c r="Q488" s="2" t="s">
        <v>355</v>
      </c>
      <c r="R488" s="2">
        <v>2</v>
      </c>
      <c r="S488" s="2">
        <v>7960.12</v>
      </c>
      <c r="T488" s="2">
        <v>0</v>
      </c>
      <c r="U488" s="2">
        <v>15920.24</v>
      </c>
      <c r="V488" s="2">
        <v>9022.64</v>
      </c>
      <c r="W488" s="2">
        <v>6897.6</v>
      </c>
      <c r="X488" s="2">
        <v>43.33</v>
      </c>
      <c r="Y488" s="2">
        <v>99</v>
      </c>
      <c r="Z488" s="2" t="s">
        <v>23</v>
      </c>
      <c r="AA488" s="2" t="s">
        <v>100</v>
      </c>
      <c r="AB488" s="2" t="s">
        <v>101</v>
      </c>
      <c r="AC488" s="2">
        <v>2</v>
      </c>
    </row>
    <row r="489" spans="1:29" x14ac:dyDescent="0.3">
      <c r="A489" s="3" t="s">
        <v>3136</v>
      </c>
      <c r="B489" s="3" t="s">
        <v>3137</v>
      </c>
      <c r="C489" s="3" t="s">
        <v>249</v>
      </c>
      <c r="D489" s="3" t="s">
        <v>3138</v>
      </c>
      <c r="E489" s="3" t="s">
        <v>33</v>
      </c>
      <c r="F489" s="3" t="s">
        <v>3139</v>
      </c>
      <c r="G489" s="3" t="s">
        <v>2868</v>
      </c>
      <c r="H489" s="3" t="s">
        <v>2873</v>
      </c>
      <c r="I489" s="3">
        <v>6</v>
      </c>
      <c r="J489" s="3" t="s">
        <v>29</v>
      </c>
      <c r="K489" s="3" t="s">
        <v>834</v>
      </c>
      <c r="L489" s="3" t="s">
        <v>901</v>
      </c>
      <c r="M489" s="3" t="s">
        <v>3140</v>
      </c>
      <c r="N489" s="3" t="s">
        <v>185</v>
      </c>
      <c r="O489" s="3" t="s">
        <v>28</v>
      </c>
      <c r="P489" s="3" t="s">
        <v>151</v>
      </c>
      <c r="Q489" s="3" t="s">
        <v>509</v>
      </c>
      <c r="R489" s="3">
        <v>5</v>
      </c>
      <c r="S489" s="3">
        <v>47350.81</v>
      </c>
      <c r="T489" s="3">
        <v>15</v>
      </c>
      <c r="U489" s="3">
        <v>201240.94</v>
      </c>
      <c r="V489" s="3">
        <v>137685.81</v>
      </c>
      <c r="W489" s="3">
        <v>63555.13</v>
      </c>
      <c r="X489" s="3">
        <v>31.58</v>
      </c>
      <c r="Y489" s="3">
        <v>99</v>
      </c>
      <c r="Z489" s="3" t="s">
        <v>30</v>
      </c>
      <c r="AA489" s="3" t="s">
        <v>139</v>
      </c>
      <c r="AB489" s="3" t="s">
        <v>140</v>
      </c>
      <c r="AC489" s="3"/>
    </row>
    <row r="490" spans="1:29" x14ac:dyDescent="0.3">
      <c r="A490" s="2" t="s">
        <v>3141</v>
      </c>
      <c r="B490" s="2" t="s">
        <v>3142</v>
      </c>
      <c r="C490" s="2" t="s">
        <v>1597</v>
      </c>
      <c r="D490" s="2" t="s">
        <v>3143</v>
      </c>
      <c r="E490" s="2" t="s">
        <v>33</v>
      </c>
      <c r="F490" s="2" t="s">
        <v>762</v>
      </c>
      <c r="G490" s="2" t="s">
        <v>3144</v>
      </c>
      <c r="H490" s="2" t="s">
        <v>763</v>
      </c>
      <c r="I490" s="2">
        <v>5</v>
      </c>
      <c r="J490" s="2" t="s">
        <v>22</v>
      </c>
      <c r="K490" s="2" t="s">
        <v>738</v>
      </c>
      <c r="L490" s="2" t="s">
        <v>738</v>
      </c>
      <c r="M490" s="2" t="s">
        <v>3145</v>
      </c>
      <c r="N490" s="2" t="s">
        <v>475</v>
      </c>
      <c r="O490" s="2" t="s">
        <v>13</v>
      </c>
      <c r="P490" s="2" t="s">
        <v>228</v>
      </c>
      <c r="Q490" s="2" t="s">
        <v>246</v>
      </c>
      <c r="R490" s="2">
        <v>2</v>
      </c>
      <c r="S490" s="2">
        <v>37776.57</v>
      </c>
      <c r="T490" s="2">
        <v>30</v>
      </c>
      <c r="U490" s="2">
        <v>52887.199999999997</v>
      </c>
      <c r="V490" s="2">
        <v>31145.82</v>
      </c>
      <c r="W490" s="2">
        <v>21741.38</v>
      </c>
      <c r="X490" s="2">
        <v>41.11</v>
      </c>
      <c r="Y490" s="2">
        <v>199</v>
      </c>
      <c r="Z490" s="2" t="s">
        <v>47</v>
      </c>
      <c r="AA490" s="2" t="s">
        <v>275</v>
      </c>
      <c r="AB490" s="2" t="s">
        <v>101</v>
      </c>
      <c r="AC490" s="2"/>
    </row>
    <row r="491" spans="1:29" x14ac:dyDescent="0.3">
      <c r="A491" s="3" t="s">
        <v>3146</v>
      </c>
      <c r="B491" s="3" t="s">
        <v>3147</v>
      </c>
      <c r="C491" s="3" t="s">
        <v>1742</v>
      </c>
      <c r="D491" s="3" t="s">
        <v>2210</v>
      </c>
      <c r="E491" s="3" t="s">
        <v>33</v>
      </c>
      <c r="F491" s="3" t="s">
        <v>2028</v>
      </c>
      <c r="G491" s="3" t="s">
        <v>2002</v>
      </c>
      <c r="H491" s="3" t="s">
        <v>1147</v>
      </c>
      <c r="I491" s="3">
        <v>5</v>
      </c>
      <c r="J491" s="3" t="s">
        <v>39</v>
      </c>
      <c r="K491" s="3" t="s">
        <v>193</v>
      </c>
      <c r="L491" s="3" t="s">
        <v>193</v>
      </c>
      <c r="M491" s="3" t="s">
        <v>3148</v>
      </c>
      <c r="N491" s="3" t="s">
        <v>97</v>
      </c>
      <c r="O491" s="3" t="s">
        <v>13</v>
      </c>
      <c r="P491" s="3" t="s">
        <v>98</v>
      </c>
      <c r="Q491" s="3" t="s">
        <v>152</v>
      </c>
      <c r="R491" s="3">
        <v>1</v>
      </c>
      <c r="S491" s="3">
        <v>16111.77</v>
      </c>
      <c r="T491" s="3">
        <v>20</v>
      </c>
      <c r="U491" s="3">
        <v>12889.42</v>
      </c>
      <c r="V491" s="3">
        <v>7111.2</v>
      </c>
      <c r="W491" s="3">
        <v>5778.22</v>
      </c>
      <c r="X491" s="3">
        <v>44.83</v>
      </c>
      <c r="Y491" s="3">
        <v>49</v>
      </c>
      <c r="Z491" s="3" t="s">
        <v>43</v>
      </c>
      <c r="AA491" s="3" t="s">
        <v>100</v>
      </c>
      <c r="AB491" s="3" t="s">
        <v>101</v>
      </c>
      <c r="AC491" s="3">
        <v>2</v>
      </c>
    </row>
    <row r="492" spans="1:29" x14ac:dyDescent="0.3">
      <c r="A492" s="2" t="s">
        <v>3149</v>
      </c>
      <c r="B492" s="2" t="s">
        <v>3150</v>
      </c>
      <c r="C492" s="2" t="s">
        <v>1590</v>
      </c>
      <c r="D492" s="2" t="s">
        <v>3151</v>
      </c>
      <c r="E492" s="2" t="s">
        <v>18</v>
      </c>
      <c r="F492" s="2" t="s">
        <v>948</v>
      </c>
      <c r="G492" s="2" t="s">
        <v>1373</v>
      </c>
      <c r="H492" s="2" t="s">
        <v>435</v>
      </c>
      <c r="I492" s="2">
        <v>4</v>
      </c>
      <c r="J492" s="2" t="s">
        <v>22</v>
      </c>
      <c r="K492" s="2" t="s">
        <v>738</v>
      </c>
      <c r="L492" s="2" t="s">
        <v>738</v>
      </c>
      <c r="M492" s="2" t="s">
        <v>3152</v>
      </c>
      <c r="N492" s="2" t="s">
        <v>931</v>
      </c>
      <c r="O492" s="2" t="s">
        <v>13</v>
      </c>
      <c r="P492" s="2" t="s">
        <v>419</v>
      </c>
      <c r="Q492" s="2" t="s">
        <v>152</v>
      </c>
      <c r="R492" s="2">
        <v>1</v>
      </c>
      <c r="S492" s="2">
        <v>15554.81</v>
      </c>
      <c r="T492" s="2">
        <v>5</v>
      </c>
      <c r="U492" s="2">
        <v>14777.07</v>
      </c>
      <c r="V492" s="2">
        <v>8218.83</v>
      </c>
      <c r="W492" s="2">
        <v>6558.24</v>
      </c>
      <c r="X492" s="2">
        <v>44.38</v>
      </c>
      <c r="Y492" s="2">
        <v>99</v>
      </c>
      <c r="Z492" s="2" t="s">
        <v>43</v>
      </c>
      <c r="AA492" s="2" t="s">
        <v>100</v>
      </c>
      <c r="AB492" s="2" t="s">
        <v>101</v>
      </c>
      <c r="AC492" s="2">
        <v>5</v>
      </c>
    </row>
    <row r="493" spans="1:29" x14ac:dyDescent="0.3">
      <c r="A493" s="3" t="s">
        <v>3153</v>
      </c>
      <c r="B493" s="3" t="s">
        <v>3154</v>
      </c>
      <c r="C493" s="3" t="s">
        <v>1683</v>
      </c>
      <c r="D493" s="3" t="s">
        <v>3155</v>
      </c>
      <c r="E493" s="3" t="s">
        <v>26</v>
      </c>
      <c r="F493" s="3" t="s">
        <v>3156</v>
      </c>
      <c r="G493" s="3" t="s">
        <v>1646</v>
      </c>
      <c r="H493" s="3" t="s">
        <v>3157</v>
      </c>
      <c r="I493" s="3">
        <v>7</v>
      </c>
      <c r="J493" s="3" t="s">
        <v>39</v>
      </c>
      <c r="K493" s="3" t="s">
        <v>324</v>
      </c>
      <c r="L493" s="3" t="s">
        <v>325</v>
      </c>
      <c r="M493" s="3" t="s">
        <v>3158</v>
      </c>
      <c r="N493" s="3" t="s">
        <v>1223</v>
      </c>
      <c r="O493" s="3" t="s">
        <v>19</v>
      </c>
      <c r="P493" s="3" t="s">
        <v>447</v>
      </c>
      <c r="Q493" s="3" t="s">
        <v>400</v>
      </c>
      <c r="R493" s="3">
        <v>3</v>
      </c>
      <c r="S493" s="3">
        <v>5155.43</v>
      </c>
      <c r="T493" s="3">
        <v>5</v>
      </c>
      <c r="U493" s="3">
        <v>14692.98</v>
      </c>
      <c r="V493" s="3">
        <v>9414.6200000000008</v>
      </c>
      <c r="W493" s="3">
        <v>5278.36</v>
      </c>
      <c r="X493" s="3">
        <v>35.92</v>
      </c>
      <c r="Y493" s="3">
        <v>49</v>
      </c>
      <c r="Z493" s="3" t="s">
        <v>40</v>
      </c>
      <c r="AA493" s="3" t="s">
        <v>100</v>
      </c>
      <c r="AB493" s="3" t="s">
        <v>101</v>
      </c>
      <c r="AC493" s="3">
        <v>2</v>
      </c>
    </row>
    <row r="494" spans="1:29" x14ac:dyDescent="0.3">
      <c r="A494" s="2" t="s">
        <v>3159</v>
      </c>
      <c r="B494" s="2" t="s">
        <v>3160</v>
      </c>
      <c r="C494" s="2" t="s">
        <v>1097</v>
      </c>
      <c r="D494" s="2" t="s">
        <v>3161</v>
      </c>
      <c r="E494" s="2" t="s">
        <v>33</v>
      </c>
      <c r="F494" s="2" t="s">
        <v>170</v>
      </c>
      <c r="G494" s="2" t="s">
        <v>613</v>
      </c>
      <c r="H494" s="2" t="s">
        <v>1926</v>
      </c>
      <c r="I494" s="2">
        <v>4</v>
      </c>
      <c r="J494" s="2" t="s">
        <v>29</v>
      </c>
      <c r="K494" s="2" t="s">
        <v>148</v>
      </c>
      <c r="L494" s="2" t="s">
        <v>148</v>
      </c>
      <c r="M494" s="2" t="s">
        <v>3162</v>
      </c>
      <c r="N494" s="2" t="s">
        <v>1223</v>
      </c>
      <c r="O494" s="2" t="s">
        <v>19</v>
      </c>
      <c r="P494" s="2" t="s">
        <v>447</v>
      </c>
      <c r="Q494" s="2" t="s">
        <v>287</v>
      </c>
      <c r="R494" s="2">
        <v>4</v>
      </c>
      <c r="S494" s="2">
        <v>48954.239999999998</v>
      </c>
      <c r="T494" s="2">
        <v>30</v>
      </c>
      <c r="U494" s="2">
        <v>137071.87</v>
      </c>
      <c r="V494" s="2">
        <v>66288.47</v>
      </c>
      <c r="W494" s="2">
        <v>70783.399999999994</v>
      </c>
      <c r="X494" s="2">
        <v>51.64</v>
      </c>
      <c r="Y494" s="2">
        <v>99</v>
      </c>
      <c r="Z494" s="2" t="s">
        <v>40</v>
      </c>
      <c r="AA494" s="2" t="s">
        <v>139</v>
      </c>
      <c r="AB494" s="2" t="s">
        <v>140</v>
      </c>
      <c r="AC494" s="2"/>
    </row>
    <row r="495" spans="1:29" x14ac:dyDescent="0.3">
      <c r="A495" s="3" t="s">
        <v>3163</v>
      </c>
      <c r="B495" s="3" t="s">
        <v>3164</v>
      </c>
      <c r="C495" s="3" t="s">
        <v>2151</v>
      </c>
      <c r="D495" s="3" t="s">
        <v>3165</v>
      </c>
      <c r="E495" s="3" t="s">
        <v>33</v>
      </c>
      <c r="F495" s="3" t="s">
        <v>1179</v>
      </c>
      <c r="G495" s="3" t="s">
        <v>1127</v>
      </c>
      <c r="H495" s="3" t="s">
        <v>682</v>
      </c>
      <c r="I495" s="3">
        <v>7</v>
      </c>
      <c r="J495" s="3" t="s">
        <v>39</v>
      </c>
      <c r="K495" s="3" t="s">
        <v>109</v>
      </c>
      <c r="L495" s="3" t="s">
        <v>134</v>
      </c>
      <c r="M495" s="3" t="s">
        <v>295</v>
      </c>
      <c r="N495" s="3" t="s">
        <v>217</v>
      </c>
      <c r="O495" s="3" t="s">
        <v>21</v>
      </c>
      <c r="P495" s="3" t="s">
        <v>206</v>
      </c>
      <c r="Q495" s="3" t="s">
        <v>197</v>
      </c>
      <c r="R495" s="3">
        <v>3</v>
      </c>
      <c r="S495" s="3">
        <v>18516.66</v>
      </c>
      <c r="T495" s="3">
        <v>30</v>
      </c>
      <c r="U495" s="3">
        <v>38884.99</v>
      </c>
      <c r="V495" s="3">
        <v>22945.11</v>
      </c>
      <c r="W495" s="3">
        <v>15939.88</v>
      </c>
      <c r="X495" s="3">
        <v>40.99</v>
      </c>
      <c r="Y495" s="3">
        <v>29</v>
      </c>
      <c r="Z495" s="3" t="s">
        <v>15</v>
      </c>
      <c r="AA495" s="3" t="s">
        <v>139</v>
      </c>
      <c r="AB495" s="3" t="s">
        <v>140</v>
      </c>
      <c r="AC495" s="3"/>
    </row>
    <row r="496" spans="1:29" x14ac:dyDescent="0.3">
      <c r="A496" s="2" t="s">
        <v>3166</v>
      </c>
      <c r="B496" s="2" t="s">
        <v>3167</v>
      </c>
      <c r="C496" s="2" t="s">
        <v>2590</v>
      </c>
      <c r="D496" s="2" t="s">
        <v>3168</v>
      </c>
      <c r="E496" s="2" t="s">
        <v>18</v>
      </c>
      <c r="F496" s="2" t="s">
        <v>691</v>
      </c>
      <c r="G496" s="2" t="s">
        <v>684</v>
      </c>
      <c r="H496" s="2" t="s">
        <v>1984</v>
      </c>
      <c r="I496" s="2">
        <v>3</v>
      </c>
      <c r="J496" s="2" t="s">
        <v>22</v>
      </c>
      <c r="K496" s="2" t="s">
        <v>254</v>
      </c>
      <c r="L496" s="2" t="s">
        <v>254</v>
      </c>
      <c r="M496" s="2" t="s">
        <v>2565</v>
      </c>
      <c r="N496" s="2" t="s">
        <v>364</v>
      </c>
      <c r="O496" s="2" t="s">
        <v>19</v>
      </c>
      <c r="P496" s="2" t="s">
        <v>365</v>
      </c>
      <c r="Q496" s="2" t="s">
        <v>99</v>
      </c>
      <c r="R496" s="2">
        <v>3</v>
      </c>
      <c r="S496" s="2">
        <v>7200.48</v>
      </c>
      <c r="T496" s="2">
        <v>20</v>
      </c>
      <c r="U496" s="2">
        <v>17281.150000000001</v>
      </c>
      <c r="V496" s="2">
        <v>10867.66</v>
      </c>
      <c r="W496" s="2">
        <v>6413.49</v>
      </c>
      <c r="X496" s="2">
        <v>37.11</v>
      </c>
      <c r="Y496" s="2">
        <v>199</v>
      </c>
      <c r="Z496" s="2" t="s">
        <v>43</v>
      </c>
      <c r="AA496" s="2" t="s">
        <v>139</v>
      </c>
      <c r="AB496" s="2" t="s">
        <v>140</v>
      </c>
      <c r="AC496" s="2"/>
    </row>
    <row r="497" spans="1:29" x14ac:dyDescent="0.3">
      <c r="A497" s="3" t="s">
        <v>3169</v>
      </c>
      <c r="B497" s="3" t="s">
        <v>3170</v>
      </c>
      <c r="C497" s="3" t="s">
        <v>870</v>
      </c>
      <c r="D497" s="3" t="s">
        <v>3171</v>
      </c>
      <c r="E497" s="3" t="s">
        <v>33</v>
      </c>
      <c r="F497" s="3" t="s">
        <v>1541</v>
      </c>
      <c r="G497" s="3" t="s">
        <v>3172</v>
      </c>
      <c r="H497" s="3" t="s">
        <v>2854</v>
      </c>
      <c r="I497" s="3">
        <v>6</v>
      </c>
      <c r="J497" s="3" t="s">
        <v>14</v>
      </c>
      <c r="K497" s="3" t="s">
        <v>215</v>
      </c>
      <c r="L497" s="3" t="s">
        <v>215</v>
      </c>
      <c r="M497" s="3" t="s">
        <v>2645</v>
      </c>
      <c r="N497" s="3" t="s">
        <v>631</v>
      </c>
      <c r="O497" s="3" t="s">
        <v>19</v>
      </c>
      <c r="P497" s="3" t="s">
        <v>297</v>
      </c>
      <c r="Q497" s="3" t="s">
        <v>466</v>
      </c>
      <c r="R497" s="3">
        <v>3</v>
      </c>
      <c r="S497" s="3">
        <v>44689.59</v>
      </c>
      <c r="T497" s="3">
        <v>15</v>
      </c>
      <c r="U497" s="3">
        <v>113958.45</v>
      </c>
      <c r="V497" s="3">
        <v>58085.09</v>
      </c>
      <c r="W497" s="3">
        <v>55873.36</v>
      </c>
      <c r="X497" s="3">
        <v>49.03</v>
      </c>
      <c r="Y497" s="3">
        <v>99</v>
      </c>
      <c r="Z497" s="3" t="s">
        <v>40</v>
      </c>
      <c r="AA497" s="3" t="s">
        <v>100</v>
      </c>
      <c r="AB497" s="3" t="s">
        <v>101</v>
      </c>
      <c r="AC497" s="3">
        <v>5</v>
      </c>
    </row>
    <row r="498" spans="1:29" x14ac:dyDescent="0.3">
      <c r="A498" s="2" t="s">
        <v>3173</v>
      </c>
      <c r="B498" s="2" t="s">
        <v>3174</v>
      </c>
      <c r="C498" s="2" t="s">
        <v>290</v>
      </c>
      <c r="D498" s="2" t="s">
        <v>3175</v>
      </c>
      <c r="E498" s="2" t="s">
        <v>18</v>
      </c>
      <c r="F498" s="2" t="s">
        <v>1486</v>
      </c>
      <c r="G498" s="2" t="s">
        <v>2341</v>
      </c>
      <c r="H498" s="2" t="s">
        <v>1750</v>
      </c>
      <c r="I498" s="2">
        <v>4</v>
      </c>
      <c r="J498" s="2" t="s">
        <v>39</v>
      </c>
      <c r="K498" s="2" t="s">
        <v>109</v>
      </c>
      <c r="L498" s="2" t="s">
        <v>344</v>
      </c>
      <c r="M498" s="2" t="s">
        <v>3176</v>
      </c>
      <c r="N498" s="2" t="s">
        <v>837</v>
      </c>
      <c r="O498" s="2" t="s">
        <v>27</v>
      </c>
      <c r="P498" s="2" t="s">
        <v>257</v>
      </c>
      <c r="Q498" s="2" t="s">
        <v>400</v>
      </c>
      <c r="R498" s="2">
        <v>1</v>
      </c>
      <c r="S498" s="2">
        <v>42352.46</v>
      </c>
      <c r="T498" s="2">
        <v>10</v>
      </c>
      <c r="U498" s="2">
        <v>38117.21</v>
      </c>
      <c r="V498" s="2">
        <v>23032.400000000001</v>
      </c>
      <c r="W498" s="2">
        <v>15084.81</v>
      </c>
      <c r="X498" s="2">
        <v>39.57</v>
      </c>
      <c r="Y498" s="2">
        <v>49</v>
      </c>
      <c r="Z498" s="2" t="s">
        <v>43</v>
      </c>
      <c r="AA498" s="2" t="s">
        <v>275</v>
      </c>
      <c r="AB498" s="2" t="s">
        <v>101</v>
      </c>
      <c r="AC498" s="2"/>
    </row>
    <row r="499" spans="1:29" x14ac:dyDescent="0.3">
      <c r="A499" s="3" t="s">
        <v>3177</v>
      </c>
      <c r="B499" s="3" t="s">
        <v>3178</v>
      </c>
      <c r="C499" s="3" t="s">
        <v>260</v>
      </c>
      <c r="D499" s="3" t="s">
        <v>3179</v>
      </c>
      <c r="E499" s="3" t="s">
        <v>33</v>
      </c>
      <c r="F499" s="3" t="s">
        <v>3180</v>
      </c>
      <c r="G499" s="3" t="s">
        <v>691</v>
      </c>
      <c r="H499" s="3" t="s">
        <v>3181</v>
      </c>
      <c r="I499" s="3">
        <v>6</v>
      </c>
      <c r="J499" s="3" t="s">
        <v>14</v>
      </c>
      <c r="K499" s="3" t="s">
        <v>95</v>
      </c>
      <c r="L499" s="3" t="s">
        <v>95</v>
      </c>
      <c r="M499" s="3" t="s">
        <v>3182</v>
      </c>
      <c r="N499" s="3" t="s">
        <v>266</v>
      </c>
      <c r="O499" s="3" t="s">
        <v>28</v>
      </c>
      <c r="P499" s="3" t="s">
        <v>151</v>
      </c>
      <c r="Q499" s="3" t="s">
        <v>218</v>
      </c>
      <c r="R499" s="3">
        <v>5</v>
      </c>
      <c r="S499" s="3">
        <v>9389.01</v>
      </c>
      <c r="T499" s="3">
        <v>25</v>
      </c>
      <c r="U499" s="3">
        <v>35208.79</v>
      </c>
      <c r="V499" s="3">
        <v>23996.720000000001</v>
      </c>
      <c r="W499" s="3">
        <v>11212.07</v>
      </c>
      <c r="X499" s="3">
        <v>31.84</v>
      </c>
      <c r="Y499" s="3">
        <v>99</v>
      </c>
      <c r="Z499" s="3" t="s">
        <v>48</v>
      </c>
      <c r="AA499" s="3" t="s">
        <v>100</v>
      </c>
      <c r="AB499" s="3" t="s">
        <v>101</v>
      </c>
      <c r="AC499" s="3">
        <v>2</v>
      </c>
    </row>
    <row r="500" spans="1:29" x14ac:dyDescent="0.3">
      <c r="A500" s="2" t="s">
        <v>3183</v>
      </c>
      <c r="B500" s="2" t="s">
        <v>3184</v>
      </c>
      <c r="C500" s="2" t="s">
        <v>1159</v>
      </c>
      <c r="D500" s="2" t="s">
        <v>3185</v>
      </c>
      <c r="E500" s="2" t="s">
        <v>33</v>
      </c>
      <c r="F500" s="2" t="s">
        <v>803</v>
      </c>
      <c r="G500" s="2" t="s">
        <v>3186</v>
      </c>
      <c r="H500" s="2" t="s">
        <v>381</v>
      </c>
      <c r="I500" s="2">
        <v>5</v>
      </c>
      <c r="J500" s="2" t="s">
        <v>14</v>
      </c>
      <c r="K500" s="2" t="s">
        <v>171</v>
      </c>
      <c r="L500" s="2" t="s">
        <v>541</v>
      </c>
      <c r="M500" s="2" t="s">
        <v>3187</v>
      </c>
      <c r="N500" s="2" t="s">
        <v>163</v>
      </c>
      <c r="O500" s="2" t="s">
        <v>21</v>
      </c>
      <c r="P500" s="2" t="s">
        <v>126</v>
      </c>
      <c r="Q500" s="2" t="s">
        <v>152</v>
      </c>
      <c r="R500" s="2">
        <v>3</v>
      </c>
      <c r="S500" s="2">
        <v>41753.949999999997</v>
      </c>
      <c r="T500" s="2">
        <v>30</v>
      </c>
      <c r="U500" s="2">
        <v>87683.29</v>
      </c>
      <c r="V500" s="2">
        <v>49669.85</v>
      </c>
      <c r="W500" s="2">
        <v>38013.440000000002</v>
      </c>
      <c r="X500" s="2">
        <v>43.35</v>
      </c>
      <c r="Y500" s="2">
        <v>0</v>
      </c>
      <c r="Z500" s="2" t="s">
        <v>23</v>
      </c>
      <c r="AA500" s="2" t="s">
        <v>100</v>
      </c>
      <c r="AB500" s="2" t="s">
        <v>140</v>
      </c>
      <c r="AC500" s="2">
        <v>5</v>
      </c>
    </row>
    <row r="501" spans="1:29" x14ac:dyDescent="0.3">
      <c r="A501" s="3" t="s">
        <v>3188</v>
      </c>
      <c r="B501" s="3" t="s">
        <v>3189</v>
      </c>
      <c r="C501" s="3" t="s">
        <v>1880</v>
      </c>
      <c r="D501" s="3" t="s">
        <v>3190</v>
      </c>
      <c r="E501" s="3" t="s">
        <v>26</v>
      </c>
      <c r="F501" s="3" t="s">
        <v>280</v>
      </c>
      <c r="G501" s="3" t="s">
        <v>3191</v>
      </c>
      <c r="H501" s="3" t="s">
        <v>3119</v>
      </c>
      <c r="I501" s="3">
        <v>3</v>
      </c>
      <c r="J501" s="3" t="s">
        <v>14</v>
      </c>
      <c r="K501" s="3" t="s">
        <v>171</v>
      </c>
      <c r="L501" s="3" t="s">
        <v>407</v>
      </c>
      <c r="M501" s="3" t="s">
        <v>3192</v>
      </c>
      <c r="N501" s="3" t="s">
        <v>185</v>
      </c>
      <c r="O501" s="3" t="s">
        <v>28</v>
      </c>
      <c r="P501" s="3" t="s">
        <v>151</v>
      </c>
      <c r="Q501" s="3" t="s">
        <v>138</v>
      </c>
      <c r="R501" s="3">
        <v>4</v>
      </c>
      <c r="S501" s="3">
        <v>42399.23</v>
      </c>
      <c r="T501" s="3">
        <v>10</v>
      </c>
      <c r="U501" s="3">
        <v>152637.23000000001</v>
      </c>
      <c r="V501" s="3">
        <v>106016.68</v>
      </c>
      <c r="W501" s="3">
        <v>46620.55</v>
      </c>
      <c r="X501" s="3">
        <v>30.54</v>
      </c>
      <c r="Y501" s="3">
        <v>49</v>
      </c>
      <c r="Z501" s="3" t="s">
        <v>15</v>
      </c>
      <c r="AA501" s="3" t="s">
        <v>100</v>
      </c>
      <c r="AB501" s="3" t="s">
        <v>101</v>
      </c>
      <c r="AC501" s="3">
        <v>4</v>
      </c>
    </row>
    <row r="502" spans="1:29" x14ac:dyDescent="0.3">
      <c r="A502" s="2" t="s">
        <v>3193</v>
      </c>
      <c r="B502" s="2" t="s">
        <v>3194</v>
      </c>
      <c r="C502" s="2" t="s">
        <v>2151</v>
      </c>
      <c r="D502" s="2" t="s">
        <v>3195</v>
      </c>
      <c r="E502" s="2" t="s">
        <v>33</v>
      </c>
      <c r="F502" s="2" t="s">
        <v>906</v>
      </c>
      <c r="G502" s="2" t="s">
        <v>907</v>
      </c>
      <c r="H502" s="2" t="s">
        <v>908</v>
      </c>
      <c r="I502" s="2">
        <v>2</v>
      </c>
      <c r="J502" s="2" t="s">
        <v>22</v>
      </c>
      <c r="K502" s="2" t="s">
        <v>738</v>
      </c>
      <c r="L502" s="2" t="s">
        <v>738</v>
      </c>
      <c r="M502" s="2" t="s">
        <v>3196</v>
      </c>
      <c r="N502" s="2" t="s">
        <v>185</v>
      </c>
      <c r="O502" s="2" t="s">
        <v>28</v>
      </c>
      <c r="P502" s="2" t="s">
        <v>151</v>
      </c>
      <c r="Q502" s="2" t="s">
        <v>400</v>
      </c>
      <c r="R502" s="2">
        <v>4</v>
      </c>
      <c r="S502" s="2">
        <v>44326.559999999998</v>
      </c>
      <c r="T502" s="2">
        <v>30</v>
      </c>
      <c r="U502" s="2">
        <v>124114.37</v>
      </c>
      <c r="V502" s="2">
        <v>72101.7</v>
      </c>
      <c r="W502" s="2">
        <v>52012.67</v>
      </c>
      <c r="X502" s="2">
        <v>41.91</v>
      </c>
      <c r="Y502" s="2">
        <v>29</v>
      </c>
      <c r="Z502" s="2" t="s">
        <v>15</v>
      </c>
      <c r="AA502" s="2" t="s">
        <v>100</v>
      </c>
      <c r="AB502" s="2" t="s">
        <v>101</v>
      </c>
      <c r="AC502" s="2"/>
    </row>
    <row r="503" spans="1:29" x14ac:dyDescent="0.3">
      <c r="A503" s="3" t="s">
        <v>3197</v>
      </c>
      <c r="B503" s="3" t="s">
        <v>3198</v>
      </c>
      <c r="C503" s="3" t="s">
        <v>1426</v>
      </c>
      <c r="D503" s="3" t="s">
        <v>3199</v>
      </c>
      <c r="E503" s="3" t="s">
        <v>42</v>
      </c>
      <c r="F503" s="3" t="s">
        <v>938</v>
      </c>
      <c r="G503" s="3" t="s">
        <v>3200</v>
      </c>
      <c r="H503" s="3" t="s">
        <v>3201</v>
      </c>
      <c r="I503" s="3">
        <v>3</v>
      </c>
      <c r="J503" s="3" t="s">
        <v>39</v>
      </c>
      <c r="K503" s="3" t="s">
        <v>193</v>
      </c>
      <c r="L503" s="3" t="s">
        <v>193</v>
      </c>
      <c r="M503" s="3" t="s">
        <v>2889</v>
      </c>
      <c r="N503" s="3" t="s">
        <v>704</v>
      </c>
      <c r="O503" s="3" t="s">
        <v>13</v>
      </c>
      <c r="P503" s="3" t="s">
        <v>419</v>
      </c>
      <c r="Q503" s="3" t="s">
        <v>99</v>
      </c>
      <c r="R503" s="3">
        <v>3</v>
      </c>
      <c r="S503" s="3">
        <v>30065</v>
      </c>
      <c r="T503" s="3">
        <v>5</v>
      </c>
      <c r="U503" s="3">
        <v>85685.25</v>
      </c>
      <c r="V503" s="3">
        <v>50607.19</v>
      </c>
      <c r="W503" s="3">
        <v>35078.06</v>
      </c>
      <c r="X503" s="3">
        <v>40.94</v>
      </c>
      <c r="Y503" s="3">
        <v>199</v>
      </c>
      <c r="Z503" s="3" t="s">
        <v>43</v>
      </c>
      <c r="AA503" s="3" t="s">
        <v>100</v>
      </c>
      <c r="AB503" s="3" t="s">
        <v>101</v>
      </c>
      <c r="AC503" s="3">
        <v>4</v>
      </c>
    </row>
    <row r="504" spans="1:29" x14ac:dyDescent="0.3">
      <c r="A504" s="2" t="s">
        <v>3202</v>
      </c>
      <c r="B504" s="2" t="s">
        <v>3203</v>
      </c>
      <c r="C504" s="2" t="s">
        <v>2882</v>
      </c>
      <c r="D504" s="2" t="s">
        <v>3204</v>
      </c>
      <c r="E504" s="2" t="s">
        <v>42</v>
      </c>
      <c r="F504" s="2" t="s">
        <v>2868</v>
      </c>
      <c r="G504" s="2" t="s">
        <v>866</v>
      </c>
      <c r="H504" s="2" t="s">
        <v>2872</v>
      </c>
      <c r="I504" s="2">
        <v>3</v>
      </c>
      <c r="J504" s="2" t="s">
        <v>39</v>
      </c>
      <c r="K504" s="2" t="s">
        <v>109</v>
      </c>
      <c r="L504" s="2" t="s">
        <v>110</v>
      </c>
      <c r="M504" s="2" t="s">
        <v>3205</v>
      </c>
      <c r="N504" s="2" t="s">
        <v>136</v>
      </c>
      <c r="O504" s="2" t="s">
        <v>28</v>
      </c>
      <c r="P504" s="2" t="s">
        <v>137</v>
      </c>
      <c r="Q504" s="2" t="s">
        <v>466</v>
      </c>
      <c r="R504" s="2">
        <v>2</v>
      </c>
      <c r="S504" s="2">
        <v>11720.78</v>
      </c>
      <c r="T504" s="2">
        <v>15</v>
      </c>
      <c r="U504" s="2">
        <v>19925.330000000002</v>
      </c>
      <c r="V504" s="2">
        <v>12005.53</v>
      </c>
      <c r="W504" s="2">
        <v>7919.8</v>
      </c>
      <c r="X504" s="2">
        <v>39.75</v>
      </c>
      <c r="Y504" s="2">
        <v>199</v>
      </c>
      <c r="Z504" s="2" t="s">
        <v>40</v>
      </c>
      <c r="AA504" s="2" t="s">
        <v>100</v>
      </c>
      <c r="AB504" s="2" t="s">
        <v>101</v>
      </c>
      <c r="AC504" s="2">
        <v>5</v>
      </c>
    </row>
    <row r="505" spans="1:29" x14ac:dyDescent="0.3">
      <c r="A505" s="3" t="s">
        <v>3206</v>
      </c>
      <c r="B505" s="3" t="s">
        <v>3207</v>
      </c>
      <c r="C505" s="3" t="s">
        <v>1683</v>
      </c>
      <c r="D505" s="3" t="s">
        <v>3208</v>
      </c>
      <c r="E505" s="3" t="s">
        <v>26</v>
      </c>
      <c r="F505" s="3" t="s">
        <v>3209</v>
      </c>
      <c r="G505" s="3" t="s">
        <v>2611</v>
      </c>
      <c r="H505" s="3" t="s">
        <v>1249</v>
      </c>
      <c r="I505" s="3">
        <v>7</v>
      </c>
      <c r="J505" s="3" t="s">
        <v>22</v>
      </c>
      <c r="K505" s="3" t="s">
        <v>443</v>
      </c>
      <c r="L505" s="3" t="s">
        <v>567</v>
      </c>
      <c r="M505" s="3" t="s">
        <v>3210</v>
      </c>
      <c r="N505" s="3" t="s">
        <v>185</v>
      </c>
      <c r="O505" s="3" t="s">
        <v>28</v>
      </c>
      <c r="P505" s="3" t="s">
        <v>151</v>
      </c>
      <c r="Q505" s="3" t="s">
        <v>246</v>
      </c>
      <c r="R505" s="3">
        <v>2</v>
      </c>
      <c r="S505" s="3">
        <v>12321.98</v>
      </c>
      <c r="T505" s="3">
        <v>20</v>
      </c>
      <c r="U505" s="3">
        <v>19715.169999999998</v>
      </c>
      <c r="V505" s="3">
        <v>11263.83</v>
      </c>
      <c r="W505" s="3">
        <v>8451.34</v>
      </c>
      <c r="X505" s="3">
        <v>42.87</v>
      </c>
      <c r="Y505" s="3">
        <v>149</v>
      </c>
      <c r="Z505" s="3" t="s">
        <v>48</v>
      </c>
      <c r="AA505" s="3" t="s">
        <v>100</v>
      </c>
      <c r="AB505" s="3" t="s">
        <v>101</v>
      </c>
      <c r="AC505" s="3">
        <v>5</v>
      </c>
    </row>
    <row r="506" spans="1:29" x14ac:dyDescent="0.3">
      <c r="A506" s="2" t="s">
        <v>3211</v>
      </c>
      <c r="B506" s="2" t="s">
        <v>3212</v>
      </c>
      <c r="C506" s="2" t="s">
        <v>1590</v>
      </c>
      <c r="D506" s="2" t="s">
        <v>3213</v>
      </c>
      <c r="E506" s="2" t="s">
        <v>18</v>
      </c>
      <c r="F506" s="2" t="s">
        <v>2974</v>
      </c>
      <c r="G506" s="2" t="s">
        <v>2076</v>
      </c>
      <c r="H506" s="2" t="s">
        <v>1592</v>
      </c>
      <c r="I506" s="2">
        <v>4</v>
      </c>
      <c r="J506" s="2" t="s">
        <v>14</v>
      </c>
      <c r="K506" s="2" t="s">
        <v>183</v>
      </c>
      <c r="L506" s="2" t="s">
        <v>183</v>
      </c>
      <c r="M506" s="2" t="s">
        <v>3214</v>
      </c>
      <c r="N506" s="2" t="s">
        <v>508</v>
      </c>
      <c r="O506" s="2" t="s">
        <v>19</v>
      </c>
      <c r="P506" s="2" t="s">
        <v>365</v>
      </c>
      <c r="Q506" s="2" t="s">
        <v>114</v>
      </c>
      <c r="R506" s="2">
        <v>4</v>
      </c>
      <c r="S506" s="2">
        <v>25769.62</v>
      </c>
      <c r="T506" s="2">
        <v>30</v>
      </c>
      <c r="U506" s="2">
        <v>72154.94</v>
      </c>
      <c r="V506" s="2">
        <v>42603.57</v>
      </c>
      <c r="W506" s="2">
        <v>29551.37</v>
      </c>
      <c r="X506" s="2">
        <v>40.96</v>
      </c>
      <c r="Y506" s="2">
        <v>99</v>
      </c>
      <c r="Z506" s="2" t="s">
        <v>43</v>
      </c>
      <c r="AA506" s="2" t="s">
        <v>100</v>
      </c>
      <c r="AB506" s="2" t="s">
        <v>101</v>
      </c>
      <c r="AC506" s="2">
        <v>1</v>
      </c>
    </row>
    <row r="507" spans="1:29" x14ac:dyDescent="0.3">
      <c r="A507" s="3" t="s">
        <v>3215</v>
      </c>
      <c r="B507" s="3" t="s">
        <v>3216</v>
      </c>
      <c r="C507" s="3" t="s">
        <v>2460</v>
      </c>
      <c r="D507" s="3" t="s">
        <v>3217</v>
      </c>
      <c r="E507" s="3" t="s">
        <v>18</v>
      </c>
      <c r="F507" s="3" t="s">
        <v>1708</v>
      </c>
      <c r="G507" s="3" t="s">
        <v>1058</v>
      </c>
      <c r="H507" s="3" t="s">
        <v>3218</v>
      </c>
      <c r="I507" s="3">
        <v>8</v>
      </c>
      <c r="J507" s="3" t="s">
        <v>29</v>
      </c>
      <c r="K507" s="3" t="s">
        <v>148</v>
      </c>
      <c r="L507" s="3" t="s">
        <v>148</v>
      </c>
      <c r="M507" s="3" t="s">
        <v>3219</v>
      </c>
      <c r="N507" s="3" t="s">
        <v>390</v>
      </c>
      <c r="O507" s="3" t="s">
        <v>19</v>
      </c>
      <c r="P507" s="3" t="s">
        <v>297</v>
      </c>
      <c r="Q507" s="3" t="s">
        <v>355</v>
      </c>
      <c r="R507" s="3">
        <v>1</v>
      </c>
      <c r="S507" s="3">
        <v>24953.23</v>
      </c>
      <c r="T507" s="3">
        <v>25</v>
      </c>
      <c r="U507" s="3">
        <v>18714.919999999998</v>
      </c>
      <c r="V507" s="3">
        <v>9003.76</v>
      </c>
      <c r="W507" s="3">
        <v>9711.16</v>
      </c>
      <c r="X507" s="3">
        <v>51.89</v>
      </c>
      <c r="Y507" s="3">
        <v>199</v>
      </c>
      <c r="Z507" s="3" t="s">
        <v>30</v>
      </c>
      <c r="AA507" s="3" t="s">
        <v>100</v>
      </c>
      <c r="AB507" s="3" t="s">
        <v>101</v>
      </c>
      <c r="AC507" s="3">
        <v>2</v>
      </c>
    </row>
    <row r="508" spans="1:29" x14ac:dyDescent="0.3">
      <c r="A508" s="2" t="s">
        <v>3220</v>
      </c>
      <c r="B508" s="2" t="s">
        <v>3221</v>
      </c>
      <c r="C508" s="2" t="s">
        <v>2147</v>
      </c>
      <c r="D508" s="2" t="s">
        <v>3222</v>
      </c>
      <c r="E508" s="2" t="s">
        <v>42</v>
      </c>
      <c r="F508" s="2" t="s">
        <v>223</v>
      </c>
      <c r="G508" s="2" t="s">
        <v>1766</v>
      </c>
      <c r="H508" s="2" t="s">
        <v>426</v>
      </c>
      <c r="I508" s="2">
        <v>3</v>
      </c>
      <c r="J508" s="2" t="s">
        <v>39</v>
      </c>
      <c r="K508" s="2" t="s">
        <v>193</v>
      </c>
      <c r="L508" s="2" t="s">
        <v>193</v>
      </c>
      <c r="M508" s="2" t="s">
        <v>3223</v>
      </c>
      <c r="N508" s="2" t="s">
        <v>1535</v>
      </c>
      <c r="O508" s="2" t="s">
        <v>13</v>
      </c>
      <c r="P508" s="2" t="s">
        <v>98</v>
      </c>
      <c r="Q508" s="2" t="s">
        <v>152</v>
      </c>
      <c r="R508" s="2">
        <v>2</v>
      </c>
      <c r="S508" s="2">
        <v>11187.08</v>
      </c>
      <c r="T508" s="2">
        <v>10</v>
      </c>
      <c r="U508" s="2">
        <v>20136.740000000002</v>
      </c>
      <c r="V508" s="2">
        <v>11682.11</v>
      </c>
      <c r="W508" s="2">
        <v>8454.6299999999992</v>
      </c>
      <c r="X508" s="2">
        <v>41.99</v>
      </c>
      <c r="Y508" s="2">
        <v>29</v>
      </c>
      <c r="Z508" s="2" t="s">
        <v>30</v>
      </c>
      <c r="AA508" s="2" t="s">
        <v>186</v>
      </c>
      <c r="AB508" s="2" t="s">
        <v>140</v>
      </c>
      <c r="AC508" s="2"/>
    </row>
    <row r="509" spans="1:29" x14ac:dyDescent="0.3">
      <c r="A509" s="3" t="s">
        <v>3224</v>
      </c>
      <c r="B509" s="3" t="s">
        <v>3225</v>
      </c>
      <c r="C509" s="3" t="s">
        <v>619</v>
      </c>
      <c r="D509" s="3" t="s">
        <v>3226</v>
      </c>
      <c r="E509" s="3" t="s">
        <v>26</v>
      </c>
      <c r="F509" s="3" t="s">
        <v>3227</v>
      </c>
      <c r="G509" s="3" t="s">
        <v>540</v>
      </c>
      <c r="H509" s="3" t="s">
        <v>1367</v>
      </c>
      <c r="I509" s="3">
        <v>8</v>
      </c>
      <c r="J509" s="3" t="s">
        <v>14</v>
      </c>
      <c r="K509" s="3" t="s">
        <v>712</v>
      </c>
      <c r="L509" s="3" t="s">
        <v>712</v>
      </c>
      <c r="M509" s="3" t="s">
        <v>3228</v>
      </c>
      <c r="N509" s="3" t="s">
        <v>456</v>
      </c>
      <c r="O509" s="3" t="s">
        <v>21</v>
      </c>
      <c r="P509" s="3" t="s">
        <v>206</v>
      </c>
      <c r="Q509" s="3" t="s">
        <v>152</v>
      </c>
      <c r="R509" s="3">
        <v>1</v>
      </c>
      <c r="S509" s="3">
        <v>31711.96</v>
      </c>
      <c r="T509" s="3">
        <v>15</v>
      </c>
      <c r="U509" s="3">
        <v>26955.17</v>
      </c>
      <c r="V509" s="3">
        <v>13235.86</v>
      </c>
      <c r="W509" s="3">
        <v>13719.31</v>
      </c>
      <c r="X509" s="3">
        <v>50.9</v>
      </c>
      <c r="Y509" s="3">
        <v>149</v>
      </c>
      <c r="Z509" s="3" t="s">
        <v>23</v>
      </c>
      <c r="AA509" s="3" t="s">
        <v>100</v>
      </c>
      <c r="AB509" s="3" t="s">
        <v>140</v>
      </c>
      <c r="AC509" s="3">
        <v>2</v>
      </c>
    </row>
    <row r="510" spans="1:29" x14ac:dyDescent="0.3">
      <c r="A510" s="2" t="s">
        <v>3229</v>
      </c>
      <c r="B510" s="2" t="s">
        <v>3230</v>
      </c>
      <c r="C510" s="2" t="s">
        <v>967</v>
      </c>
      <c r="D510" s="2" t="s">
        <v>3231</v>
      </c>
      <c r="E510" s="2" t="s">
        <v>26</v>
      </c>
      <c r="F510" s="2" t="s">
        <v>272</v>
      </c>
      <c r="G510" s="2" t="s">
        <v>613</v>
      </c>
      <c r="H510" s="2" t="s">
        <v>3232</v>
      </c>
      <c r="I510" s="2">
        <v>7</v>
      </c>
      <c r="J510" s="2" t="s">
        <v>29</v>
      </c>
      <c r="K510" s="2" t="s">
        <v>334</v>
      </c>
      <c r="L510" s="2" t="s">
        <v>614</v>
      </c>
      <c r="M510" s="2" t="s">
        <v>3233</v>
      </c>
      <c r="N510" s="2" t="s">
        <v>1223</v>
      </c>
      <c r="O510" s="2" t="s">
        <v>19</v>
      </c>
      <c r="P510" s="2" t="s">
        <v>447</v>
      </c>
      <c r="Q510" s="2" t="s">
        <v>400</v>
      </c>
      <c r="R510" s="2">
        <v>1</v>
      </c>
      <c r="S510" s="2">
        <v>5288.4</v>
      </c>
      <c r="T510" s="2">
        <v>10</v>
      </c>
      <c r="U510" s="2">
        <v>4759.5600000000004</v>
      </c>
      <c r="V510" s="2">
        <v>2446.75</v>
      </c>
      <c r="W510" s="2">
        <v>2312.81</v>
      </c>
      <c r="X510" s="2">
        <v>48.59</v>
      </c>
      <c r="Y510" s="2">
        <v>149</v>
      </c>
      <c r="Z510" s="2" t="s">
        <v>15</v>
      </c>
      <c r="AA510" s="2" t="s">
        <v>139</v>
      </c>
      <c r="AB510" s="2" t="s">
        <v>140</v>
      </c>
      <c r="AC510" s="2"/>
    </row>
    <row r="511" spans="1:29" x14ac:dyDescent="0.3">
      <c r="A511" s="3" t="s">
        <v>3234</v>
      </c>
      <c r="B511" s="3" t="s">
        <v>3235</v>
      </c>
      <c r="C511" s="3" t="s">
        <v>1590</v>
      </c>
      <c r="D511" s="3" t="s">
        <v>3236</v>
      </c>
      <c r="E511" s="3" t="s">
        <v>33</v>
      </c>
      <c r="F511" s="3" t="s">
        <v>3041</v>
      </c>
      <c r="G511" s="3" t="s">
        <v>3237</v>
      </c>
      <c r="H511" s="3" t="s">
        <v>3238</v>
      </c>
      <c r="I511" s="3">
        <v>8</v>
      </c>
      <c r="J511" s="3" t="s">
        <v>22</v>
      </c>
      <c r="K511" s="3" t="s">
        <v>122</v>
      </c>
      <c r="L511" s="3" t="s">
        <v>123</v>
      </c>
      <c r="M511" s="3" t="s">
        <v>3239</v>
      </c>
      <c r="N511" s="3" t="s">
        <v>1051</v>
      </c>
      <c r="O511" s="3" t="s">
        <v>28</v>
      </c>
      <c r="P511" s="3" t="s">
        <v>151</v>
      </c>
      <c r="Q511" s="3" t="s">
        <v>287</v>
      </c>
      <c r="R511" s="3">
        <v>5</v>
      </c>
      <c r="S511" s="3">
        <v>13936.38</v>
      </c>
      <c r="T511" s="3">
        <v>20</v>
      </c>
      <c r="U511" s="3">
        <v>55745.52</v>
      </c>
      <c r="V511" s="3">
        <v>31206.03</v>
      </c>
      <c r="W511" s="3">
        <v>24539.49</v>
      </c>
      <c r="X511" s="3">
        <v>44.02</v>
      </c>
      <c r="Y511" s="3">
        <v>49</v>
      </c>
      <c r="Z511" s="3" t="s">
        <v>43</v>
      </c>
      <c r="AA511" s="3" t="s">
        <v>100</v>
      </c>
      <c r="AB511" s="3" t="s">
        <v>101</v>
      </c>
      <c r="AC511" s="3">
        <v>3</v>
      </c>
    </row>
    <row r="512" spans="1:29" x14ac:dyDescent="0.3">
      <c r="A512" s="2" t="s">
        <v>3240</v>
      </c>
      <c r="B512" s="2" t="s">
        <v>318</v>
      </c>
      <c r="C512" s="2" t="s">
        <v>1395</v>
      </c>
      <c r="D512" s="2" t="s">
        <v>3241</v>
      </c>
      <c r="E512" s="2" t="s">
        <v>33</v>
      </c>
      <c r="F512" s="2" t="s">
        <v>1702</v>
      </c>
      <c r="G512" s="2" t="s">
        <v>3242</v>
      </c>
      <c r="H512" s="2" t="s">
        <v>793</v>
      </c>
      <c r="I512" s="2">
        <v>4</v>
      </c>
      <c r="J512" s="2" t="s">
        <v>22</v>
      </c>
      <c r="K512" s="2" t="s">
        <v>254</v>
      </c>
      <c r="L512" s="2" t="s">
        <v>254</v>
      </c>
      <c r="M512" s="2" t="s">
        <v>3243</v>
      </c>
      <c r="N512" s="2" t="s">
        <v>327</v>
      </c>
      <c r="O512" s="2" t="s">
        <v>27</v>
      </c>
      <c r="P512" s="2" t="s">
        <v>113</v>
      </c>
      <c r="Q512" s="2" t="s">
        <v>287</v>
      </c>
      <c r="R512" s="2">
        <v>5</v>
      </c>
      <c r="S512" s="2">
        <v>144.68</v>
      </c>
      <c r="T512" s="2">
        <v>10</v>
      </c>
      <c r="U512" s="2">
        <v>651.05999999999995</v>
      </c>
      <c r="V512" s="2">
        <v>425.36</v>
      </c>
      <c r="W512" s="2">
        <v>225.7</v>
      </c>
      <c r="X512" s="2">
        <v>34.67</v>
      </c>
      <c r="Y512" s="2">
        <v>49</v>
      </c>
      <c r="Z512" s="2" t="s">
        <v>30</v>
      </c>
      <c r="AA512" s="2" t="s">
        <v>100</v>
      </c>
      <c r="AB512" s="2" t="s">
        <v>101</v>
      </c>
      <c r="AC512" s="2">
        <v>2</v>
      </c>
    </row>
    <row r="513" spans="1:29" x14ac:dyDescent="0.3">
      <c r="A513" s="3" t="s">
        <v>3244</v>
      </c>
      <c r="B513" s="3" t="s">
        <v>3245</v>
      </c>
      <c r="C513" s="3" t="s">
        <v>1782</v>
      </c>
      <c r="D513" s="3" t="s">
        <v>3246</v>
      </c>
      <c r="E513" s="3" t="s">
        <v>42</v>
      </c>
      <c r="F513" s="3" t="s">
        <v>1133</v>
      </c>
      <c r="G513" s="3" t="s">
        <v>1134</v>
      </c>
      <c r="H513" s="3" t="s">
        <v>2093</v>
      </c>
      <c r="I513" s="3">
        <v>2</v>
      </c>
      <c r="J513" s="3" t="s">
        <v>29</v>
      </c>
      <c r="K513" s="3" t="s">
        <v>834</v>
      </c>
      <c r="L513" s="3" t="s">
        <v>1000</v>
      </c>
      <c r="M513" s="3" t="s">
        <v>3247</v>
      </c>
      <c r="N513" s="3" t="s">
        <v>1051</v>
      </c>
      <c r="O513" s="3" t="s">
        <v>28</v>
      </c>
      <c r="P513" s="3" t="s">
        <v>151</v>
      </c>
      <c r="Q513" s="3" t="s">
        <v>246</v>
      </c>
      <c r="R513" s="3">
        <v>3</v>
      </c>
      <c r="S513" s="3">
        <v>43236.26</v>
      </c>
      <c r="T513" s="3">
        <v>20</v>
      </c>
      <c r="U513" s="3">
        <v>103767.02</v>
      </c>
      <c r="V513" s="3">
        <v>62529.4</v>
      </c>
      <c r="W513" s="3">
        <v>41237.620000000003</v>
      </c>
      <c r="X513" s="3">
        <v>39.74</v>
      </c>
      <c r="Y513" s="3">
        <v>0</v>
      </c>
      <c r="Z513" s="3" t="s">
        <v>15</v>
      </c>
      <c r="AA513" s="3" t="s">
        <v>100</v>
      </c>
      <c r="AB513" s="3" t="s">
        <v>101</v>
      </c>
      <c r="AC513" s="3">
        <v>1</v>
      </c>
    </row>
    <row r="514" spans="1:29" x14ac:dyDescent="0.3">
      <c r="A514" s="2" t="s">
        <v>3248</v>
      </c>
      <c r="B514" s="2" t="s">
        <v>3249</v>
      </c>
      <c r="C514" s="2" t="s">
        <v>3250</v>
      </c>
      <c r="D514" s="2" t="s">
        <v>3251</v>
      </c>
      <c r="E514" s="2" t="s">
        <v>18</v>
      </c>
      <c r="F514" s="2" t="s">
        <v>3252</v>
      </c>
      <c r="G514" s="2" t="s">
        <v>1668</v>
      </c>
      <c r="H514" s="2" t="s">
        <v>371</v>
      </c>
      <c r="I514" s="2">
        <v>4</v>
      </c>
      <c r="J514" s="2" t="s">
        <v>39</v>
      </c>
      <c r="K514" s="2" t="s">
        <v>225</v>
      </c>
      <c r="L514" s="2" t="s">
        <v>225</v>
      </c>
      <c r="M514" s="2" t="s">
        <v>336</v>
      </c>
      <c r="N514" s="2" t="s">
        <v>1802</v>
      </c>
      <c r="O514" s="2" t="s">
        <v>28</v>
      </c>
      <c r="P514" s="2" t="s">
        <v>137</v>
      </c>
      <c r="Q514" s="2" t="s">
        <v>138</v>
      </c>
      <c r="R514" s="2">
        <v>4</v>
      </c>
      <c r="S514" s="2">
        <v>24270.44</v>
      </c>
      <c r="T514" s="2">
        <v>5</v>
      </c>
      <c r="U514" s="2">
        <v>92227.67</v>
      </c>
      <c r="V514" s="2">
        <v>58758.34</v>
      </c>
      <c r="W514" s="2">
        <v>33469.33</v>
      </c>
      <c r="X514" s="2">
        <v>36.29</v>
      </c>
      <c r="Y514" s="2">
        <v>99</v>
      </c>
      <c r="Z514" s="2" t="s">
        <v>23</v>
      </c>
      <c r="AA514" s="2" t="s">
        <v>672</v>
      </c>
      <c r="AB514" s="2" t="s">
        <v>101</v>
      </c>
      <c r="AC514" s="2"/>
    </row>
    <row r="515" spans="1:29" x14ac:dyDescent="0.3">
      <c r="A515" s="3" t="s">
        <v>3253</v>
      </c>
      <c r="B515" s="3" t="s">
        <v>3254</v>
      </c>
      <c r="C515" s="3" t="s">
        <v>1054</v>
      </c>
      <c r="D515" s="3" t="s">
        <v>3255</v>
      </c>
      <c r="E515" s="3" t="s">
        <v>18</v>
      </c>
      <c r="F515" s="3" t="s">
        <v>3256</v>
      </c>
      <c r="G515" s="3" t="s">
        <v>1071</v>
      </c>
      <c r="H515" s="3" t="s">
        <v>2204</v>
      </c>
      <c r="I515" s="3">
        <v>4</v>
      </c>
      <c r="J515" s="3" t="s">
        <v>29</v>
      </c>
      <c r="K515" s="3" t="s">
        <v>834</v>
      </c>
      <c r="L515" s="3" t="s">
        <v>1000</v>
      </c>
      <c r="M515" s="3" t="s">
        <v>3257</v>
      </c>
      <c r="N515" s="3" t="s">
        <v>518</v>
      </c>
      <c r="O515" s="3" t="s">
        <v>19</v>
      </c>
      <c r="P515" s="3" t="s">
        <v>365</v>
      </c>
      <c r="Q515" s="3" t="s">
        <v>509</v>
      </c>
      <c r="R515" s="3">
        <v>2</v>
      </c>
      <c r="S515" s="3">
        <v>11517.62</v>
      </c>
      <c r="T515" s="3">
        <v>30</v>
      </c>
      <c r="U515" s="3">
        <v>16124.67</v>
      </c>
      <c r="V515" s="3">
        <v>10704.67</v>
      </c>
      <c r="W515" s="3">
        <v>5420</v>
      </c>
      <c r="X515" s="3">
        <v>33.61</v>
      </c>
      <c r="Y515" s="3">
        <v>29</v>
      </c>
      <c r="Z515" s="3" t="s">
        <v>47</v>
      </c>
      <c r="AA515" s="3" t="s">
        <v>275</v>
      </c>
      <c r="AB515" s="3" t="s">
        <v>101</v>
      </c>
      <c r="AC515" s="3"/>
    </row>
    <row r="516" spans="1:29" x14ac:dyDescent="0.3">
      <c r="A516" s="2" t="s">
        <v>3258</v>
      </c>
      <c r="B516" s="2" t="s">
        <v>3259</v>
      </c>
      <c r="C516" s="2" t="s">
        <v>855</v>
      </c>
      <c r="D516" s="2" t="s">
        <v>3260</v>
      </c>
      <c r="E516" s="2" t="s">
        <v>26</v>
      </c>
      <c r="F516" s="2" t="s">
        <v>253</v>
      </c>
      <c r="G516" s="2" t="s">
        <v>3261</v>
      </c>
      <c r="H516" s="2" t="s">
        <v>3262</v>
      </c>
      <c r="I516" s="2">
        <v>6</v>
      </c>
      <c r="J516" s="2" t="s">
        <v>29</v>
      </c>
      <c r="K516" s="2" t="s">
        <v>427</v>
      </c>
      <c r="L516" s="2" t="s">
        <v>1871</v>
      </c>
      <c r="M516" s="2" t="s">
        <v>3263</v>
      </c>
      <c r="N516" s="2" t="s">
        <v>150</v>
      </c>
      <c r="O516" s="2" t="s">
        <v>28</v>
      </c>
      <c r="P516" s="2" t="s">
        <v>151</v>
      </c>
      <c r="Q516" s="2" t="s">
        <v>138</v>
      </c>
      <c r="R516" s="2">
        <v>2</v>
      </c>
      <c r="S516" s="2">
        <v>47804.34</v>
      </c>
      <c r="T516" s="2">
        <v>5</v>
      </c>
      <c r="U516" s="2">
        <v>90828.25</v>
      </c>
      <c r="V516" s="2">
        <v>43074.63</v>
      </c>
      <c r="W516" s="2">
        <v>47753.62</v>
      </c>
      <c r="X516" s="2">
        <v>52.58</v>
      </c>
      <c r="Y516" s="2">
        <v>0</v>
      </c>
      <c r="Z516" s="2" t="s">
        <v>47</v>
      </c>
      <c r="AA516" s="2" t="s">
        <v>100</v>
      </c>
      <c r="AB516" s="2" t="s">
        <v>101</v>
      </c>
      <c r="AC516" s="2">
        <v>5</v>
      </c>
    </row>
    <row r="517" spans="1:29" x14ac:dyDescent="0.3">
      <c r="A517" s="3" t="s">
        <v>3264</v>
      </c>
      <c r="B517" s="3" t="s">
        <v>3265</v>
      </c>
      <c r="C517" s="3" t="s">
        <v>231</v>
      </c>
      <c r="D517" s="3" t="s">
        <v>3266</v>
      </c>
      <c r="E517" s="3" t="s">
        <v>18</v>
      </c>
      <c r="F517" s="3" t="s">
        <v>1049</v>
      </c>
      <c r="G517" s="3" t="s">
        <v>3015</v>
      </c>
      <c r="H517" s="3" t="s">
        <v>1487</v>
      </c>
      <c r="I517" s="3">
        <v>7</v>
      </c>
      <c r="J517" s="3" t="s">
        <v>29</v>
      </c>
      <c r="K517" s="3" t="s">
        <v>427</v>
      </c>
      <c r="L517" s="3" t="s">
        <v>1871</v>
      </c>
      <c r="M517" s="3" t="s">
        <v>3267</v>
      </c>
      <c r="N517" s="3" t="s">
        <v>1051</v>
      </c>
      <c r="O517" s="3" t="s">
        <v>28</v>
      </c>
      <c r="P517" s="3" t="s">
        <v>151</v>
      </c>
      <c r="Q517" s="3" t="s">
        <v>218</v>
      </c>
      <c r="R517" s="3">
        <v>1</v>
      </c>
      <c r="S517" s="3">
        <v>36376.67</v>
      </c>
      <c r="T517" s="3">
        <v>20</v>
      </c>
      <c r="U517" s="3">
        <v>29101.34</v>
      </c>
      <c r="V517" s="3">
        <v>16902.919999999998</v>
      </c>
      <c r="W517" s="3">
        <v>12198.42</v>
      </c>
      <c r="X517" s="3">
        <v>41.92</v>
      </c>
      <c r="Y517" s="3">
        <v>149</v>
      </c>
      <c r="Z517" s="3" t="s">
        <v>40</v>
      </c>
      <c r="AA517" s="3" t="s">
        <v>100</v>
      </c>
      <c r="AB517" s="3" t="s">
        <v>101</v>
      </c>
      <c r="AC517" s="3">
        <v>4</v>
      </c>
    </row>
    <row r="518" spans="1:29" x14ac:dyDescent="0.3">
      <c r="A518" s="2" t="s">
        <v>3268</v>
      </c>
      <c r="B518" s="2" t="s">
        <v>3269</v>
      </c>
      <c r="C518" s="2" t="s">
        <v>1233</v>
      </c>
      <c r="D518" s="2" t="s">
        <v>3270</v>
      </c>
      <c r="E518" s="2" t="s">
        <v>42</v>
      </c>
      <c r="F518" s="2" t="s">
        <v>1343</v>
      </c>
      <c r="G518" s="2" t="s">
        <v>1632</v>
      </c>
      <c r="H518" s="2" t="s">
        <v>1345</v>
      </c>
      <c r="I518" s="2">
        <v>8</v>
      </c>
      <c r="J518" s="2" t="s">
        <v>29</v>
      </c>
      <c r="K518" s="2" t="s">
        <v>834</v>
      </c>
      <c r="L518" s="2" t="s">
        <v>1000</v>
      </c>
      <c r="M518" s="2" t="s">
        <v>3271</v>
      </c>
      <c r="N518" s="2" t="s">
        <v>409</v>
      </c>
      <c r="O518" s="2" t="s">
        <v>21</v>
      </c>
      <c r="P518" s="2" t="s">
        <v>196</v>
      </c>
      <c r="Q518" s="2" t="s">
        <v>138</v>
      </c>
      <c r="R518" s="2">
        <v>2</v>
      </c>
      <c r="S518" s="2">
        <v>32918.25</v>
      </c>
      <c r="T518" s="2">
        <v>20</v>
      </c>
      <c r="U518" s="2">
        <v>52669.2</v>
      </c>
      <c r="V518" s="2">
        <v>33513.51</v>
      </c>
      <c r="W518" s="2">
        <v>19155.689999999999</v>
      </c>
      <c r="X518" s="2">
        <v>36.369999999999997</v>
      </c>
      <c r="Y518" s="2">
        <v>49</v>
      </c>
      <c r="Z518" s="2" t="s">
        <v>43</v>
      </c>
      <c r="AA518" s="2" t="s">
        <v>100</v>
      </c>
      <c r="AB518" s="2" t="s">
        <v>101</v>
      </c>
      <c r="AC518" s="2">
        <v>5</v>
      </c>
    </row>
    <row r="519" spans="1:29" x14ac:dyDescent="0.3">
      <c r="A519" s="3" t="s">
        <v>3272</v>
      </c>
      <c r="B519" s="3" t="s">
        <v>3095</v>
      </c>
      <c r="C519" s="3" t="s">
        <v>1293</v>
      </c>
      <c r="D519" s="3" t="s">
        <v>3273</v>
      </c>
      <c r="E519" s="3" t="s">
        <v>26</v>
      </c>
      <c r="F519" s="3" t="s">
        <v>2300</v>
      </c>
      <c r="G519" s="3" t="s">
        <v>745</v>
      </c>
      <c r="H519" s="3" t="s">
        <v>1652</v>
      </c>
      <c r="I519" s="3">
        <v>7</v>
      </c>
      <c r="J519" s="3" t="s">
        <v>22</v>
      </c>
      <c r="K519" s="3" t="s">
        <v>738</v>
      </c>
      <c r="L519" s="3" t="s">
        <v>738</v>
      </c>
      <c r="M519" s="3" t="s">
        <v>3274</v>
      </c>
      <c r="N519" s="3" t="s">
        <v>1380</v>
      </c>
      <c r="O519" s="3" t="s">
        <v>28</v>
      </c>
      <c r="P519" s="3" t="s">
        <v>137</v>
      </c>
      <c r="Q519" s="3" t="s">
        <v>287</v>
      </c>
      <c r="R519" s="3">
        <v>2</v>
      </c>
      <c r="S519" s="3">
        <v>13887.67</v>
      </c>
      <c r="T519" s="3">
        <v>5</v>
      </c>
      <c r="U519" s="3">
        <v>26386.57</v>
      </c>
      <c r="V519" s="3">
        <v>17335.68</v>
      </c>
      <c r="W519" s="3">
        <v>9050.89</v>
      </c>
      <c r="X519" s="3">
        <v>34.299999999999997</v>
      </c>
      <c r="Y519" s="3">
        <v>0</v>
      </c>
      <c r="Z519" s="3" t="s">
        <v>30</v>
      </c>
      <c r="AA519" s="3" t="s">
        <v>100</v>
      </c>
      <c r="AB519" s="3" t="s">
        <v>101</v>
      </c>
      <c r="AC519" s="3"/>
    </row>
    <row r="520" spans="1:29" x14ac:dyDescent="0.3">
      <c r="A520" s="2" t="s">
        <v>3275</v>
      </c>
      <c r="B520" s="2" t="s">
        <v>3276</v>
      </c>
      <c r="C520" s="2" t="s">
        <v>586</v>
      </c>
      <c r="D520" s="2" t="s">
        <v>3277</v>
      </c>
      <c r="E520" s="2" t="s">
        <v>42</v>
      </c>
      <c r="F520" s="2" t="s">
        <v>2301</v>
      </c>
      <c r="G520" s="2" t="s">
        <v>1652</v>
      </c>
      <c r="H520" s="2" t="s">
        <v>747</v>
      </c>
      <c r="I520" s="2">
        <v>2</v>
      </c>
      <c r="J520" s="2" t="s">
        <v>29</v>
      </c>
      <c r="K520" s="2" t="s">
        <v>334</v>
      </c>
      <c r="L520" s="2" t="s">
        <v>614</v>
      </c>
      <c r="M520" s="2" t="s">
        <v>3278</v>
      </c>
      <c r="N520" s="2" t="s">
        <v>805</v>
      </c>
      <c r="O520" s="2" t="s">
        <v>28</v>
      </c>
      <c r="P520" s="2" t="s">
        <v>151</v>
      </c>
      <c r="Q520" s="2" t="s">
        <v>287</v>
      </c>
      <c r="R520" s="2">
        <v>3</v>
      </c>
      <c r="S520" s="2">
        <v>24032.07</v>
      </c>
      <c r="T520" s="2">
        <v>5</v>
      </c>
      <c r="U520" s="2">
        <v>68491.399999999994</v>
      </c>
      <c r="V520" s="2">
        <v>45187.360000000001</v>
      </c>
      <c r="W520" s="2">
        <v>23304.04</v>
      </c>
      <c r="X520" s="2">
        <v>34.020000000000003</v>
      </c>
      <c r="Y520" s="2">
        <v>199</v>
      </c>
      <c r="Z520" s="2" t="s">
        <v>15</v>
      </c>
      <c r="AA520" s="2" t="s">
        <v>275</v>
      </c>
      <c r="AB520" s="2" t="s">
        <v>101</v>
      </c>
      <c r="AC520" s="2"/>
    </row>
    <row r="521" spans="1:29" x14ac:dyDescent="0.3">
      <c r="A521" s="3" t="s">
        <v>3279</v>
      </c>
      <c r="B521" s="3" t="s">
        <v>3280</v>
      </c>
      <c r="C521" s="3" t="s">
        <v>2651</v>
      </c>
      <c r="D521" s="3" t="s">
        <v>3281</v>
      </c>
      <c r="E521" s="3" t="s">
        <v>18</v>
      </c>
      <c r="F521" s="3" t="s">
        <v>2364</v>
      </c>
      <c r="G521" s="3" t="s">
        <v>2253</v>
      </c>
      <c r="H521" s="3" t="s">
        <v>2365</v>
      </c>
      <c r="I521" s="3">
        <v>2</v>
      </c>
      <c r="J521" s="3" t="s">
        <v>22</v>
      </c>
      <c r="K521" s="3" t="s">
        <v>283</v>
      </c>
      <c r="L521" s="3" t="s">
        <v>1346</v>
      </c>
      <c r="M521" s="3" t="s">
        <v>3282</v>
      </c>
      <c r="N521" s="3" t="s">
        <v>924</v>
      </c>
      <c r="O521" s="3" t="s">
        <v>13</v>
      </c>
      <c r="P521" s="3" t="s">
        <v>228</v>
      </c>
      <c r="Q521" s="3" t="s">
        <v>207</v>
      </c>
      <c r="R521" s="3">
        <v>2</v>
      </c>
      <c r="S521" s="3">
        <v>23564.41</v>
      </c>
      <c r="T521" s="3">
        <v>5</v>
      </c>
      <c r="U521" s="3">
        <v>44772.38</v>
      </c>
      <c r="V521" s="3">
        <v>31300.28</v>
      </c>
      <c r="W521" s="3">
        <v>13472.1</v>
      </c>
      <c r="X521" s="3">
        <v>30.09</v>
      </c>
      <c r="Y521" s="3">
        <v>49</v>
      </c>
      <c r="Z521" s="3" t="s">
        <v>40</v>
      </c>
      <c r="AA521" s="3" t="s">
        <v>100</v>
      </c>
      <c r="AB521" s="3" t="s">
        <v>101</v>
      </c>
      <c r="AC521" s="3">
        <v>1</v>
      </c>
    </row>
    <row r="522" spans="1:29" x14ac:dyDescent="0.3">
      <c r="A522" s="2" t="s">
        <v>3283</v>
      </c>
      <c r="B522" s="2" t="s">
        <v>3284</v>
      </c>
      <c r="C522" s="2" t="s">
        <v>707</v>
      </c>
      <c r="D522" s="2" t="s">
        <v>3285</v>
      </c>
      <c r="E522" s="2" t="s">
        <v>26</v>
      </c>
      <c r="F522" s="2" t="s">
        <v>3286</v>
      </c>
      <c r="G522" s="2" t="s">
        <v>3287</v>
      </c>
      <c r="H522" s="2" t="s">
        <v>462</v>
      </c>
      <c r="I522" s="2">
        <v>2</v>
      </c>
      <c r="J522" s="2" t="s">
        <v>39</v>
      </c>
      <c r="K522" s="2" t="s">
        <v>314</v>
      </c>
      <c r="L522" s="2" t="s">
        <v>314</v>
      </c>
      <c r="M522" s="2" t="s">
        <v>3288</v>
      </c>
      <c r="N522" s="2" t="s">
        <v>399</v>
      </c>
      <c r="O522" s="2" t="s">
        <v>21</v>
      </c>
      <c r="P522" s="2" t="s">
        <v>196</v>
      </c>
      <c r="Q522" s="2" t="s">
        <v>197</v>
      </c>
      <c r="R522" s="2">
        <v>1</v>
      </c>
      <c r="S522" s="2">
        <v>46564.58</v>
      </c>
      <c r="T522" s="2">
        <v>20</v>
      </c>
      <c r="U522" s="2">
        <v>37251.660000000003</v>
      </c>
      <c r="V522" s="2">
        <v>17213.21</v>
      </c>
      <c r="W522" s="2">
        <v>20038.45</v>
      </c>
      <c r="X522" s="2">
        <v>53.79</v>
      </c>
      <c r="Y522" s="2">
        <v>49</v>
      </c>
      <c r="Z522" s="2" t="s">
        <v>48</v>
      </c>
      <c r="AA522" s="2" t="s">
        <v>186</v>
      </c>
      <c r="AB522" s="2" t="s">
        <v>101</v>
      </c>
      <c r="AC522" s="2"/>
    </row>
    <row r="523" spans="1:29" x14ac:dyDescent="0.3">
      <c r="A523" s="3" t="s">
        <v>3289</v>
      </c>
      <c r="B523" s="3" t="s">
        <v>3290</v>
      </c>
      <c r="C523" s="3" t="s">
        <v>571</v>
      </c>
      <c r="D523" s="3" t="s">
        <v>3291</v>
      </c>
      <c r="E523" s="3" t="s">
        <v>42</v>
      </c>
      <c r="F523" s="3" t="s">
        <v>1816</v>
      </c>
      <c r="G523" s="3" t="s">
        <v>1817</v>
      </c>
      <c r="H523" s="3" t="s">
        <v>1818</v>
      </c>
      <c r="I523" s="3">
        <v>8</v>
      </c>
      <c r="J523" s="3" t="s">
        <v>39</v>
      </c>
      <c r="K523" s="3" t="s">
        <v>324</v>
      </c>
      <c r="L523" s="3" t="s">
        <v>1028</v>
      </c>
      <c r="M523" s="3" t="s">
        <v>3292</v>
      </c>
      <c r="N523" s="3" t="s">
        <v>174</v>
      </c>
      <c r="O523" s="3" t="s">
        <v>27</v>
      </c>
      <c r="P523" s="3" t="s">
        <v>175</v>
      </c>
      <c r="Q523" s="3" t="s">
        <v>400</v>
      </c>
      <c r="R523" s="3">
        <v>1</v>
      </c>
      <c r="S523" s="3">
        <v>1016.43</v>
      </c>
      <c r="T523" s="3">
        <v>15</v>
      </c>
      <c r="U523" s="3">
        <v>863.97</v>
      </c>
      <c r="V523" s="3">
        <v>574.6</v>
      </c>
      <c r="W523" s="3">
        <v>289.37</v>
      </c>
      <c r="X523" s="3">
        <v>33.49</v>
      </c>
      <c r="Y523" s="3">
        <v>149</v>
      </c>
      <c r="Z523" s="3" t="s">
        <v>43</v>
      </c>
      <c r="AA523" s="3" t="s">
        <v>100</v>
      </c>
      <c r="AB523" s="3" t="s">
        <v>101</v>
      </c>
      <c r="AC523" s="3">
        <v>4</v>
      </c>
    </row>
    <row r="524" spans="1:29" x14ac:dyDescent="0.3">
      <c r="A524" s="2" t="s">
        <v>3293</v>
      </c>
      <c r="B524" s="2" t="s">
        <v>3294</v>
      </c>
      <c r="C524" s="2" t="s">
        <v>2286</v>
      </c>
      <c r="D524" s="2" t="s">
        <v>3295</v>
      </c>
      <c r="E524" s="2" t="s">
        <v>18</v>
      </c>
      <c r="F524" s="2" t="s">
        <v>3296</v>
      </c>
      <c r="G524" s="2" t="s">
        <v>762</v>
      </c>
      <c r="H524" s="2" t="s">
        <v>2894</v>
      </c>
      <c r="I524" s="2">
        <v>8</v>
      </c>
      <c r="J524" s="2" t="s">
        <v>22</v>
      </c>
      <c r="K524" s="2" t="s">
        <v>122</v>
      </c>
      <c r="L524" s="2" t="s">
        <v>123</v>
      </c>
      <c r="M524" s="2" t="s">
        <v>3297</v>
      </c>
      <c r="N524" s="2" t="s">
        <v>1535</v>
      </c>
      <c r="O524" s="2" t="s">
        <v>13</v>
      </c>
      <c r="P524" s="2" t="s">
        <v>98</v>
      </c>
      <c r="Q524" s="2" t="s">
        <v>127</v>
      </c>
      <c r="R524" s="2">
        <v>4</v>
      </c>
      <c r="S524" s="2">
        <v>11382.23</v>
      </c>
      <c r="T524" s="2">
        <v>0</v>
      </c>
      <c r="U524" s="2">
        <v>45528.92</v>
      </c>
      <c r="V524" s="2">
        <v>31026.63</v>
      </c>
      <c r="W524" s="2">
        <v>14502.29</v>
      </c>
      <c r="X524" s="2">
        <v>31.85</v>
      </c>
      <c r="Y524" s="2">
        <v>0</v>
      </c>
      <c r="Z524" s="2" t="s">
        <v>23</v>
      </c>
      <c r="AA524" s="2" t="s">
        <v>100</v>
      </c>
      <c r="AB524" s="2" t="s">
        <v>101</v>
      </c>
      <c r="AC524" s="2">
        <v>3</v>
      </c>
    </row>
    <row r="525" spans="1:29" x14ac:dyDescent="0.3">
      <c r="A525" s="3" t="s">
        <v>3298</v>
      </c>
      <c r="B525" s="3" t="s">
        <v>3299</v>
      </c>
      <c r="C525" s="3" t="s">
        <v>319</v>
      </c>
      <c r="D525" s="3" t="s">
        <v>3300</v>
      </c>
      <c r="E525" s="3" t="s">
        <v>33</v>
      </c>
      <c r="F525" s="3" t="s">
        <v>2934</v>
      </c>
      <c r="G525" s="3" t="s">
        <v>3301</v>
      </c>
      <c r="H525" s="3" t="s">
        <v>3302</v>
      </c>
      <c r="I525" s="3">
        <v>4</v>
      </c>
      <c r="J525" s="3" t="s">
        <v>22</v>
      </c>
      <c r="K525" s="3" t="s">
        <v>443</v>
      </c>
      <c r="L525" s="3" t="s">
        <v>498</v>
      </c>
      <c r="M525" s="3" t="s">
        <v>3303</v>
      </c>
      <c r="N525" s="3" t="s">
        <v>592</v>
      </c>
      <c r="O525" s="3" t="s">
        <v>21</v>
      </c>
      <c r="P525" s="3" t="s">
        <v>206</v>
      </c>
      <c r="Q525" s="3" t="s">
        <v>246</v>
      </c>
      <c r="R525" s="3">
        <v>2</v>
      </c>
      <c r="S525" s="3">
        <v>11662.13</v>
      </c>
      <c r="T525" s="3">
        <v>0</v>
      </c>
      <c r="U525" s="3">
        <v>23324.26</v>
      </c>
      <c r="V525" s="3">
        <v>12612.18</v>
      </c>
      <c r="W525" s="3">
        <v>10712.08</v>
      </c>
      <c r="X525" s="3">
        <v>45.93</v>
      </c>
      <c r="Y525" s="3">
        <v>99</v>
      </c>
      <c r="Z525" s="3" t="s">
        <v>40</v>
      </c>
      <c r="AA525" s="3" t="s">
        <v>100</v>
      </c>
      <c r="AB525" s="3" t="s">
        <v>101</v>
      </c>
      <c r="AC525" s="3">
        <v>1</v>
      </c>
    </row>
    <row r="526" spans="1:29" x14ac:dyDescent="0.3">
      <c r="A526" s="2" t="s">
        <v>3304</v>
      </c>
      <c r="B526" s="2" t="s">
        <v>3305</v>
      </c>
      <c r="C526" s="2" t="s">
        <v>1019</v>
      </c>
      <c r="D526" s="2" t="s">
        <v>3306</v>
      </c>
      <c r="E526" s="2" t="s">
        <v>33</v>
      </c>
      <c r="F526" s="2" t="s">
        <v>2002</v>
      </c>
      <c r="G526" s="2" t="s">
        <v>1415</v>
      </c>
      <c r="H526" s="2" t="s">
        <v>1352</v>
      </c>
      <c r="I526" s="2">
        <v>5</v>
      </c>
      <c r="J526" s="2" t="s">
        <v>39</v>
      </c>
      <c r="K526" s="2" t="s">
        <v>225</v>
      </c>
      <c r="L526" s="2" t="s">
        <v>225</v>
      </c>
      <c r="M526" s="2" t="s">
        <v>3307</v>
      </c>
      <c r="N526" s="2" t="s">
        <v>639</v>
      </c>
      <c r="O526" s="2" t="s">
        <v>27</v>
      </c>
      <c r="P526" s="2" t="s">
        <v>175</v>
      </c>
      <c r="Q526" s="2" t="s">
        <v>355</v>
      </c>
      <c r="R526" s="2">
        <v>1</v>
      </c>
      <c r="S526" s="2">
        <v>21653.22</v>
      </c>
      <c r="T526" s="2">
        <v>0</v>
      </c>
      <c r="U526" s="2">
        <v>21653.22</v>
      </c>
      <c r="V526" s="2">
        <v>11351.13</v>
      </c>
      <c r="W526" s="2">
        <v>10302.09</v>
      </c>
      <c r="X526" s="2">
        <v>47.58</v>
      </c>
      <c r="Y526" s="2">
        <v>49</v>
      </c>
      <c r="Z526" s="2" t="s">
        <v>47</v>
      </c>
      <c r="AA526" s="2" t="s">
        <v>100</v>
      </c>
      <c r="AB526" s="2" t="s">
        <v>101</v>
      </c>
      <c r="AC526" s="2">
        <v>1</v>
      </c>
    </row>
    <row r="527" spans="1:29" x14ac:dyDescent="0.3">
      <c r="A527" s="3" t="s">
        <v>3308</v>
      </c>
      <c r="B527" s="3" t="s">
        <v>3309</v>
      </c>
      <c r="C527" s="3" t="s">
        <v>1217</v>
      </c>
      <c r="D527" s="3" t="s">
        <v>3310</v>
      </c>
      <c r="E527" s="3" t="s">
        <v>18</v>
      </c>
      <c r="F527" s="3" t="s">
        <v>461</v>
      </c>
      <c r="G527" s="3" t="s">
        <v>1531</v>
      </c>
      <c r="H527" s="3" t="s">
        <v>1384</v>
      </c>
      <c r="I527" s="3">
        <v>8</v>
      </c>
      <c r="J527" s="3" t="s">
        <v>39</v>
      </c>
      <c r="K527" s="3" t="s">
        <v>314</v>
      </c>
      <c r="L527" s="3" t="s">
        <v>314</v>
      </c>
      <c r="M527" s="3" t="s">
        <v>3311</v>
      </c>
      <c r="N527" s="3" t="s">
        <v>518</v>
      </c>
      <c r="O527" s="3" t="s">
        <v>19</v>
      </c>
      <c r="P527" s="3" t="s">
        <v>365</v>
      </c>
      <c r="Q527" s="3" t="s">
        <v>246</v>
      </c>
      <c r="R527" s="3">
        <v>1</v>
      </c>
      <c r="S527" s="3">
        <v>24675.89</v>
      </c>
      <c r="T527" s="3">
        <v>25</v>
      </c>
      <c r="U527" s="3">
        <v>18506.919999999998</v>
      </c>
      <c r="V527" s="3">
        <v>10364.870000000001</v>
      </c>
      <c r="W527" s="3">
        <v>8142.05</v>
      </c>
      <c r="X527" s="3">
        <v>43.99</v>
      </c>
      <c r="Y527" s="3">
        <v>0</v>
      </c>
      <c r="Z527" s="3" t="s">
        <v>15</v>
      </c>
      <c r="AA527" s="3" t="s">
        <v>100</v>
      </c>
      <c r="AB527" s="3" t="s">
        <v>101</v>
      </c>
      <c r="AC527" s="3">
        <v>5</v>
      </c>
    </row>
    <row r="528" spans="1:29" x14ac:dyDescent="0.3">
      <c r="A528" s="2" t="s">
        <v>3312</v>
      </c>
      <c r="B528" s="2" t="s">
        <v>3313</v>
      </c>
      <c r="C528" s="2" t="s">
        <v>1246</v>
      </c>
      <c r="D528" s="2" t="s">
        <v>3314</v>
      </c>
      <c r="E528" s="2" t="s">
        <v>18</v>
      </c>
      <c r="F528" s="2" t="s">
        <v>3315</v>
      </c>
      <c r="G528" s="2" t="s">
        <v>3316</v>
      </c>
      <c r="H528" s="2" t="s">
        <v>3317</v>
      </c>
      <c r="I528" s="2">
        <v>7</v>
      </c>
      <c r="J528" s="2" t="s">
        <v>39</v>
      </c>
      <c r="K528" s="2" t="s">
        <v>225</v>
      </c>
      <c r="L528" s="2" t="s">
        <v>225</v>
      </c>
      <c r="M528" s="2" t="s">
        <v>3318</v>
      </c>
      <c r="N528" s="2" t="s">
        <v>931</v>
      </c>
      <c r="O528" s="2" t="s">
        <v>13</v>
      </c>
      <c r="P528" s="2" t="s">
        <v>419</v>
      </c>
      <c r="Q528" s="2" t="s">
        <v>152</v>
      </c>
      <c r="R528" s="2">
        <v>5</v>
      </c>
      <c r="S528" s="2">
        <v>2677.31</v>
      </c>
      <c r="T528" s="2">
        <v>10</v>
      </c>
      <c r="U528" s="2">
        <v>12047.9</v>
      </c>
      <c r="V528" s="2">
        <v>6112.54</v>
      </c>
      <c r="W528" s="2">
        <v>5935.36</v>
      </c>
      <c r="X528" s="2">
        <v>49.26</v>
      </c>
      <c r="Y528" s="2">
        <v>0</v>
      </c>
      <c r="Z528" s="2" t="s">
        <v>48</v>
      </c>
      <c r="AA528" s="2" t="s">
        <v>100</v>
      </c>
      <c r="AB528" s="2" t="s">
        <v>101</v>
      </c>
      <c r="AC528" s="2">
        <v>3</v>
      </c>
    </row>
    <row r="529" spans="1:29" x14ac:dyDescent="0.3">
      <c r="A529" s="3" t="s">
        <v>3319</v>
      </c>
      <c r="B529" s="3" t="s">
        <v>3320</v>
      </c>
      <c r="C529" s="3" t="s">
        <v>200</v>
      </c>
      <c r="D529" s="3" t="s">
        <v>3321</v>
      </c>
      <c r="E529" s="3" t="s">
        <v>42</v>
      </c>
      <c r="F529" s="3" t="s">
        <v>683</v>
      </c>
      <c r="G529" s="3" t="s">
        <v>3322</v>
      </c>
      <c r="H529" s="3" t="s">
        <v>333</v>
      </c>
      <c r="I529" s="3">
        <v>8</v>
      </c>
      <c r="J529" s="3" t="s">
        <v>22</v>
      </c>
      <c r="K529" s="3" t="s">
        <v>738</v>
      </c>
      <c r="L529" s="3" t="s">
        <v>738</v>
      </c>
      <c r="M529" s="3" t="s">
        <v>1972</v>
      </c>
      <c r="N529" s="3" t="s">
        <v>924</v>
      </c>
      <c r="O529" s="3" t="s">
        <v>13</v>
      </c>
      <c r="P529" s="3" t="s">
        <v>228</v>
      </c>
      <c r="Q529" s="3" t="s">
        <v>114</v>
      </c>
      <c r="R529" s="3">
        <v>3</v>
      </c>
      <c r="S529" s="3">
        <v>9297.19</v>
      </c>
      <c r="T529" s="3">
        <v>0</v>
      </c>
      <c r="U529" s="3">
        <v>27891.57</v>
      </c>
      <c r="V529" s="3">
        <v>13219.68</v>
      </c>
      <c r="W529" s="3">
        <v>14671.89</v>
      </c>
      <c r="X529" s="3">
        <v>52.6</v>
      </c>
      <c r="Y529" s="3">
        <v>199</v>
      </c>
      <c r="Z529" s="3" t="s">
        <v>40</v>
      </c>
      <c r="AA529" s="3" t="s">
        <v>100</v>
      </c>
      <c r="AB529" s="3" t="s">
        <v>140</v>
      </c>
      <c r="AC529" s="3">
        <v>5</v>
      </c>
    </row>
    <row r="530" spans="1:29" x14ac:dyDescent="0.3">
      <c r="A530" s="2" t="s">
        <v>3323</v>
      </c>
      <c r="B530" s="2" t="s">
        <v>3324</v>
      </c>
      <c r="C530" s="2" t="s">
        <v>3325</v>
      </c>
      <c r="D530" s="2" t="s">
        <v>3326</v>
      </c>
      <c r="E530" s="2" t="s">
        <v>42</v>
      </c>
      <c r="F530" s="2" t="s">
        <v>1501</v>
      </c>
      <c r="G530" s="2" t="s">
        <v>1818</v>
      </c>
      <c r="H530" s="2" t="s">
        <v>2927</v>
      </c>
      <c r="I530" s="2">
        <v>7</v>
      </c>
      <c r="J530" s="2" t="s">
        <v>22</v>
      </c>
      <c r="K530" s="2" t="s">
        <v>122</v>
      </c>
      <c r="L530" s="2" t="s">
        <v>123</v>
      </c>
      <c r="M530" s="2" t="s">
        <v>3327</v>
      </c>
      <c r="N530" s="2" t="s">
        <v>1802</v>
      </c>
      <c r="O530" s="2" t="s">
        <v>28</v>
      </c>
      <c r="P530" s="2" t="s">
        <v>137</v>
      </c>
      <c r="Q530" s="2" t="s">
        <v>355</v>
      </c>
      <c r="R530" s="2">
        <v>5</v>
      </c>
      <c r="S530" s="2">
        <v>12086.02</v>
      </c>
      <c r="T530" s="2">
        <v>20</v>
      </c>
      <c r="U530" s="2">
        <v>48344.08</v>
      </c>
      <c r="V530" s="2">
        <v>30435.9</v>
      </c>
      <c r="W530" s="2">
        <v>17908.18</v>
      </c>
      <c r="X530" s="2">
        <v>37.04</v>
      </c>
      <c r="Y530" s="2">
        <v>49</v>
      </c>
      <c r="Z530" s="2" t="s">
        <v>40</v>
      </c>
      <c r="AA530" s="2" t="s">
        <v>275</v>
      </c>
      <c r="AB530" s="2" t="s">
        <v>101</v>
      </c>
      <c r="AC530" s="2"/>
    </row>
    <row r="531" spans="1:29" x14ac:dyDescent="0.3">
      <c r="A531" s="3" t="s">
        <v>3328</v>
      </c>
      <c r="B531" s="3" t="s">
        <v>3329</v>
      </c>
      <c r="C531" s="3" t="s">
        <v>487</v>
      </c>
      <c r="D531" s="3" t="s">
        <v>3330</v>
      </c>
      <c r="E531" s="3" t="s">
        <v>42</v>
      </c>
      <c r="F531" s="3" t="s">
        <v>2191</v>
      </c>
      <c r="G531" s="3" t="s">
        <v>3331</v>
      </c>
      <c r="H531" s="3" t="s">
        <v>818</v>
      </c>
      <c r="I531" s="3">
        <v>5</v>
      </c>
      <c r="J531" s="3" t="s">
        <v>39</v>
      </c>
      <c r="K531" s="3" t="s">
        <v>193</v>
      </c>
      <c r="L531" s="3" t="s">
        <v>193</v>
      </c>
      <c r="M531" s="3" t="s">
        <v>3332</v>
      </c>
      <c r="N531" s="3" t="s">
        <v>438</v>
      </c>
      <c r="O531" s="3" t="s">
        <v>13</v>
      </c>
      <c r="P531" s="3" t="s">
        <v>228</v>
      </c>
      <c r="Q531" s="3" t="s">
        <v>99</v>
      </c>
      <c r="R531" s="3">
        <v>3</v>
      </c>
      <c r="S531" s="3">
        <v>46102.68</v>
      </c>
      <c r="T531" s="3">
        <v>25</v>
      </c>
      <c r="U531" s="3">
        <v>103731.03</v>
      </c>
      <c r="V531" s="3">
        <v>61743.49</v>
      </c>
      <c r="W531" s="3">
        <v>41987.54</v>
      </c>
      <c r="X531" s="3">
        <v>40.479999999999997</v>
      </c>
      <c r="Y531" s="3">
        <v>0</v>
      </c>
      <c r="Z531" s="3" t="s">
        <v>43</v>
      </c>
      <c r="AA531" s="3" t="s">
        <v>100</v>
      </c>
      <c r="AB531" s="3" t="s">
        <v>101</v>
      </c>
      <c r="AC531" s="3">
        <v>4</v>
      </c>
    </row>
    <row r="532" spans="1:29" x14ac:dyDescent="0.3">
      <c r="A532" s="2" t="s">
        <v>3333</v>
      </c>
      <c r="B532" s="2" t="s">
        <v>3334</v>
      </c>
      <c r="C532" s="2" t="s">
        <v>1700</v>
      </c>
      <c r="D532" s="2" t="s">
        <v>3335</v>
      </c>
      <c r="E532" s="2" t="s">
        <v>18</v>
      </c>
      <c r="F532" s="2" t="s">
        <v>999</v>
      </c>
      <c r="G532" s="2" t="s">
        <v>516</v>
      </c>
      <c r="H532" s="2" t="s">
        <v>1047</v>
      </c>
      <c r="I532" s="2">
        <v>4</v>
      </c>
      <c r="J532" s="2" t="s">
        <v>14</v>
      </c>
      <c r="K532" s="2" t="s">
        <v>171</v>
      </c>
      <c r="L532" s="2" t="s">
        <v>541</v>
      </c>
      <c r="M532" s="2" t="s">
        <v>3336</v>
      </c>
      <c r="N532" s="2" t="s">
        <v>889</v>
      </c>
      <c r="O532" s="2" t="s">
        <v>27</v>
      </c>
      <c r="P532" s="2" t="s">
        <v>257</v>
      </c>
      <c r="Q532" s="2" t="s">
        <v>218</v>
      </c>
      <c r="R532" s="2">
        <v>4</v>
      </c>
      <c r="S532" s="2">
        <v>46324.06</v>
      </c>
      <c r="T532" s="2">
        <v>30</v>
      </c>
      <c r="U532" s="2">
        <v>129707.37</v>
      </c>
      <c r="V532" s="2">
        <v>68661.78</v>
      </c>
      <c r="W532" s="2">
        <v>61045.59</v>
      </c>
      <c r="X532" s="2">
        <v>47.06</v>
      </c>
      <c r="Y532" s="2">
        <v>0</v>
      </c>
      <c r="Z532" s="2" t="s">
        <v>40</v>
      </c>
      <c r="AA532" s="2" t="s">
        <v>100</v>
      </c>
      <c r="AB532" s="2" t="s">
        <v>101</v>
      </c>
      <c r="AC532" s="2">
        <v>4</v>
      </c>
    </row>
    <row r="533" spans="1:29" x14ac:dyDescent="0.3">
      <c r="A533" s="3" t="s">
        <v>3337</v>
      </c>
      <c r="B533" s="3" t="s">
        <v>3338</v>
      </c>
      <c r="C533" s="3" t="s">
        <v>2305</v>
      </c>
      <c r="D533" s="3" t="s">
        <v>3339</v>
      </c>
      <c r="E533" s="3" t="s">
        <v>33</v>
      </c>
      <c r="F533" s="3" t="s">
        <v>3115</v>
      </c>
      <c r="G533" s="3" t="s">
        <v>2127</v>
      </c>
      <c r="H533" s="3" t="s">
        <v>2602</v>
      </c>
      <c r="I533" s="3">
        <v>2</v>
      </c>
      <c r="J533" s="3" t="s">
        <v>29</v>
      </c>
      <c r="K533" s="3" t="s">
        <v>427</v>
      </c>
      <c r="L533" s="3" t="s">
        <v>428</v>
      </c>
      <c r="M533" s="3" t="s">
        <v>3340</v>
      </c>
      <c r="N533" s="3" t="s">
        <v>174</v>
      </c>
      <c r="O533" s="3" t="s">
        <v>27</v>
      </c>
      <c r="P533" s="3" t="s">
        <v>175</v>
      </c>
      <c r="Q533" s="3" t="s">
        <v>608</v>
      </c>
      <c r="R533" s="3">
        <v>5</v>
      </c>
      <c r="S533" s="3">
        <v>30864.63</v>
      </c>
      <c r="T533" s="3">
        <v>5</v>
      </c>
      <c r="U533" s="3">
        <v>146606.99</v>
      </c>
      <c r="V533" s="3">
        <v>82985.440000000002</v>
      </c>
      <c r="W533" s="3">
        <v>63621.55</v>
      </c>
      <c r="X533" s="3">
        <v>43.4</v>
      </c>
      <c r="Y533" s="3">
        <v>29</v>
      </c>
      <c r="Z533" s="3" t="s">
        <v>40</v>
      </c>
      <c r="AA533" s="3" t="s">
        <v>100</v>
      </c>
      <c r="AB533" s="3" t="s">
        <v>140</v>
      </c>
      <c r="AC533" s="3">
        <v>2</v>
      </c>
    </row>
    <row r="534" spans="1:29" x14ac:dyDescent="0.3">
      <c r="A534" s="2" t="s">
        <v>3341</v>
      </c>
      <c r="B534" s="2" t="s">
        <v>3342</v>
      </c>
      <c r="C534" s="2" t="s">
        <v>1742</v>
      </c>
      <c r="D534" s="2" t="s">
        <v>3343</v>
      </c>
      <c r="E534" s="2" t="s">
        <v>33</v>
      </c>
      <c r="F534" s="2" t="s">
        <v>1856</v>
      </c>
      <c r="G534" s="2" t="s">
        <v>1057</v>
      </c>
      <c r="H534" s="2" t="s">
        <v>1857</v>
      </c>
      <c r="I534" s="2">
        <v>7</v>
      </c>
      <c r="J534" s="2" t="s">
        <v>39</v>
      </c>
      <c r="K534" s="2" t="s">
        <v>225</v>
      </c>
      <c r="L534" s="2" t="s">
        <v>225</v>
      </c>
      <c r="M534" s="2" t="s">
        <v>3344</v>
      </c>
      <c r="N534" s="2" t="s">
        <v>195</v>
      </c>
      <c r="O534" s="2" t="s">
        <v>21</v>
      </c>
      <c r="P534" s="2" t="s">
        <v>196</v>
      </c>
      <c r="Q534" s="2" t="s">
        <v>127</v>
      </c>
      <c r="R534" s="2">
        <v>2</v>
      </c>
      <c r="S534" s="2">
        <v>2125.92</v>
      </c>
      <c r="T534" s="2">
        <v>25</v>
      </c>
      <c r="U534" s="2">
        <v>3188.88</v>
      </c>
      <c r="V534" s="2">
        <v>1630.86</v>
      </c>
      <c r="W534" s="2">
        <v>1558.02</v>
      </c>
      <c r="X534" s="2">
        <v>48.86</v>
      </c>
      <c r="Y534" s="2">
        <v>0</v>
      </c>
      <c r="Z534" s="2" t="s">
        <v>43</v>
      </c>
      <c r="AA534" s="2" t="s">
        <v>100</v>
      </c>
      <c r="AB534" s="2" t="s">
        <v>101</v>
      </c>
      <c r="AC534" s="2"/>
    </row>
    <row r="535" spans="1:29" x14ac:dyDescent="0.3">
      <c r="A535" s="3" t="s">
        <v>3345</v>
      </c>
      <c r="B535" s="3" t="s">
        <v>3346</v>
      </c>
      <c r="C535" s="3" t="s">
        <v>1196</v>
      </c>
      <c r="D535" s="3" t="s">
        <v>3347</v>
      </c>
      <c r="E535" s="3" t="s">
        <v>26</v>
      </c>
      <c r="F535" s="3" t="s">
        <v>1751</v>
      </c>
      <c r="G535" s="3" t="s">
        <v>1320</v>
      </c>
      <c r="H535" s="3" t="s">
        <v>1322</v>
      </c>
      <c r="I535" s="3">
        <v>4</v>
      </c>
      <c r="J535" s="3" t="s">
        <v>22</v>
      </c>
      <c r="K535" s="3" t="s">
        <v>443</v>
      </c>
      <c r="L535" s="3" t="s">
        <v>567</v>
      </c>
      <c r="M535" s="3" t="s">
        <v>3348</v>
      </c>
      <c r="N535" s="3" t="s">
        <v>852</v>
      </c>
      <c r="O535" s="3" t="s">
        <v>27</v>
      </c>
      <c r="P535" s="3" t="s">
        <v>175</v>
      </c>
      <c r="Q535" s="3" t="s">
        <v>400</v>
      </c>
      <c r="R535" s="3">
        <v>4</v>
      </c>
      <c r="S535" s="3">
        <v>28436.11</v>
      </c>
      <c r="T535" s="3">
        <v>25</v>
      </c>
      <c r="U535" s="3">
        <v>85308.33</v>
      </c>
      <c r="V535" s="3">
        <v>43126.23</v>
      </c>
      <c r="W535" s="3">
        <v>42182.1</v>
      </c>
      <c r="X535" s="3">
        <v>49.45</v>
      </c>
      <c r="Y535" s="3">
        <v>199</v>
      </c>
      <c r="Z535" s="3" t="s">
        <v>43</v>
      </c>
      <c r="AA535" s="3" t="s">
        <v>100</v>
      </c>
      <c r="AB535" s="3" t="s">
        <v>101</v>
      </c>
      <c r="AC535" s="3">
        <v>1</v>
      </c>
    </row>
    <row r="536" spans="1:29" x14ac:dyDescent="0.3">
      <c r="A536" s="2" t="s">
        <v>3349</v>
      </c>
      <c r="B536" s="2" t="s">
        <v>3350</v>
      </c>
      <c r="C536" s="2" t="s">
        <v>716</v>
      </c>
      <c r="D536" s="2" t="s">
        <v>3351</v>
      </c>
      <c r="E536" s="2" t="s">
        <v>33</v>
      </c>
      <c r="F536" s="2" t="s">
        <v>131</v>
      </c>
      <c r="G536" s="2" t="s">
        <v>132</v>
      </c>
      <c r="H536" s="2" t="s">
        <v>2237</v>
      </c>
      <c r="I536" s="2">
        <v>3</v>
      </c>
      <c r="J536" s="2" t="s">
        <v>39</v>
      </c>
      <c r="K536" s="2" t="s">
        <v>109</v>
      </c>
      <c r="L536" s="2" t="s">
        <v>344</v>
      </c>
      <c r="M536" s="2" t="s">
        <v>3352</v>
      </c>
      <c r="N536" s="2" t="s">
        <v>327</v>
      </c>
      <c r="O536" s="2" t="s">
        <v>27</v>
      </c>
      <c r="P536" s="2" t="s">
        <v>113</v>
      </c>
      <c r="Q536" s="2" t="s">
        <v>287</v>
      </c>
      <c r="R536" s="2">
        <v>4</v>
      </c>
      <c r="S536" s="2">
        <v>41683.51</v>
      </c>
      <c r="T536" s="2">
        <v>20</v>
      </c>
      <c r="U536" s="2">
        <v>133387.23000000001</v>
      </c>
      <c r="V536" s="2">
        <v>61927.49</v>
      </c>
      <c r="W536" s="2">
        <v>71459.740000000005</v>
      </c>
      <c r="X536" s="2">
        <v>53.57</v>
      </c>
      <c r="Y536" s="2">
        <v>99</v>
      </c>
      <c r="Z536" s="2" t="s">
        <v>23</v>
      </c>
      <c r="AA536" s="2" t="s">
        <v>100</v>
      </c>
      <c r="AB536" s="2" t="s">
        <v>101</v>
      </c>
      <c r="AC536" s="2">
        <v>4</v>
      </c>
    </row>
    <row r="537" spans="1:29" x14ac:dyDescent="0.3">
      <c r="A537" s="3" t="s">
        <v>3353</v>
      </c>
      <c r="B537" s="3" t="s">
        <v>3354</v>
      </c>
      <c r="C537" s="3" t="s">
        <v>1665</v>
      </c>
      <c r="D537" s="3" t="s">
        <v>3355</v>
      </c>
      <c r="E537" s="3" t="s">
        <v>42</v>
      </c>
      <c r="F537" s="3" t="s">
        <v>2008</v>
      </c>
      <c r="G537" s="3" t="s">
        <v>660</v>
      </c>
      <c r="H537" s="3" t="s">
        <v>3356</v>
      </c>
      <c r="I537" s="3">
        <v>2</v>
      </c>
      <c r="J537" s="3" t="s">
        <v>39</v>
      </c>
      <c r="K537" s="3" t="s">
        <v>225</v>
      </c>
      <c r="L537" s="3" t="s">
        <v>225</v>
      </c>
      <c r="M537" s="3" t="s">
        <v>3357</v>
      </c>
      <c r="N537" s="3" t="s">
        <v>205</v>
      </c>
      <c r="O537" s="3" t="s">
        <v>21</v>
      </c>
      <c r="P537" s="3" t="s">
        <v>206</v>
      </c>
      <c r="Q537" s="3" t="s">
        <v>400</v>
      </c>
      <c r="R537" s="3">
        <v>4</v>
      </c>
      <c r="S537" s="3">
        <v>31881.439999999999</v>
      </c>
      <c r="T537" s="3">
        <v>25</v>
      </c>
      <c r="U537" s="3">
        <v>95644.32</v>
      </c>
      <c r="V537" s="3">
        <v>62524.93</v>
      </c>
      <c r="W537" s="3">
        <v>33119.39</v>
      </c>
      <c r="X537" s="3">
        <v>34.630000000000003</v>
      </c>
      <c r="Y537" s="3">
        <v>99</v>
      </c>
      <c r="Z537" s="3" t="s">
        <v>43</v>
      </c>
      <c r="AA537" s="3" t="s">
        <v>100</v>
      </c>
      <c r="AB537" s="3" t="s">
        <v>101</v>
      </c>
      <c r="AC537" s="3">
        <v>1</v>
      </c>
    </row>
    <row r="538" spans="1:29" x14ac:dyDescent="0.3">
      <c r="A538" s="2" t="s">
        <v>3358</v>
      </c>
      <c r="B538" s="2" t="s">
        <v>3359</v>
      </c>
      <c r="C538" s="2" t="s">
        <v>412</v>
      </c>
      <c r="D538" s="2" t="s">
        <v>3360</v>
      </c>
      <c r="E538" s="2" t="s">
        <v>42</v>
      </c>
      <c r="F538" s="2" t="s">
        <v>948</v>
      </c>
      <c r="G538" s="2" t="s">
        <v>312</v>
      </c>
      <c r="H538" s="2" t="s">
        <v>313</v>
      </c>
      <c r="I538" s="2">
        <v>8</v>
      </c>
      <c r="J538" s="2" t="s">
        <v>22</v>
      </c>
      <c r="K538" s="2" t="s">
        <v>122</v>
      </c>
      <c r="L538" s="2" t="s">
        <v>236</v>
      </c>
      <c r="M538" s="2" t="s">
        <v>3361</v>
      </c>
      <c r="N538" s="2" t="s">
        <v>648</v>
      </c>
      <c r="O538" s="2" t="s">
        <v>27</v>
      </c>
      <c r="P538" s="2" t="s">
        <v>113</v>
      </c>
      <c r="Q538" s="2" t="s">
        <v>207</v>
      </c>
      <c r="R538" s="2">
        <v>3</v>
      </c>
      <c r="S538" s="2">
        <v>39332.839999999997</v>
      </c>
      <c r="T538" s="2">
        <v>30</v>
      </c>
      <c r="U538" s="2">
        <v>82598.960000000006</v>
      </c>
      <c r="V538" s="2">
        <v>46539.71</v>
      </c>
      <c r="W538" s="2">
        <v>36059.25</v>
      </c>
      <c r="X538" s="2">
        <v>43.66</v>
      </c>
      <c r="Y538" s="2">
        <v>0</v>
      </c>
      <c r="Z538" s="2" t="s">
        <v>40</v>
      </c>
      <c r="AA538" s="2" t="s">
        <v>100</v>
      </c>
      <c r="AB538" s="2" t="s">
        <v>140</v>
      </c>
      <c r="AC538" s="2">
        <v>1</v>
      </c>
    </row>
    <row r="539" spans="1:29" x14ac:dyDescent="0.3">
      <c r="A539" s="3" t="s">
        <v>3362</v>
      </c>
      <c r="B539" s="3" t="s">
        <v>3363</v>
      </c>
      <c r="C539" s="3" t="s">
        <v>117</v>
      </c>
      <c r="D539" s="3" t="s">
        <v>3364</v>
      </c>
      <c r="E539" s="3" t="s">
        <v>42</v>
      </c>
      <c r="F539" s="3" t="s">
        <v>613</v>
      </c>
      <c r="G539" s="3" t="s">
        <v>2806</v>
      </c>
      <c r="H539" s="3" t="s">
        <v>1106</v>
      </c>
      <c r="I539" s="3">
        <v>3</v>
      </c>
      <c r="J539" s="3" t="s">
        <v>29</v>
      </c>
      <c r="K539" s="3" t="s">
        <v>148</v>
      </c>
      <c r="L539" s="3" t="s">
        <v>148</v>
      </c>
      <c r="M539" s="3" t="s">
        <v>3365</v>
      </c>
      <c r="N539" s="3" t="s">
        <v>686</v>
      </c>
      <c r="O539" s="3" t="s">
        <v>13</v>
      </c>
      <c r="P539" s="3" t="s">
        <v>228</v>
      </c>
      <c r="Q539" s="3" t="s">
        <v>466</v>
      </c>
      <c r="R539" s="3">
        <v>1</v>
      </c>
      <c r="S539" s="3">
        <v>38080.410000000003</v>
      </c>
      <c r="T539" s="3">
        <v>20</v>
      </c>
      <c r="U539" s="3">
        <v>30464.33</v>
      </c>
      <c r="V539" s="3">
        <v>20629.41</v>
      </c>
      <c r="W539" s="3">
        <v>9834.92</v>
      </c>
      <c r="X539" s="3">
        <v>32.28</v>
      </c>
      <c r="Y539" s="3">
        <v>199</v>
      </c>
      <c r="Z539" s="3" t="s">
        <v>15</v>
      </c>
      <c r="AA539" s="3" t="s">
        <v>186</v>
      </c>
      <c r="AB539" s="3" t="s">
        <v>101</v>
      </c>
      <c r="AC539" s="3"/>
    </row>
    <row r="540" spans="1:29" x14ac:dyDescent="0.3">
      <c r="A540" s="2" t="s">
        <v>3366</v>
      </c>
      <c r="B540" s="2" t="s">
        <v>3367</v>
      </c>
      <c r="C540" s="2" t="s">
        <v>231</v>
      </c>
      <c r="D540" s="2" t="s">
        <v>3368</v>
      </c>
      <c r="E540" s="2" t="s">
        <v>26</v>
      </c>
      <c r="F540" s="2" t="s">
        <v>3074</v>
      </c>
      <c r="G540" s="2" t="s">
        <v>3369</v>
      </c>
      <c r="H540" s="2" t="s">
        <v>322</v>
      </c>
      <c r="I540" s="2">
        <v>6</v>
      </c>
      <c r="J540" s="2" t="s">
        <v>39</v>
      </c>
      <c r="K540" s="2" t="s">
        <v>109</v>
      </c>
      <c r="L540" s="2" t="s">
        <v>110</v>
      </c>
      <c r="M540" s="2" t="s">
        <v>2613</v>
      </c>
      <c r="N540" s="2" t="s">
        <v>374</v>
      </c>
      <c r="O540" s="2" t="s">
        <v>21</v>
      </c>
      <c r="P540" s="2" t="s">
        <v>196</v>
      </c>
      <c r="Q540" s="2" t="s">
        <v>287</v>
      </c>
      <c r="R540" s="2">
        <v>1</v>
      </c>
      <c r="S540" s="2">
        <v>4124.08</v>
      </c>
      <c r="T540" s="2">
        <v>30</v>
      </c>
      <c r="U540" s="2">
        <v>2886.86</v>
      </c>
      <c r="V540" s="2">
        <v>1977.6</v>
      </c>
      <c r="W540" s="2">
        <v>909.26</v>
      </c>
      <c r="X540" s="2">
        <v>31.5</v>
      </c>
      <c r="Y540" s="2">
        <v>99</v>
      </c>
      <c r="Z540" s="2" t="s">
        <v>15</v>
      </c>
      <c r="AA540" s="2" t="s">
        <v>100</v>
      </c>
      <c r="AB540" s="2" t="s">
        <v>101</v>
      </c>
      <c r="AC540" s="2">
        <v>3</v>
      </c>
    </row>
    <row r="541" spans="1:29" x14ac:dyDescent="0.3">
      <c r="A541" s="3" t="s">
        <v>3370</v>
      </c>
      <c r="B541" s="3" t="s">
        <v>3371</v>
      </c>
      <c r="C541" s="3" t="s">
        <v>1675</v>
      </c>
      <c r="D541" s="3" t="s">
        <v>3372</v>
      </c>
      <c r="E541" s="3" t="s">
        <v>26</v>
      </c>
      <c r="F541" s="3" t="s">
        <v>303</v>
      </c>
      <c r="G541" s="3" t="s">
        <v>3373</v>
      </c>
      <c r="H541" s="3" t="s">
        <v>2320</v>
      </c>
      <c r="I541" s="3">
        <v>8</v>
      </c>
      <c r="J541" s="3" t="s">
        <v>14</v>
      </c>
      <c r="K541" s="3" t="s">
        <v>215</v>
      </c>
      <c r="L541" s="3" t="s">
        <v>215</v>
      </c>
      <c r="M541" s="3" t="s">
        <v>3374</v>
      </c>
      <c r="N541" s="3" t="s">
        <v>399</v>
      </c>
      <c r="O541" s="3" t="s">
        <v>21</v>
      </c>
      <c r="P541" s="3" t="s">
        <v>196</v>
      </c>
      <c r="Q541" s="3" t="s">
        <v>509</v>
      </c>
      <c r="R541" s="3">
        <v>1</v>
      </c>
      <c r="S541" s="3">
        <v>3192.52</v>
      </c>
      <c r="T541" s="3">
        <v>30</v>
      </c>
      <c r="U541" s="3">
        <v>2234.7600000000002</v>
      </c>
      <c r="V541" s="3">
        <v>1276.43</v>
      </c>
      <c r="W541" s="3">
        <v>958.33</v>
      </c>
      <c r="X541" s="3">
        <v>42.88</v>
      </c>
      <c r="Y541" s="3">
        <v>29</v>
      </c>
      <c r="Z541" s="3" t="s">
        <v>30</v>
      </c>
      <c r="AA541" s="3" t="s">
        <v>100</v>
      </c>
      <c r="AB541" s="3" t="s">
        <v>101</v>
      </c>
      <c r="AC541" s="3">
        <v>2</v>
      </c>
    </row>
    <row r="542" spans="1:29" x14ac:dyDescent="0.3">
      <c r="A542" s="2" t="s">
        <v>3375</v>
      </c>
      <c r="B542" s="2" t="s">
        <v>3376</v>
      </c>
      <c r="C542" s="2" t="s">
        <v>1311</v>
      </c>
      <c r="D542" s="2" t="s">
        <v>3377</v>
      </c>
      <c r="E542" s="2" t="s">
        <v>33</v>
      </c>
      <c r="F542" s="2" t="s">
        <v>3378</v>
      </c>
      <c r="G542" s="2" t="s">
        <v>304</v>
      </c>
      <c r="H542" s="2" t="s">
        <v>2198</v>
      </c>
      <c r="I542" s="2">
        <v>3</v>
      </c>
      <c r="J542" s="2" t="s">
        <v>29</v>
      </c>
      <c r="K542" s="2" t="s">
        <v>334</v>
      </c>
      <c r="L542" s="2" t="s">
        <v>614</v>
      </c>
      <c r="M542" s="2" t="s">
        <v>3379</v>
      </c>
      <c r="N542" s="2" t="s">
        <v>1603</v>
      </c>
      <c r="O542" s="2" t="s">
        <v>19</v>
      </c>
      <c r="P542" s="2" t="s">
        <v>365</v>
      </c>
      <c r="Q542" s="2" t="s">
        <v>608</v>
      </c>
      <c r="R542" s="2">
        <v>5</v>
      </c>
      <c r="S542" s="2">
        <v>2567.54</v>
      </c>
      <c r="T542" s="2">
        <v>25</v>
      </c>
      <c r="U542" s="2">
        <v>9628.2800000000007</v>
      </c>
      <c r="V542" s="2">
        <v>5455.88</v>
      </c>
      <c r="W542" s="2">
        <v>4172.3999999999996</v>
      </c>
      <c r="X542" s="2">
        <v>43.33</v>
      </c>
      <c r="Y542" s="2">
        <v>49</v>
      </c>
      <c r="Z542" s="2" t="s">
        <v>23</v>
      </c>
      <c r="AA542" s="2" t="s">
        <v>100</v>
      </c>
      <c r="AB542" s="2" t="s">
        <v>101</v>
      </c>
      <c r="AC542" s="2">
        <v>1</v>
      </c>
    </row>
    <row r="543" spans="1:29" x14ac:dyDescent="0.3">
      <c r="A543" s="3" t="s">
        <v>3380</v>
      </c>
      <c r="B543" s="3" t="s">
        <v>3381</v>
      </c>
      <c r="C543" s="3" t="s">
        <v>847</v>
      </c>
      <c r="D543" s="3" t="s">
        <v>3382</v>
      </c>
      <c r="E543" s="3" t="s">
        <v>42</v>
      </c>
      <c r="F543" s="3" t="s">
        <v>2046</v>
      </c>
      <c r="G543" s="3" t="s">
        <v>1435</v>
      </c>
      <c r="H543" s="3" t="s">
        <v>3383</v>
      </c>
      <c r="I543" s="3">
        <v>2</v>
      </c>
      <c r="J543" s="3" t="s">
        <v>22</v>
      </c>
      <c r="K543" s="3" t="s">
        <v>254</v>
      </c>
      <c r="L543" s="3" t="s">
        <v>254</v>
      </c>
      <c r="M543" s="3" t="s">
        <v>3384</v>
      </c>
      <c r="N543" s="3" t="s">
        <v>97</v>
      </c>
      <c r="O543" s="3" t="s">
        <v>13</v>
      </c>
      <c r="P543" s="3" t="s">
        <v>98</v>
      </c>
      <c r="Q543" s="3" t="s">
        <v>152</v>
      </c>
      <c r="R543" s="3">
        <v>1</v>
      </c>
      <c r="S543" s="3">
        <v>42201.02</v>
      </c>
      <c r="T543" s="3">
        <v>5</v>
      </c>
      <c r="U543" s="3">
        <v>40090.97</v>
      </c>
      <c r="V543" s="3">
        <v>19580.759999999998</v>
      </c>
      <c r="W543" s="3">
        <v>20510.21</v>
      </c>
      <c r="X543" s="3">
        <v>51.16</v>
      </c>
      <c r="Y543" s="3">
        <v>29</v>
      </c>
      <c r="Z543" s="3" t="s">
        <v>47</v>
      </c>
      <c r="AA543" s="3" t="s">
        <v>100</v>
      </c>
      <c r="AB543" s="3" t="s">
        <v>101</v>
      </c>
      <c r="AC543" s="3">
        <v>1</v>
      </c>
    </row>
    <row r="544" spans="1:29" x14ac:dyDescent="0.3">
      <c r="A544" s="2" t="s">
        <v>3385</v>
      </c>
      <c r="B544" s="2" t="s">
        <v>3386</v>
      </c>
      <c r="C544" s="2" t="s">
        <v>358</v>
      </c>
      <c r="D544" s="2" t="s">
        <v>3387</v>
      </c>
      <c r="E544" s="2" t="s">
        <v>42</v>
      </c>
      <c r="F544" s="2" t="s">
        <v>119</v>
      </c>
      <c r="G544" s="2" t="s">
        <v>3388</v>
      </c>
      <c r="H544" s="2" t="s">
        <v>3389</v>
      </c>
      <c r="I544" s="2">
        <v>8</v>
      </c>
      <c r="J544" s="2" t="s">
        <v>39</v>
      </c>
      <c r="K544" s="2" t="s">
        <v>225</v>
      </c>
      <c r="L544" s="2" t="s">
        <v>225</v>
      </c>
      <c r="M544" s="2" t="s">
        <v>3390</v>
      </c>
      <c r="N544" s="2" t="s">
        <v>1380</v>
      </c>
      <c r="O544" s="2" t="s">
        <v>28</v>
      </c>
      <c r="P544" s="2" t="s">
        <v>137</v>
      </c>
      <c r="Q544" s="2" t="s">
        <v>207</v>
      </c>
      <c r="R544" s="2">
        <v>4</v>
      </c>
      <c r="S544" s="2">
        <v>27754.240000000002</v>
      </c>
      <c r="T544" s="2">
        <v>15</v>
      </c>
      <c r="U544" s="2">
        <v>94364.42</v>
      </c>
      <c r="V544" s="2">
        <v>63979.54</v>
      </c>
      <c r="W544" s="2">
        <v>30384.880000000001</v>
      </c>
      <c r="X544" s="2">
        <v>32.200000000000003</v>
      </c>
      <c r="Y544" s="2">
        <v>149</v>
      </c>
      <c r="Z544" s="2" t="s">
        <v>47</v>
      </c>
      <c r="AA544" s="2" t="s">
        <v>275</v>
      </c>
      <c r="AB544" s="2" t="s">
        <v>101</v>
      </c>
      <c r="AC544" s="2"/>
    </row>
    <row r="545" spans="1:29" x14ac:dyDescent="0.3">
      <c r="A545" s="3" t="s">
        <v>3391</v>
      </c>
      <c r="B545" s="3" t="s">
        <v>3392</v>
      </c>
      <c r="C545" s="3" t="s">
        <v>716</v>
      </c>
      <c r="D545" s="3" t="s">
        <v>3393</v>
      </c>
      <c r="E545" s="3" t="s">
        <v>33</v>
      </c>
      <c r="F545" s="3" t="s">
        <v>3394</v>
      </c>
      <c r="G545" s="3" t="s">
        <v>2842</v>
      </c>
      <c r="H545" s="3" t="s">
        <v>1659</v>
      </c>
      <c r="I545" s="3">
        <v>2</v>
      </c>
      <c r="J545" s="3" t="s">
        <v>39</v>
      </c>
      <c r="K545" s="3" t="s">
        <v>324</v>
      </c>
      <c r="L545" s="3" t="s">
        <v>325</v>
      </c>
      <c r="M545" s="3" t="s">
        <v>3395</v>
      </c>
      <c r="N545" s="3" t="s">
        <v>788</v>
      </c>
      <c r="O545" s="3" t="s">
        <v>27</v>
      </c>
      <c r="P545" s="3" t="s">
        <v>113</v>
      </c>
      <c r="Q545" s="3" t="s">
        <v>355</v>
      </c>
      <c r="R545" s="3">
        <v>5</v>
      </c>
      <c r="S545" s="3">
        <v>42457.48</v>
      </c>
      <c r="T545" s="3">
        <v>25</v>
      </c>
      <c r="U545" s="3">
        <v>159215.54999999999</v>
      </c>
      <c r="V545" s="3">
        <v>84061.3</v>
      </c>
      <c r="W545" s="3">
        <v>75154.25</v>
      </c>
      <c r="X545" s="3">
        <v>47.2</v>
      </c>
      <c r="Y545" s="3">
        <v>149</v>
      </c>
      <c r="Z545" s="3" t="s">
        <v>30</v>
      </c>
      <c r="AA545" s="3" t="s">
        <v>100</v>
      </c>
      <c r="AB545" s="3" t="s">
        <v>101</v>
      </c>
      <c r="AC545" s="3">
        <v>2</v>
      </c>
    </row>
    <row r="546" spans="1:29" x14ac:dyDescent="0.3">
      <c r="A546" s="2" t="s">
        <v>3396</v>
      </c>
      <c r="B546" s="2" t="s">
        <v>3397</v>
      </c>
      <c r="C546" s="2" t="s">
        <v>278</v>
      </c>
      <c r="D546" s="2" t="s">
        <v>3398</v>
      </c>
      <c r="E546" s="2" t="s">
        <v>42</v>
      </c>
      <c r="F546" s="2" t="s">
        <v>108</v>
      </c>
      <c r="G546" s="2" t="s">
        <v>954</v>
      </c>
      <c r="H546" s="2" t="s">
        <v>3399</v>
      </c>
      <c r="I546" s="2">
        <v>3</v>
      </c>
      <c r="J546" s="2" t="s">
        <v>14</v>
      </c>
      <c r="K546" s="2" t="s">
        <v>183</v>
      </c>
      <c r="L546" s="2" t="s">
        <v>183</v>
      </c>
      <c r="M546" s="2" t="s">
        <v>3400</v>
      </c>
      <c r="N546" s="2" t="s">
        <v>3017</v>
      </c>
      <c r="O546" s="2" t="s">
        <v>13</v>
      </c>
      <c r="P546" s="2" t="s">
        <v>419</v>
      </c>
      <c r="Q546" s="2" t="s">
        <v>99</v>
      </c>
      <c r="R546" s="2">
        <v>1</v>
      </c>
      <c r="S546" s="2">
        <v>12293.61</v>
      </c>
      <c r="T546" s="2">
        <v>30</v>
      </c>
      <c r="U546" s="2">
        <v>8605.5300000000007</v>
      </c>
      <c r="V546" s="2">
        <v>5809.17</v>
      </c>
      <c r="W546" s="2">
        <v>2796.36</v>
      </c>
      <c r="X546" s="2">
        <v>32.49</v>
      </c>
      <c r="Y546" s="2">
        <v>99</v>
      </c>
      <c r="Z546" s="2" t="s">
        <v>23</v>
      </c>
      <c r="AA546" s="2" t="s">
        <v>100</v>
      </c>
      <c r="AB546" s="2" t="s">
        <v>101</v>
      </c>
      <c r="AC546" s="2">
        <v>5</v>
      </c>
    </row>
    <row r="547" spans="1:29" x14ac:dyDescent="0.3">
      <c r="A547" s="3" t="s">
        <v>3401</v>
      </c>
      <c r="B547" s="3" t="s">
        <v>3402</v>
      </c>
      <c r="C547" s="3" t="s">
        <v>3403</v>
      </c>
      <c r="D547" s="3" t="s">
        <v>3404</v>
      </c>
      <c r="E547" s="3" t="s">
        <v>18</v>
      </c>
      <c r="F547" s="3" t="s">
        <v>3405</v>
      </c>
      <c r="G547" s="3" t="s">
        <v>3406</v>
      </c>
      <c r="H547" s="3" t="s">
        <v>661</v>
      </c>
      <c r="I547" s="3">
        <v>7</v>
      </c>
      <c r="J547" s="3" t="s">
        <v>29</v>
      </c>
      <c r="K547" s="3" t="s">
        <v>427</v>
      </c>
      <c r="L547" s="3" t="s">
        <v>428</v>
      </c>
      <c r="M547" s="3" t="s">
        <v>1896</v>
      </c>
      <c r="N547" s="3" t="s">
        <v>600</v>
      </c>
      <c r="O547" s="3" t="s">
        <v>27</v>
      </c>
      <c r="P547" s="3" t="s">
        <v>175</v>
      </c>
      <c r="Q547" s="3" t="s">
        <v>287</v>
      </c>
      <c r="R547" s="3">
        <v>5</v>
      </c>
      <c r="S547" s="3">
        <v>31597.16</v>
      </c>
      <c r="T547" s="3">
        <v>5</v>
      </c>
      <c r="U547" s="3">
        <v>150086.51</v>
      </c>
      <c r="V547" s="3">
        <v>86285.46</v>
      </c>
      <c r="W547" s="3">
        <v>63801.05</v>
      </c>
      <c r="X547" s="3">
        <v>42.51</v>
      </c>
      <c r="Y547" s="3">
        <v>49</v>
      </c>
      <c r="Z547" s="3" t="s">
        <v>43</v>
      </c>
      <c r="AA547" s="3" t="s">
        <v>100</v>
      </c>
      <c r="AB547" s="3" t="s">
        <v>101</v>
      </c>
      <c r="AC547" s="3">
        <v>5</v>
      </c>
    </row>
    <row r="548" spans="1:29" x14ac:dyDescent="0.3">
      <c r="A548" s="2" t="s">
        <v>3407</v>
      </c>
      <c r="B548" s="2" t="s">
        <v>3408</v>
      </c>
      <c r="C548" s="2" t="s">
        <v>1737</v>
      </c>
      <c r="D548" s="2" t="s">
        <v>3409</v>
      </c>
      <c r="E548" s="2" t="s">
        <v>33</v>
      </c>
      <c r="F548" s="2" t="s">
        <v>1771</v>
      </c>
      <c r="G548" s="2" t="s">
        <v>362</v>
      </c>
      <c r="H548" s="2" t="s">
        <v>3296</v>
      </c>
      <c r="I548" s="2">
        <v>3</v>
      </c>
      <c r="J548" s="2" t="s">
        <v>22</v>
      </c>
      <c r="K548" s="2" t="s">
        <v>738</v>
      </c>
      <c r="L548" s="2" t="s">
        <v>738</v>
      </c>
      <c r="M548" s="2" t="s">
        <v>3410</v>
      </c>
      <c r="N548" s="2" t="s">
        <v>600</v>
      </c>
      <c r="O548" s="2" t="s">
        <v>27</v>
      </c>
      <c r="P548" s="2" t="s">
        <v>175</v>
      </c>
      <c r="Q548" s="2" t="s">
        <v>355</v>
      </c>
      <c r="R548" s="2">
        <v>5</v>
      </c>
      <c r="S548" s="2">
        <v>14729.58</v>
      </c>
      <c r="T548" s="2">
        <v>5</v>
      </c>
      <c r="U548" s="2">
        <v>69965.5</v>
      </c>
      <c r="V548" s="2">
        <v>41176.94</v>
      </c>
      <c r="W548" s="2">
        <v>28788.560000000001</v>
      </c>
      <c r="X548" s="2">
        <v>41.15</v>
      </c>
      <c r="Y548" s="2">
        <v>149</v>
      </c>
      <c r="Z548" s="2" t="s">
        <v>47</v>
      </c>
      <c r="AA548" s="2" t="s">
        <v>139</v>
      </c>
      <c r="AB548" s="2" t="s">
        <v>140</v>
      </c>
      <c r="AC548" s="2"/>
    </row>
    <row r="549" spans="1:29" x14ac:dyDescent="0.3">
      <c r="A549" s="3" t="s">
        <v>3411</v>
      </c>
      <c r="B549" s="3" t="s">
        <v>3412</v>
      </c>
      <c r="C549" s="3" t="s">
        <v>90</v>
      </c>
      <c r="D549" s="3" t="s">
        <v>3413</v>
      </c>
      <c r="E549" s="3" t="s">
        <v>18</v>
      </c>
      <c r="F549" s="3" t="s">
        <v>473</v>
      </c>
      <c r="G549" s="3" t="s">
        <v>3047</v>
      </c>
      <c r="H549" s="3" t="s">
        <v>180</v>
      </c>
      <c r="I549" s="3">
        <v>2</v>
      </c>
      <c r="J549" s="3" t="s">
        <v>29</v>
      </c>
      <c r="K549" s="3" t="s">
        <v>427</v>
      </c>
      <c r="L549" s="3" t="s">
        <v>1081</v>
      </c>
      <c r="M549" s="3" t="s">
        <v>3414</v>
      </c>
      <c r="N549" s="3" t="s">
        <v>1051</v>
      </c>
      <c r="O549" s="3" t="s">
        <v>28</v>
      </c>
      <c r="P549" s="3" t="s">
        <v>151</v>
      </c>
      <c r="Q549" s="3" t="s">
        <v>355</v>
      </c>
      <c r="R549" s="3">
        <v>4</v>
      </c>
      <c r="S549" s="3">
        <v>33558.699999999997</v>
      </c>
      <c r="T549" s="3">
        <v>10</v>
      </c>
      <c r="U549" s="3">
        <v>120811.32</v>
      </c>
      <c r="V549" s="3">
        <v>72631.520000000004</v>
      </c>
      <c r="W549" s="3">
        <v>48179.8</v>
      </c>
      <c r="X549" s="3">
        <v>39.880000000000003</v>
      </c>
      <c r="Y549" s="3">
        <v>199</v>
      </c>
      <c r="Z549" s="3" t="s">
        <v>23</v>
      </c>
      <c r="AA549" s="3" t="s">
        <v>139</v>
      </c>
      <c r="AB549" s="3" t="s">
        <v>140</v>
      </c>
      <c r="AC549" s="3"/>
    </row>
    <row r="550" spans="1:29" x14ac:dyDescent="0.3">
      <c r="A550" s="2" t="s">
        <v>3415</v>
      </c>
      <c r="B550" s="2" t="s">
        <v>3416</v>
      </c>
      <c r="C550" s="2" t="s">
        <v>716</v>
      </c>
      <c r="D550" s="2" t="s">
        <v>3417</v>
      </c>
      <c r="E550" s="2" t="s">
        <v>33</v>
      </c>
      <c r="F550" s="2" t="s">
        <v>1870</v>
      </c>
      <c r="G550" s="2" t="s">
        <v>3418</v>
      </c>
      <c r="H550" s="2" t="s">
        <v>397</v>
      </c>
      <c r="I550" s="2">
        <v>2</v>
      </c>
      <c r="J550" s="2" t="s">
        <v>39</v>
      </c>
      <c r="K550" s="2" t="s">
        <v>314</v>
      </c>
      <c r="L550" s="2" t="s">
        <v>314</v>
      </c>
      <c r="M550" s="2" t="s">
        <v>3419</v>
      </c>
      <c r="N550" s="2" t="s">
        <v>286</v>
      </c>
      <c r="O550" s="2" t="s">
        <v>28</v>
      </c>
      <c r="P550" s="2" t="s">
        <v>137</v>
      </c>
      <c r="Q550" s="2" t="s">
        <v>608</v>
      </c>
      <c r="R550" s="2">
        <v>4</v>
      </c>
      <c r="S550" s="2">
        <v>24116.97</v>
      </c>
      <c r="T550" s="2">
        <v>0</v>
      </c>
      <c r="U550" s="2">
        <v>96467.88</v>
      </c>
      <c r="V550" s="2">
        <v>45805.33</v>
      </c>
      <c r="W550" s="2">
        <v>50662.55</v>
      </c>
      <c r="X550" s="2">
        <v>52.52</v>
      </c>
      <c r="Y550" s="2">
        <v>49</v>
      </c>
      <c r="Z550" s="2" t="s">
        <v>15</v>
      </c>
      <c r="AA550" s="2" t="s">
        <v>100</v>
      </c>
      <c r="AB550" s="2" t="s">
        <v>101</v>
      </c>
      <c r="AC550" s="2">
        <v>1</v>
      </c>
    </row>
    <row r="551" spans="1:29" x14ac:dyDescent="0.3">
      <c r="A551" s="3" t="s">
        <v>3420</v>
      </c>
      <c r="B551" s="3" t="s">
        <v>3421</v>
      </c>
      <c r="C551" s="3" t="s">
        <v>1395</v>
      </c>
      <c r="D551" s="3" t="s">
        <v>3422</v>
      </c>
      <c r="E551" s="3" t="s">
        <v>33</v>
      </c>
      <c r="F551" s="3" t="s">
        <v>3423</v>
      </c>
      <c r="G551" s="3" t="s">
        <v>2563</v>
      </c>
      <c r="H551" s="3" t="s">
        <v>2348</v>
      </c>
      <c r="I551" s="3">
        <v>5</v>
      </c>
      <c r="J551" s="3" t="s">
        <v>14</v>
      </c>
      <c r="K551" s="3" t="s">
        <v>95</v>
      </c>
      <c r="L551" s="3" t="s">
        <v>95</v>
      </c>
      <c r="M551" s="3" t="s">
        <v>3424</v>
      </c>
      <c r="N551" s="3" t="s">
        <v>374</v>
      </c>
      <c r="O551" s="3" t="s">
        <v>21</v>
      </c>
      <c r="P551" s="3" t="s">
        <v>196</v>
      </c>
      <c r="Q551" s="3" t="s">
        <v>152</v>
      </c>
      <c r="R551" s="3">
        <v>4</v>
      </c>
      <c r="S551" s="3">
        <v>16927.02</v>
      </c>
      <c r="T551" s="3">
        <v>20</v>
      </c>
      <c r="U551" s="3">
        <v>54166.46</v>
      </c>
      <c r="V551" s="3">
        <v>34880.25</v>
      </c>
      <c r="W551" s="3">
        <v>19286.21</v>
      </c>
      <c r="X551" s="3">
        <v>35.61</v>
      </c>
      <c r="Y551" s="3">
        <v>99</v>
      </c>
      <c r="Z551" s="3" t="s">
        <v>48</v>
      </c>
      <c r="AA551" s="3" t="s">
        <v>275</v>
      </c>
      <c r="AB551" s="3" t="s">
        <v>101</v>
      </c>
      <c r="AC551" s="3"/>
    </row>
    <row r="552" spans="1:29" x14ac:dyDescent="0.3">
      <c r="A552" s="2" t="s">
        <v>3425</v>
      </c>
      <c r="B552" s="2" t="s">
        <v>3426</v>
      </c>
      <c r="C552" s="2" t="s">
        <v>300</v>
      </c>
      <c r="D552" s="2" t="s">
        <v>3427</v>
      </c>
      <c r="E552" s="2" t="s">
        <v>26</v>
      </c>
      <c r="F552" s="2" t="s">
        <v>2494</v>
      </c>
      <c r="G552" s="2" t="s">
        <v>3428</v>
      </c>
      <c r="H552" s="2" t="s">
        <v>1435</v>
      </c>
      <c r="I552" s="2">
        <v>5</v>
      </c>
      <c r="J552" s="2" t="s">
        <v>22</v>
      </c>
      <c r="K552" s="2" t="s">
        <v>283</v>
      </c>
      <c r="L552" s="2" t="s">
        <v>1346</v>
      </c>
      <c r="M552" s="2" t="s">
        <v>3429</v>
      </c>
      <c r="N552" s="2" t="s">
        <v>1051</v>
      </c>
      <c r="O552" s="2" t="s">
        <v>28</v>
      </c>
      <c r="P552" s="2" t="s">
        <v>151</v>
      </c>
      <c r="Q552" s="2" t="s">
        <v>138</v>
      </c>
      <c r="R552" s="2">
        <v>1</v>
      </c>
      <c r="S552" s="2">
        <v>1822.84</v>
      </c>
      <c r="T552" s="2">
        <v>15</v>
      </c>
      <c r="U552" s="2">
        <v>1549.41</v>
      </c>
      <c r="V552" s="2">
        <v>886.31</v>
      </c>
      <c r="W552" s="2">
        <v>663.1</v>
      </c>
      <c r="X552" s="2">
        <v>42.8</v>
      </c>
      <c r="Y552" s="2">
        <v>29</v>
      </c>
      <c r="Z552" s="2" t="s">
        <v>48</v>
      </c>
      <c r="AA552" s="2" t="s">
        <v>100</v>
      </c>
      <c r="AB552" s="2" t="s">
        <v>101</v>
      </c>
      <c r="AC552" s="2">
        <v>5</v>
      </c>
    </row>
    <row r="553" spans="1:29" x14ac:dyDescent="0.3">
      <c r="A553" s="3" t="s">
        <v>3430</v>
      </c>
      <c r="B553" s="3" t="s">
        <v>3431</v>
      </c>
      <c r="C553" s="3" t="s">
        <v>3432</v>
      </c>
      <c r="D553" s="3" t="s">
        <v>1178</v>
      </c>
      <c r="E553" s="3" t="s">
        <v>18</v>
      </c>
      <c r="F553" s="3" t="s">
        <v>872</v>
      </c>
      <c r="G553" s="3" t="s">
        <v>873</v>
      </c>
      <c r="H553" s="3" t="s">
        <v>1840</v>
      </c>
      <c r="I553" s="3">
        <v>2</v>
      </c>
      <c r="J553" s="3" t="s">
        <v>29</v>
      </c>
      <c r="K553" s="3" t="s">
        <v>160</v>
      </c>
      <c r="L553" s="3" t="s">
        <v>161</v>
      </c>
      <c r="M553" s="3" t="s">
        <v>3433</v>
      </c>
      <c r="N553" s="3" t="s">
        <v>518</v>
      </c>
      <c r="O553" s="3" t="s">
        <v>19</v>
      </c>
      <c r="P553" s="3" t="s">
        <v>365</v>
      </c>
      <c r="Q553" s="3" t="s">
        <v>246</v>
      </c>
      <c r="R553" s="3">
        <v>2</v>
      </c>
      <c r="S553" s="3">
        <v>34764.06</v>
      </c>
      <c r="T553" s="3">
        <v>0</v>
      </c>
      <c r="U553" s="3">
        <v>69528.12</v>
      </c>
      <c r="V553" s="3">
        <v>32812.370000000003</v>
      </c>
      <c r="W553" s="3">
        <v>36715.75</v>
      </c>
      <c r="X553" s="3">
        <v>52.81</v>
      </c>
      <c r="Y553" s="3">
        <v>29</v>
      </c>
      <c r="Z553" s="3" t="s">
        <v>40</v>
      </c>
      <c r="AA553" s="3" t="s">
        <v>100</v>
      </c>
      <c r="AB553" s="3" t="s">
        <v>101</v>
      </c>
      <c r="AC553" s="3">
        <v>3</v>
      </c>
    </row>
    <row r="554" spans="1:29" x14ac:dyDescent="0.3">
      <c r="A554" s="2" t="s">
        <v>3434</v>
      </c>
      <c r="B554" s="2" t="s">
        <v>3435</v>
      </c>
      <c r="C554" s="2" t="s">
        <v>3436</v>
      </c>
      <c r="D554" s="2" t="s">
        <v>3437</v>
      </c>
      <c r="E554" s="2" t="s">
        <v>42</v>
      </c>
      <c r="F554" s="2" t="s">
        <v>1106</v>
      </c>
      <c r="G554" s="2" t="s">
        <v>3232</v>
      </c>
      <c r="H554" s="2" t="s">
        <v>2100</v>
      </c>
      <c r="I554" s="2">
        <v>4</v>
      </c>
      <c r="J554" s="2" t="s">
        <v>29</v>
      </c>
      <c r="K554" s="2" t="s">
        <v>160</v>
      </c>
      <c r="L554" s="2" t="s">
        <v>976</v>
      </c>
      <c r="M554" s="2" t="s">
        <v>3438</v>
      </c>
      <c r="N554" s="2" t="s">
        <v>924</v>
      </c>
      <c r="O554" s="2" t="s">
        <v>13</v>
      </c>
      <c r="P554" s="2" t="s">
        <v>228</v>
      </c>
      <c r="Q554" s="2" t="s">
        <v>138</v>
      </c>
      <c r="R554" s="2">
        <v>1</v>
      </c>
      <c r="S554" s="2">
        <v>39716.160000000003</v>
      </c>
      <c r="T554" s="2">
        <v>25</v>
      </c>
      <c r="U554" s="2">
        <v>29787.119999999999</v>
      </c>
      <c r="V554" s="2">
        <v>20812.490000000002</v>
      </c>
      <c r="W554" s="2">
        <v>8974.6299999999992</v>
      </c>
      <c r="X554" s="2">
        <v>30.13</v>
      </c>
      <c r="Y554" s="2">
        <v>49</v>
      </c>
      <c r="Z554" s="2" t="s">
        <v>43</v>
      </c>
      <c r="AA554" s="2" t="s">
        <v>275</v>
      </c>
      <c r="AB554" s="2" t="s">
        <v>101</v>
      </c>
      <c r="AC554" s="2"/>
    </row>
    <row r="555" spans="1:29" x14ac:dyDescent="0.3">
      <c r="A555" s="3" t="s">
        <v>3439</v>
      </c>
      <c r="B555" s="3" t="s">
        <v>3440</v>
      </c>
      <c r="C555" s="3" t="s">
        <v>1233</v>
      </c>
      <c r="D555" s="3" t="s">
        <v>3441</v>
      </c>
      <c r="E555" s="3" t="s">
        <v>42</v>
      </c>
      <c r="F555" s="3" t="s">
        <v>660</v>
      </c>
      <c r="G555" s="3" t="s">
        <v>3356</v>
      </c>
      <c r="H555" s="3" t="s">
        <v>3237</v>
      </c>
      <c r="I555" s="3">
        <v>4</v>
      </c>
      <c r="J555" s="3" t="s">
        <v>29</v>
      </c>
      <c r="K555" s="3" t="s">
        <v>148</v>
      </c>
      <c r="L555" s="3" t="s">
        <v>148</v>
      </c>
      <c r="M555" s="3" t="s">
        <v>3442</v>
      </c>
      <c r="N555" s="3" t="s">
        <v>438</v>
      </c>
      <c r="O555" s="3" t="s">
        <v>13</v>
      </c>
      <c r="P555" s="3" t="s">
        <v>228</v>
      </c>
      <c r="Q555" s="3" t="s">
        <v>207</v>
      </c>
      <c r="R555" s="3">
        <v>3</v>
      </c>
      <c r="S555" s="3">
        <v>32849.19</v>
      </c>
      <c r="T555" s="3">
        <v>10</v>
      </c>
      <c r="U555" s="3">
        <v>88692.81</v>
      </c>
      <c r="V555" s="3">
        <v>45369.15</v>
      </c>
      <c r="W555" s="3">
        <v>43323.66</v>
      </c>
      <c r="X555" s="3">
        <v>48.85</v>
      </c>
      <c r="Y555" s="3">
        <v>149</v>
      </c>
      <c r="Z555" s="3" t="s">
        <v>15</v>
      </c>
      <c r="AA555" s="3" t="s">
        <v>100</v>
      </c>
      <c r="AB555" s="3" t="s">
        <v>101</v>
      </c>
      <c r="AC555" s="3">
        <v>1</v>
      </c>
    </row>
    <row r="556" spans="1:29" x14ac:dyDescent="0.3">
      <c r="A556" s="2" t="s">
        <v>3443</v>
      </c>
      <c r="B556" s="2" t="s">
        <v>3444</v>
      </c>
      <c r="C556" s="2" t="s">
        <v>934</v>
      </c>
      <c r="D556" s="2" t="s">
        <v>3445</v>
      </c>
      <c r="E556" s="2" t="s">
        <v>33</v>
      </c>
      <c r="F556" s="2" t="s">
        <v>2386</v>
      </c>
      <c r="G556" s="2" t="s">
        <v>2899</v>
      </c>
      <c r="H556" s="2" t="s">
        <v>2900</v>
      </c>
      <c r="I556" s="2">
        <v>2</v>
      </c>
      <c r="J556" s="2" t="s">
        <v>29</v>
      </c>
      <c r="K556" s="2" t="s">
        <v>427</v>
      </c>
      <c r="L556" s="2" t="s">
        <v>428</v>
      </c>
      <c r="M556" s="2" t="s">
        <v>3446</v>
      </c>
      <c r="N556" s="2" t="s">
        <v>418</v>
      </c>
      <c r="O556" s="2" t="s">
        <v>13</v>
      </c>
      <c r="P556" s="2" t="s">
        <v>419</v>
      </c>
      <c r="Q556" s="2" t="s">
        <v>400</v>
      </c>
      <c r="R556" s="2">
        <v>3</v>
      </c>
      <c r="S556" s="2">
        <v>7611.35</v>
      </c>
      <c r="T556" s="2">
        <v>0</v>
      </c>
      <c r="U556" s="2">
        <v>22834.05</v>
      </c>
      <c r="V556" s="2">
        <v>10329.120000000001</v>
      </c>
      <c r="W556" s="2">
        <v>12504.93</v>
      </c>
      <c r="X556" s="2">
        <v>54.76</v>
      </c>
      <c r="Y556" s="2">
        <v>49</v>
      </c>
      <c r="Z556" s="2" t="s">
        <v>23</v>
      </c>
      <c r="AA556" s="2" t="s">
        <v>186</v>
      </c>
      <c r="AB556" s="2" t="s">
        <v>101</v>
      </c>
      <c r="AC556" s="2"/>
    </row>
    <row r="557" spans="1:29" x14ac:dyDescent="0.3">
      <c r="A557" s="3" t="s">
        <v>3447</v>
      </c>
      <c r="B557" s="3" t="s">
        <v>3448</v>
      </c>
      <c r="C557" s="3" t="s">
        <v>309</v>
      </c>
      <c r="D557" s="3" t="s">
        <v>3449</v>
      </c>
      <c r="E557" s="3" t="s">
        <v>33</v>
      </c>
      <c r="F557" s="3" t="s">
        <v>3450</v>
      </c>
      <c r="G557" s="3" t="s">
        <v>3451</v>
      </c>
      <c r="H557" s="3" t="s">
        <v>3452</v>
      </c>
      <c r="I557" s="3">
        <v>4</v>
      </c>
      <c r="J557" s="3" t="s">
        <v>22</v>
      </c>
      <c r="K557" s="3" t="s">
        <v>738</v>
      </c>
      <c r="L557" s="3" t="s">
        <v>738</v>
      </c>
      <c r="M557" s="3" t="s">
        <v>3453</v>
      </c>
      <c r="N557" s="3" t="s">
        <v>150</v>
      </c>
      <c r="O557" s="3" t="s">
        <v>28</v>
      </c>
      <c r="P557" s="3" t="s">
        <v>151</v>
      </c>
      <c r="Q557" s="3" t="s">
        <v>218</v>
      </c>
      <c r="R557" s="3">
        <v>2</v>
      </c>
      <c r="S557" s="3">
        <v>48824.67</v>
      </c>
      <c r="T557" s="3">
        <v>15</v>
      </c>
      <c r="U557" s="3">
        <v>83001.94</v>
      </c>
      <c r="V557" s="3">
        <v>49688.18</v>
      </c>
      <c r="W557" s="3">
        <v>33313.760000000002</v>
      </c>
      <c r="X557" s="3">
        <v>40.14</v>
      </c>
      <c r="Y557" s="3">
        <v>29</v>
      </c>
      <c r="Z557" s="3" t="s">
        <v>30</v>
      </c>
      <c r="AA557" s="3" t="s">
        <v>672</v>
      </c>
      <c r="AB557" s="3" t="s">
        <v>101</v>
      </c>
      <c r="AC557" s="3"/>
    </row>
    <row r="558" spans="1:29" x14ac:dyDescent="0.3">
      <c r="A558" s="2" t="s">
        <v>3454</v>
      </c>
      <c r="B558" s="2" t="s">
        <v>3455</v>
      </c>
      <c r="C558" s="2" t="s">
        <v>1597</v>
      </c>
      <c r="D558" s="2" t="s">
        <v>3456</v>
      </c>
      <c r="E558" s="2" t="s">
        <v>18</v>
      </c>
      <c r="F558" s="2" t="s">
        <v>1876</v>
      </c>
      <c r="G558" s="2" t="s">
        <v>2602</v>
      </c>
      <c r="H558" s="2" t="s">
        <v>2058</v>
      </c>
      <c r="I558" s="2">
        <v>3</v>
      </c>
      <c r="J558" s="2" t="s">
        <v>29</v>
      </c>
      <c r="K558" s="2" t="s">
        <v>148</v>
      </c>
      <c r="L558" s="2" t="s">
        <v>148</v>
      </c>
      <c r="M558" s="2" t="s">
        <v>3457</v>
      </c>
      <c r="N558" s="2" t="s">
        <v>1223</v>
      </c>
      <c r="O558" s="2" t="s">
        <v>19</v>
      </c>
      <c r="P558" s="2" t="s">
        <v>447</v>
      </c>
      <c r="Q558" s="2" t="s">
        <v>246</v>
      </c>
      <c r="R558" s="2">
        <v>2</v>
      </c>
      <c r="S558" s="2">
        <v>22748.799999999999</v>
      </c>
      <c r="T558" s="2">
        <v>30</v>
      </c>
      <c r="U558" s="2">
        <v>31848.32</v>
      </c>
      <c r="V558" s="2">
        <v>18213.169999999998</v>
      </c>
      <c r="W558" s="2">
        <v>13635.15</v>
      </c>
      <c r="X558" s="2">
        <v>42.81</v>
      </c>
      <c r="Y558" s="2">
        <v>199</v>
      </c>
      <c r="Z558" s="2" t="s">
        <v>23</v>
      </c>
      <c r="AA558" s="2" t="s">
        <v>672</v>
      </c>
      <c r="AB558" s="2" t="s">
        <v>101</v>
      </c>
      <c r="AC558" s="2"/>
    </row>
    <row r="559" spans="1:29" x14ac:dyDescent="0.3">
      <c r="A559" s="3" t="s">
        <v>3458</v>
      </c>
      <c r="B559" s="3" t="s">
        <v>3459</v>
      </c>
      <c r="C559" s="3" t="s">
        <v>554</v>
      </c>
      <c r="D559" s="3" t="s">
        <v>3460</v>
      </c>
      <c r="E559" s="3" t="s">
        <v>33</v>
      </c>
      <c r="F559" s="3" t="s">
        <v>3100</v>
      </c>
      <c r="G559" s="3" t="s">
        <v>3461</v>
      </c>
      <c r="H559" s="3" t="s">
        <v>2707</v>
      </c>
      <c r="I559" s="3">
        <v>8</v>
      </c>
      <c r="J559" s="3" t="s">
        <v>22</v>
      </c>
      <c r="K559" s="3" t="s">
        <v>283</v>
      </c>
      <c r="L559" s="3" t="s">
        <v>1346</v>
      </c>
      <c r="M559" s="3" t="s">
        <v>3462</v>
      </c>
      <c r="N559" s="3" t="s">
        <v>174</v>
      </c>
      <c r="O559" s="3" t="s">
        <v>27</v>
      </c>
      <c r="P559" s="3" t="s">
        <v>175</v>
      </c>
      <c r="Q559" s="3" t="s">
        <v>152</v>
      </c>
      <c r="R559" s="3">
        <v>2</v>
      </c>
      <c r="S559" s="3">
        <v>33368.42</v>
      </c>
      <c r="T559" s="3">
        <v>10</v>
      </c>
      <c r="U559" s="3">
        <v>60063.16</v>
      </c>
      <c r="V559" s="3">
        <v>35394.980000000003</v>
      </c>
      <c r="W559" s="3">
        <v>24668.18</v>
      </c>
      <c r="X559" s="3">
        <v>41.07</v>
      </c>
      <c r="Y559" s="3">
        <v>99</v>
      </c>
      <c r="Z559" s="3" t="s">
        <v>23</v>
      </c>
      <c r="AA559" s="3" t="s">
        <v>100</v>
      </c>
      <c r="AB559" s="3" t="s">
        <v>101</v>
      </c>
      <c r="AC559" s="3">
        <v>2</v>
      </c>
    </row>
    <row r="560" spans="1:29" x14ac:dyDescent="0.3">
      <c r="A560" s="2" t="s">
        <v>3463</v>
      </c>
      <c r="B560" s="2" t="s">
        <v>3464</v>
      </c>
      <c r="C560" s="2" t="s">
        <v>469</v>
      </c>
      <c r="D560" s="2" t="s">
        <v>3465</v>
      </c>
      <c r="E560" s="2" t="s">
        <v>42</v>
      </c>
      <c r="F560" s="2" t="s">
        <v>1113</v>
      </c>
      <c r="G560" s="2" t="s">
        <v>2747</v>
      </c>
      <c r="H560" s="2" t="s">
        <v>2271</v>
      </c>
      <c r="I560" s="2">
        <v>6</v>
      </c>
      <c r="J560" s="2" t="s">
        <v>39</v>
      </c>
      <c r="K560" s="2" t="s">
        <v>193</v>
      </c>
      <c r="L560" s="2" t="s">
        <v>193</v>
      </c>
      <c r="M560" s="2" t="s">
        <v>3466</v>
      </c>
      <c r="N560" s="2" t="s">
        <v>354</v>
      </c>
      <c r="O560" s="2" t="s">
        <v>21</v>
      </c>
      <c r="P560" s="2" t="s">
        <v>196</v>
      </c>
      <c r="Q560" s="2" t="s">
        <v>138</v>
      </c>
      <c r="R560" s="2">
        <v>3</v>
      </c>
      <c r="S560" s="2">
        <v>47548.54</v>
      </c>
      <c r="T560" s="2">
        <v>20</v>
      </c>
      <c r="U560" s="2">
        <v>114116.5</v>
      </c>
      <c r="V560" s="2">
        <v>57507.62</v>
      </c>
      <c r="W560" s="2">
        <v>56608.88</v>
      </c>
      <c r="X560" s="2">
        <v>49.61</v>
      </c>
      <c r="Y560" s="2">
        <v>199</v>
      </c>
      <c r="Z560" s="2" t="s">
        <v>43</v>
      </c>
      <c r="AA560" s="2" t="s">
        <v>100</v>
      </c>
      <c r="AB560" s="2" t="s">
        <v>101</v>
      </c>
      <c r="AC560" s="2">
        <v>4</v>
      </c>
    </row>
    <row r="561" spans="1:29" x14ac:dyDescent="0.3">
      <c r="A561" s="3" t="s">
        <v>3467</v>
      </c>
      <c r="B561" s="3" t="s">
        <v>3468</v>
      </c>
      <c r="C561" s="3" t="s">
        <v>2291</v>
      </c>
      <c r="D561" s="3" t="s">
        <v>3469</v>
      </c>
      <c r="E561" s="3" t="s">
        <v>33</v>
      </c>
      <c r="F561" s="3" t="s">
        <v>3156</v>
      </c>
      <c r="G561" s="3" t="s">
        <v>1646</v>
      </c>
      <c r="H561" s="3" t="s">
        <v>343</v>
      </c>
      <c r="I561" s="3">
        <v>6</v>
      </c>
      <c r="J561" s="3" t="s">
        <v>39</v>
      </c>
      <c r="K561" s="3" t="s">
        <v>324</v>
      </c>
      <c r="L561" s="3" t="s">
        <v>325</v>
      </c>
      <c r="M561" s="3" t="s">
        <v>3470</v>
      </c>
      <c r="N561" s="3" t="s">
        <v>639</v>
      </c>
      <c r="O561" s="3" t="s">
        <v>27</v>
      </c>
      <c r="P561" s="3" t="s">
        <v>175</v>
      </c>
      <c r="Q561" s="3" t="s">
        <v>608</v>
      </c>
      <c r="R561" s="3">
        <v>2</v>
      </c>
      <c r="S561" s="3">
        <v>42788.85</v>
      </c>
      <c r="T561" s="3">
        <v>15</v>
      </c>
      <c r="U561" s="3">
        <v>72741.039999999994</v>
      </c>
      <c r="V561" s="3">
        <v>34232.769999999997</v>
      </c>
      <c r="W561" s="3">
        <v>38508.269999999997</v>
      </c>
      <c r="X561" s="3">
        <v>52.94</v>
      </c>
      <c r="Y561" s="3">
        <v>29</v>
      </c>
      <c r="Z561" s="3" t="s">
        <v>43</v>
      </c>
      <c r="AA561" s="3" t="s">
        <v>100</v>
      </c>
      <c r="AB561" s="3" t="s">
        <v>101</v>
      </c>
      <c r="AC561" s="3">
        <v>5</v>
      </c>
    </row>
    <row r="562" spans="1:29" x14ac:dyDescent="0.3">
      <c r="A562" s="2" t="s">
        <v>3471</v>
      </c>
      <c r="B562" s="2" t="s">
        <v>3472</v>
      </c>
      <c r="C562" s="2" t="s">
        <v>3250</v>
      </c>
      <c r="D562" s="2" t="s">
        <v>3473</v>
      </c>
      <c r="E562" s="2" t="s">
        <v>42</v>
      </c>
      <c r="F562" s="2" t="s">
        <v>1818</v>
      </c>
      <c r="G562" s="2" t="s">
        <v>1162</v>
      </c>
      <c r="H562" s="2" t="s">
        <v>3474</v>
      </c>
      <c r="I562" s="2">
        <v>8</v>
      </c>
      <c r="J562" s="2" t="s">
        <v>39</v>
      </c>
      <c r="K562" s="2" t="s">
        <v>314</v>
      </c>
      <c r="L562" s="2" t="s">
        <v>314</v>
      </c>
      <c r="M562" s="2" t="s">
        <v>3475</v>
      </c>
      <c r="N562" s="2" t="s">
        <v>195</v>
      </c>
      <c r="O562" s="2" t="s">
        <v>21</v>
      </c>
      <c r="P562" s="2" t="s">
        <v>196</v>
      </c>
      <c r="Q562" s="2" t="s">
        <v>246</v>
      </c>
      <c r="R562" s="2">
        <v>4</v>
      </c>
      <c r="S562" s="2">
        <v>39519.71</v>
      </c>
      <c r="T562" s="2">
        <v>0</v>
      </c>
      <c r="U562" s="2">
        <v>158078.84</v>
      </c>
      <c r="V562" s="2">
        <v>98522.64</v>
      </c>
      <c r="W562" s="2">
        <v>59556.2</v>
      </c>
      <c r="X562" s="2">
        <v>37.67</v>
      </c>
      <c r="Y562" s="2">
        <v>99</v>
      </c>
      <c r="Z562" s="2" t="s">
        <v>30</v>
      </c>
      <c r="AA562" s="2" t="s">
        <v>100</v>
      </c>
      <c r="AB562" s="2" t="s">
        <v>101</v>
      </c>
      <c r="AC562" s="2">
        <v>5</v>
      </c>
    </row>
    <row r="563" spans="1:29" x14ac:dyDescent="0.3">
      <c r="A563" s="3" t="s">
        <v>3476</v>
      </c>
      <c r="B563" s="3" t="s">
        <v>3477</v>
      </c>
      <c r="C563" s="3" t="s">
        <v>1782</v>
      </c>
      <c r="D563" s="3" t="s">
        <v>3478</v>
      </c>
      <c r="E563" s="3" t="s">
        <v>18</v>
      </c>
      <c r="F563" s="3" t="s">
        <v>702</v>
      </c>
      <c r="G563" s="3" t="s">
        <v>3479</v>
      </c>
      <c r="H563" s="3" t="s">
        <v>331</v>
      </c>
      <c r="I563" s="3">
        <v>2</v>
      </c>
      <c r="J563" s="3" t="s">
        <v>14</v>
      </c>
      <c r="K563" s="3" t="s">
        <v>183</v>
      </c>
      <c r="L563" s="3" t="s">
        <v>183</v>
      </c>
      <c r="M563" s="3" t="s">
        <v>3480</v>
      </c>
      <c r="N563" s="3" t="s">
        <v>852</v>
      </c>
      <c r="O563" s="3" t="s">
        <v>27</v>
      </c>
      <c r="P563" s="3" t="s">
        <v>175</v>
      </c>
      <c r="Q563" s="3" t="s">
        <v>138</v>
      </c>
      <c r="R563" s="3">
        <v>2</v>
      </c>
      <c r="S563" s="3">
        <v>5012.5</v>
      </c>
      <c r="T563" s="3">
        <v>0</v>
      </c>
      <c r="U563" s="3">
        <v>10025</v>
      </c>
      <c r="V563" s="3">
        <v>4729.67</v>
      </c>
      <c r="W563" s="3">
        <v>5295.33</v>
      </c>
      <c r="X563" s="3">
        <v>52.82</v>
      </c>
      <c r="Y563" s="3">
        <v>99</v>
      </c>
      <c r="Z563" s="3" t="s">
        <v>23</v>
      </c>
      <c r="AA563" s="3" t="s">
        <v>100</v>
      </c>
      <c r="AB563" s="3" t="s">
        <v>101</v>
      </c>
      <c r="AC563" s="3">
        <v>4</v>
      </c>
    </row>
    <row r="564" spans="1:29" x14ac:dyDescent="0.3">
      <c r="A564" s="2" t="s">
        <v>3481</v>
      </c>
      <c r="B564" s="2" t="s">
        <v>3482</v>
      </c>
      <c r="C564" s="2" t="s">
        <v>680</v>
      </c>
      <c r="D564" s="2" t="s">
        <v>744</v>
      </c>
      <c r="E564" s="2" t="s">
        <v>42</v>
      </c>
      <c r="F564" s="2" t="s">
        <v>1870</v>
      </c>
      <c r="G564" s="2" t="s">
        <v>2618</v>
      </c>
      <c r="H564" s="2" t="s">
        <v>842</v>
      </c>
      <c r="I564" s="2">
        <v>8</v>
      </c>
      <c r="J564" s="2" t="s">
        <v>39</v>
      </c>
      <c r="K564" s="2" t="s">
        <v>324</v>
      </c>
      <c r="L564" s="2" t="s">
        <v>1422</v>
      </c>
      <c r="M564" s="2" t="s">
        <v>3483</v>
      </c>
      <c r="N564" s="2" t="s">
        <v>1223</v>
      </c>
      <c r="O564" s="2" t="s">
        <v>19</v>
      </c>
      <c r="P564" s="2" t="s">
        <v>447</v>
      </c>
      <c r="Q564" s="2" t="s">
        <v>99</v>
      </c>
      <c r="R564" s="2">
        <v>1</v>
      </c>
      <c r="S564" s="2">
        <v>27515.71</v>
      </c>
      <c r="T564" s="2">
        <v>30</v>
      </c>
      <c r="U564" s="2">
        <v>19261</v>
      </c>
      <c r="V564" s="2">
        <v>9494.32</v>
      </c>
      <c r="W564" s="2">
        <v>9766.68</v>
      </c>
      <c r="X564" s="2">
        <v>50.71</v>
      </c>
      <c r="Y564" s="2">
        <v>149</v>
      </c>
      <c r="Z564" s="2" t="s">
        <v>43</v>
      </c>
      <c r="AA564" s="2" t="s">
        <v>100</v>
      </c>
      <c r="AB564" s="2" t="s">
        <v>101</v>
      </c>
      <c r="AC564" s="2">
        <v>5</v>
      </c>
    </row>
    <row r="565" spans="1:29" x14ac:dyDescent="0.3">
      <c r="A565" s="3" t="s">
        <v>3484</v>
      </c>
      <c r="B565" s="3" t="s">
        <v>3485</v>
      </c>
      <c r="C565" s="3" t="s">
        <v>512</v>
      </c>
      <c r="D565" s="3" t="s">
        <v>3486</v>
      </c>
      <c r="E565" s="3" t="s">
        <v>18</v>
      </c>
      <c r="F565" s="3" t="s">
        <v>2553</v>
      </c>
      <c r="G565" s="3" t="s">
        <v>1600</v>
      </c>
      <c r="H565" s="3" t="s">
        <v>2935</v>
      </c>
      <c r="I565" s="3">
        <v>5</v>
      </c>
      <c r="J565" s="3" t="s">
        <v>14</v>
      </c>
      <c r="K565" s="3" t="s">
        <v>215</v>
      </c>
      <c r="L565" s="3" t="s">
        <v>215</v>
      </c>
      <c r="M565" s="3" t="s">
        <v>3487</v>
      </c>
      <c r="N565" s="3" t="s">
        <v>418</v>
      </c>
      <c r="O565" s="3" t="s">
        <v>13</v>
      </c>
      <c r="P565" s="3" t="s">
        <v>419</v>
      </c>
      <c r="Q565" s="3" t="s">
        <v>218</v>
      </c>
      <c r="R565" s="3">
        <v>2</v>
      </c>
      <c r="S565" s="3">
        <v>1531.27</v>
      </c>
      <c r="T565" s="3">
        <v>15</v>
      </c>
      <c r="U565" s="3">
        <v>2603.16</v>
      </c>
      <c r="V565" s="3">
        <v>1591.66</v>
      </c>
      <c r="W565" s="3">
        <v>1011.5</v>
      </c>
      <c r="X565" s="3">
        <v>38.86</v>
      </c>
      <c r="Y565" s="3">
        <v>49</v>
      </c>
      <c r="Z565" s="3" t="s">
        <v>23</v>
      </c>
      <c r="AA565" s="3" t="s">
        <v>100</v>
      </c>
      <c r="AB565" s="3" t="s">
        <v>101</v>
      </c>
      <c r="AC565" s="3">
        <v>5</v>
      </c>
    </row>
    <row r="566" spans="1:29" x14ac:dyDescent="0.3">
      <c r="A566" s="2" t="s">
        <v>3488</v>
      </c>
      <c r="B566" s="2" t="s">
        <v>3489</v>
      </c>
      <c r="C566" s="2" t="s">
        <v>680</v>
      </c>
      <c r="D566" s="2" t="s">
        <v>3490</v>
      </c>
      <c r="E566" s="2" t="s">
        <v>33</v>
      </c>
      <c r="F566" s="2" t="s">
        <v>1161</v>
      </c>
      <c r="G566" s="2" t="s">
        <v>1162</v>
      </c>
      <c r="H566" s="2" t="s">
        <v>2928</v>
      </c>
      <c r="I566" s="2">
        <v>7</v>
      </c>
      <c r="J566" s="2" t="s">
        <v>22</v>
      </c>
      <c r="K566" s="2" t="s">
        <v>254</v>
      </c>
      <c r="L566" s="2" t="s">
        <v>254</v>
      </c>
      <c r="M566" s="2" t="s">
        <v>3491</v>
      </c>
      <c r="N566" s="2" t="s">
        <v>390</v>
      </c>
      <c r="O566" s="2" t="s">
        <v>19</v>
      </c>
      <c r="P566" s="2" t="s">
        <v>297</v>
      </c>
      <c r="Q566" s="2" t="s">
        <v>138</v>
      </c>
      <c r="R566" s="2">
        <v>2</v>
      </c>
      <c r="S566" s="2">
        <v>35304.230000000003</v>
      </c>
      <c r="T566" s="2">
        <v>5</v>
      </c>
      <c r="U566" s="2">
        <v>67078.039999999994</v>
      </c>
      <c r="V566" s="2">
        <v>30851.84</v>
      </c>
      <c r="W566" s="2">
        <v>36226.199999999997</v>
      </c>
      <c r="X566" s="2">
        <v>54.01</v>
      </c>
      <c r="Y566" s="2">
        <v>99</v>
      </c>
      <c r="Z566" s="2" t="s">
        <v>47</v>
      </c>
      <c r="AA566" s="2" t="s">
        <v>100</v>
      </c>
      <c r="AB566" s="2" t="s">
        <v>101</v>
      </c>
      <c r="AC566" s="2"/>
    </row>
    <row r="567" spans="1:29" x14ac:dyDescent="0.3">
      <c r="A567" s="3" t="s">
        <v>3492</v>
      </c>
      <c r="B567" s="3" t="s">
        <v>3493</v>
      </c>
      <c r="C567" s="3" t="s">
        <v>1054</v>
      </c>
      <c r="D567" s="3" t="s">
        <v>3494</v>
      </c>
      <c r="E567" s="3" t="s">
        <v>33</v>
      </c>
      <c r="F567" s="3" t="s">
        <v>1840</v>
      </c>
      <c r="G567" s="3" t="s">
        <v>3495</v>
      </c>
      <c r="H567" s="3" t="s">
        <v>1868</v>
      </c>
      <c r="I567" s="3">
        <v>5</v>
      </c>
      <c r="J567" s="3" t="s">
        <v>39</v>
      </c>
      <c r="K567" s="3" t="s">
        <v>314</v>
      </c>
      <c r="L567" s="3" t="s">
        <v>314</v>
      </c>
      <c r="M567" s="3" t="s">
        <v>2565</v>
      </c>
      <c r="N567" s="3" t="s">
        <v>374</v>
      </c>
      <c r="O567" s="3" t="s">
        <v>21</v>
      </c>
      <c r="P567" s="3" t="s">
        <v>196</v>
      </c>
      <c r="Q567" s="3" t="s">
        <v>608</v>
      </c>
      <c r="R567" s="3">
        <v>3</v>
      </c>
      <c r="S567" s="3">
        <v>1013.07</v>
      </c>
      <c r="T567" s="3">
        <v>10</v>
      </c>
      <c r="U567" s="3">
        <v>2735.29</v>
      </c>
      <c r="V567" s="3">
        <v>1717.65</v>
      </c>
      <c r="W567" s="3">
        <v>1017.64</v>
      </c>
      <c r="X567" s="3">
        <v>37.200000000000003</v>
      </c>
      <c r="Y567" s="3">
        <v>99</v>
      </c>
      <c r="Z567" s="3" t="s">
        <v>30</v>
      </c>
      <c r="AA567" s="3" t="s">
        <v>100</v>
      </c>
      <c r="AB567" s="3" t="s">
        <v>101</v>
      </c>
      <c r="AC567" s="3">
        <v>1</v>
      </c>
    </row>
    <row r="568" spans="1:29" x14ac:dyDescent="0.3">
      <c r="A568" s="2" t="s">
        <v>3496</v>
      </c>
      <c r="B568" s="2" t="s">
        <v>3497</v>
      </c>
      <c r="C568" s="2" t="s">
        <v>309</v>
      </c>
      <c r="D568" s="2" t="s">
        <v>3498</v>
      </c>
      <c r="E568" s="2" t="s">
        <v>26</v>
      </c>
      <c r="F568" s="2" t="s">
        <v>621</v>
      </c>
      <c r="G568" s="2" t="s">
        <v>755</v>
      </c>
      <c r="H568" s="2" t="s">
        <v>850</v>
      </c>
      <c r="I568" s="2">
        <v>6</v>
      </c>
      <c r="J568" s="2" t="s">
        <v>22</v>
      </c>
      <c r="K568" s="2" t="s">
        <v>738</v>
      </c>
      <c r="L568" s="2" t="s">
        <v>738</v>
      </c>
      <c r="M568" s="2" t="s">
        <v>3499</v>
      </c>
      <c r="N568" s="2" t="s">
        <v>1223</v>
      </c>
      <c r="O568" s="2" t="s">
        <v>19</v>
      </c>
      <c r="P568" s="2" t="s">
        <v>447</v>
      </c>
      <c r="Q568" s="2" t="s">
        <v>400</v>
      </c>
      <c r="R568" s="2">
        <v>3</v>
      </c>
      <c r="S568" s="2">
        <v>9814.94</v>
      </c>
      <c r="T568" s="2">
        <v>15</v>
      </c>
      <c r="U568" s="2">
        <v>25028.1</v>
      </c>
      <c r="V568" s="2">
        <v>14518.71</v>
      </c>
      <c r="W568" s="2">
        <v>10509.39</v>
      </c>
      <c r="X568" s="2">
        <v>41.99</v>
      </c>
      <c r="Y568" s="2">
        <v>149</v>
      </c>
      <c r="Z568" s="2" t="s">
        <v>15</v>
      </c>
      <c r="AA568" s="2" t="s">
        <v>186</v>
      </c>
      <c r="AB568" s="2" t="s">
        <v>101</v>
      </c>
      <c r="AC568" s="2"/>
    </row>
    <row r="569" spans="1:29" x14ac:dyDescent="0.3">
      <c r="A569" s="3" t="s">
        <v>3500</v>
      </c>
      <c r="B569" s="3" t="s">
        <v>3501</v>
      </c>
      <c r="C569" s="3" t="s">
        <v>278</v>
      </c>
      <c r="D569" s="3" t="s">
        <v>3502</v>
      </c>
      <c r="E569" s="3" t="s">
        <v>42</v>
      </c>
      <c r="F569" s="3" t="s">
        <v>3503</v>
      </c>
      <c r="G569" s="3" t="s">
        <v>3504</v>
      </c>
      <c r="H569" s="3" t="s">
        <v>3505</v>
      </c>
      <c r="I569" s="3">
        <v>2</v>
      </c>
      <c r="J569" s="3" t="s">
        <v>39</v>
      </c>
      <c r="K569" s="3" t="s">
        <v>109</v>
      </c>
      <c r="L569" s="3" t="s">
        <v>134</v>
      </c>
      <c r="M569" s="3" t="s">
        <v>3506</v>
      </c>
      <c r="N569" s="3" t="s">
        <v>446</v>
      </c>
      <c r="O569" s="3" t="s">
        <v>19</v>
      </c>
      <c r="P569" s="3" t="s">
        <v>447</v>
      </c>
      <c r="Q569" s="3" t="s">
        <v>466</v>
      </c>
      <c r="R569" s="3">
        <v>5</v>
      </c>
      <c r="S569" s="3">
        <v>10815.43</v>
      </c>
      <c r="T569" s="3">
        <v>25</v>
      </c>
      <c r="U569" s="3">
        <v>40557.86</v>
      </c>
      <c r="V569" s="3">
        <v>24149.42</v>
      </c>
      <c r="W569" s="3">
        <v>16408.439999999999</v>
      </c>
      <c r="X569" s="3">
        <v>40.46</v>
      </c>
      <c r="Y569" s="3">
        <v>199</v>
      </c>
      <c r="Z569" s="3" t="s">
        <v>15</v>
      </c>
      <c r="AA569" s="3" t="s">
        <v>100</v>
      </c>
      <c r="AB569" s="3" t="s">
        <v>101</v>
      </c>
      <c r="AC569" s="3">
        <v>4</v>
      </c>
    </row>
    <row r="570" spans="1:29" x14ac:dyDescent="0.3">
      <c r="A570" s="2" t="s">
        <v>3507</v>
      </c>
      <c r="B570" s="2" t="s">
        <v>3508</v>
      </c>
      <c r="C570" s="2" t="s">
        <v>1644</v>
      </c>
      <c r="D570" s="2" t="s">
        <v>3509</v>
      </c>
      <c r="E570" s="2" t="s">
        <v>33</v>
      </c>
      <c r="F570" s="2" t="s">
        <v>3510</v>
      </c>
      <c r="G570" s="2" t="s">
        <v>3511</v>
      </c>
      <c r="H570" s="2" t="s">
        <v>3200</v>
      </c>
      <c r="I570" s="2">
        <v>2</v>
      </c>
      <c r="J570" s="2" t="s">
        <v>29</v>
      </c>
      <c r="K570" s="2" t="s">
        <v>334</v>
      </c>
      <c r="L570" s="2" t="s">
        <v>335</v>
      </c>
      <c r="M570" s="2" t="s">
        <v>3512</v>
      </c>
      <c r="N570" s="2" t="s">
        <v>686</v>
      </c>
      <c r="O570" s="2" t="s">
        <v>13</v>
      </c>
      <c r="P570" s="2" t="s">
        <v>228</v>
      </c>
      <c r="Q570" s="2" t="s">
        <v>127</v>
      </c>
      <c r="R570" s="2">
        <v>5</v>
      </c>
      <c r="S570" s="2">
        <v>47757.15</v>
      </c>
      <c r="T570" s="2">
        <v>15</v>
      </c>
      <c r="U570" s="2">
        <v>202967.89</v>
      </c>
      <c r="V570" s="2">
        <v>128733.48</v>
      </c>
      <c r="W570" s="2">
        <v>74234.41</v>
      </c>
      <c r="X570" s="2">
        <v>36.57</v>
      </c>
      <c r="Y570" s="2">
        <v>99</v>
      </c>
      <c r="Z570" s="2" t="s">
        <v>23</v>
      </c>
      <c r="AA570" s="2" t="s">
        <v>100</v>
      </c>
      <c r="AB570" s="2" t="s">
        <v>140</v>
      </c>
      <c r="AC570" s="2">
        <v>5</v>
      </c>
    </row>
    <row r="571" spans="1:29" x14ac:dyDescent="0.3">
      <c r="A571" s="3" t="s">
        <v>3513</v>
      </c>
      <c r="B571" s="3" t="s">
        <v>3514</v>
      </c>
      <c r="C571" s="3" t="s">
        <v>166</v>
      </c>
      <c r="D571" s="3" t="s">
        <v>3515</v>
      </c>
      <c r="E571" s="3" t="s">
        <v>26</v>
      </c>
      <c r="F571" s="3" t="s">
        <v>106</v>
      </c>
      <c r="G571" s="3" t="s">
        <v>530</v>
      </c>
      <c r="H571" s="3" t="s">
        <v>954</v>
      </c>
      <c r="I571" s="3">
        <v>8</v>
      </c>
      <c r="J571" s="3" t="s">
        <v>29</v>
      </c>
      <c r="K571" s="3" t="s">
        <v>160</v>
      </c>
      <c r="L571" s="3" t="s">
        <v>161</v>
      </c>
      <c r="M571" s="3" t="s">
        <v>3516</v>
      </c>
      <c r="N571" s="3" t="s">
        <v>1535</v>
      </c>
      <c r="O571" s="3" t="s">
        <v>13</v>
      </c>
      <c r="P571" s="3" t="s">
        <v>98</v>
      </c>
      <c r="Q571" s="3" t="s">
        <v>197</v>
      </c>
      <c r="R571" s="3">
        <v>2</v>
      </c>
      <c r="S571" s="3">
        <v>34321.919999999998</v>
      </c>
      <c r="T571" s="3">
        <v>20</v>
      </c>
      <c r="U571" s="3">
        <v>54915.07</v>
      </c>
      <c r="V571" s="3">
        <v>27798.639999999999</v>
      </c>
      <c r="W571" s="3">
        <v>27116.43</v>
      </c>
      <c r="X571" s="3">
        <v>49.38</v>
      </c>
      <c r="Y571" s="3">
        <v>149</v>
      </c>
      <c r="Z571" s="3" t="s">
        <v>40</v>
      </c>
      <c r="AA571" s="3" t="s">
        <v>100</v>
      </c>
      <c r="AB571" s="3" t="s">
        <v>101</v>
      </c>
      <c r="AC571" s="3">
        <v>3</v>
      </c>
    </row>
    <row r="572" spans="1:29" x14ac:dyDescent="0.3">
      <c r="A572" s="2" t="s">
        <v>3517</v>
      </c>
      <c r="B572" s="2" t="s">
        <v>3518</v>
      </c>
      <c r="C572" s="2" t="s">
        <v>368</v>
      </c>
      <c r="D572" s="2" t="s">
        <v>3519</v>
      </c>
      <c r="E572" s="2" t="s">
        <v>26</v>
      </c>
      <c r="F572" s="2" t="s">
        <v>1887</v>
      </c>
      <c r="G572" s="2" t="s">
        <v>1345</v>
      </c>
      <c r="H572" s="2" t="s">
        <v>3520</v>
      </c>
      <c r="I572" s="2">
        <v>3</v>
      </c>
      <c r="J572" s="2" t="s">
        <v>39</v>
      </c>
      <c r="K572" s="2" t="s">
        <v>225</v>
      </c>
      <c r="L572" s="2" t="s">
        <v>225</v>
      </c>
      <c r="M572" s="2" t="s">
        <v>3521</v>
      </c>
      <c r="N572" s="2" t="s">
        <v>616</v>
      </c>
      <c r="O572" s="2" t="s">
        <v>21</v>
      </c>
      <c r="P572" s="2" t="s">
        <v>206</v>
      </c>
      <c r="Q572" s="2" t="s">
        <v>509</v>
      </c>
      <c r="R572" s="2">
        <v>4</v>
      </c>
      <c r="S572" s="2">
        <v>33834.550000000003</v>
      </c>
      <c r="T572" s="2">
        <v>15</v>
      </c>
      <c r="U572" s="2">
        <v>115037.47</v>
      </c>
      <c r="V572" s="2">
        <v>74777.37</v>
      </c>
      <c r="W572" s="2">
        <v>40260.1</v>
      </c>
      <c r="X572" s="2">
        <v>35</v>
      </c>
      <c r="Y572" s="2">
        <v>49</v>
      </c>
      <c r="Z572" s="2" t="s">
        <v>47</v>
      </c>
      <c r="AA572" s="2" t="s">
        <v>139</v>
      </c>
      <c r="AB572" s="2" t="s">
        <v>140</v>
      </c>
      <c r="AC572" s="2"/>
    </row>
    <row r="573" spans="1:29" x14ac:dyDescent="0.3">
      <c r="A573" s="3" t="s">
        <v>3522</v>
      </c>
      <c r="B573" s="3" t="s">
        <v>3523</v>
      </c>
      <c r="C573" s="3" t="s">
        <v>1273</v>
      </c>
      <c r="D573" s="3" t="s">
        <v>3524</v>
      </c>
      <c r="E573" s="3" t="s">
        <v>33</v>
      </c>
      <c r="F573" s="3" t="s">
        <v>3525</v>
      </c>
      <c r="G573" s="3" t="s">
        <v>2332</v>
      </c>
      <c r="H573" s="3" t="s">
        <v>982</v>
      </c>
      <c r="I573" s="3">
        <v>3</v>
      </c>
      <c r="J573" s="3" t="s">
        <v>39</v>
      </c>
      <c r="K573" s="3" t="s">
        <v>225</v>
      </c>
      <c r="L573" s="3" t="s">
        <v>225</v>
      </c>
      <c r="M573" s="3" t="s">
        <v>3526</v>
      </c>
      <c r="N573" s="3" t="s">
        <v>327</v>
      </c>
      <c r="O573" s="3" t="s">
        <v>27</v>
      </c>
      <c r="P573" s="3" t="s">
        <v>113</v>
      </c>
      <c r="Q573" s="3" t="s">
        <v>466</v>
      </c>
      <c r="R573" s="3">
        <v>4</v>
      </c>
      <c r="S573" s="3">
        <v>8516.8700000000008</v>
      </c>
      <c r="T573" s="3">
        <v>0</v>
      </c>
      <c r="U573" s="3">
        <v>34067.480000000003</v>
      </c>
      <c r="V573" s="3">
        <v>21865.08</v>
      </c>
      <c r="W573" s="3">
        <v>12202.4</v>
      </c>
      <c r="X573" s="3">
        <v>35.82</v>
      </c>
      <c r="Y573" s="3">
        <v>49</v>
      </c>
      <c r="Z573" s="3" t="s">
        <v>23</v>
      </c>
      <c r="AA573" s="3" t="s">
        <v>100</v>
      </c>
      <c r="AB573" s="3" t="s">
        <v>101</v>
      </c>
      <c r="AC573" s="3"/>
    </row>
    <row r="574" spans="1:29" x14ac:dyDescent="0.3">
      <c r="A574" s="2" t="s">
        <v>3527</v>
      </c>
      <c r="B574" s="2" t="s">
        <v>3528</v>
      </c>
      <c r="C574" s="2" t="s">
        <v>1166</v>
      </c>
      <c r="D574" s="2" t="s">
        <v>3529</v>
      </c>
      <c r="E574" s="2" t="s">
        <v>26</v>
      </c>
      <c r="F574" s="2" t="s">
        <v>1985</v>
      </c>
      <c r="G574" s="2" t="s">
        <v>303</v>
      </c>
      <c r="H574" s="2" t="s">
        <v>3378</v>
      </c>
      <c r="I574" s="2">
        <v>4</v>
      </c>
      <c r="J574" s="2" t="s">
        <v>29</v>
      </c>
      <c r="K574" s="2" t="s">
        <v>834</v>
      </c>
      <c r="L574" s="2" t="s">
        <v>901</v>
      </c>
      <c r="M574" s="2" t="s">
        <v>3530</v>
      </c>
      <c r="N574" s="2" t="s">
        <v>306</v>
      </c>
      <c r="O574" s="2" t="s">
        <v>21</v>
      </c>
      <c r="P574" s="2" t="s">
        <v>126</v>
      </c>
      <c r="Q574" s="2" t="s">
        <v>287</v>
      </c>
      <c r="R574" s="2">
        <v>5</v>
      </c>
      <c r="S574" s="2">
        <v>20820.11</v>
      </c>
      <c r="T574" s="2">
        <v>25</v>
      </c>
      <c r="U574" s="2">
        <v>78075.41</v>
      </c>
      <c r="V574" s="2">
        <v>53895.53</v>
      </c>
      <c r="W574" s="2">
        <v>24179.88</v>
      </c>
      <c r="X574" s="2">
        <v>30.97</v>
      </c>
      <c r="Y574" s="2">
        <v>99</v>
      </c>
      <c r="Z574" s="2" t="s">
        <v>15</v>
      </c>
      <c r="AA574" s="2" t="s">
        <v>100</v>
      </c>
      <c r="AB574" s="2" t="s">
        <v>101</v>
      </c>
      <c r="AC574" s="2">
        <v>5</v>
      </c>
    </row>
    <row r="575" spans="1:29" x14ac:dyDescent="0.3">
      <c r="A575" s="3" t="s">
        <v>3531</v>
      </c>
      <c r="B575" s="3" t="s">
        <v>3532</v>
      </c>
      <c r="C575" s="3" t="s">
        <v>3403</v>
      </c>
      <c r="D575" s="3" t="s">
        <v>3533</v>
      </c>
      <c r="E575" s="3" t="s">
        <v>26</v>
      </c>
      <c r="F575" s="3" t="s">
        <v>3534</v>
      </c>
      <c r="G575" s="3" t="s">
        <v>720</v>
      </c>
      <c r="H575" s="3" t="s">
        <v>1945</v>
      </c>
      <c r="I575" s="3">
        <v>8</v>
      </c>
      <c r="J575" s="3" t="s">
        <v>39</v>
      </c>
      <c r="K575" s="3" t="s">
        <v>324</v>
      </c>
      <c r="L575" s="3" t="s">
        <v>325</v>
      </c>
      <c r="M575" s="3" t="s">
        <v>3535</v>
      </c>
      <c r="N575" s="3" t="s">
        <v>136</v>
      </c>
      <c r="O575" s="3" t="s">
        <v>28</v>
      </c>
      <c r="P575" s="3" t="s">
        <v>137</v>
      </c>
      <c r="Q575" s="3" t="s">
        <v>355</v>
      </c>
      <c r="R575" s="3">
        <v>2</v>
      </c>
      <c r="S575" s="3">
        <v>44719.67</v>
      </c>
      <c r="T575" s="3">
        <v>10</v>
      </c>
      <c r="U575" s="3">
        <v>80495.41</v>
      </c>
      <c r="V575" s="3">
        <v>46488.18</v>
      </c>
      <c r="W575" s="3">
        <v>34007.230000000003</v>
      </c>
      <c r="X575" s="3">
        <v>42.25</v>
      </c>
      <c r="Y575" s="3">
        <v>99</v>
      </c>
      <c r="Z575" s="3" t="s">
        <v>40</v>
      </c>
      <c r="AA575" s="3" t="s">
        <v>100</v>
      </c>
      <c r="AB575" s="3" t="s">
        <v>101</v>
      </c>
      <c r="AC575" s="3"/>
    </row>
    <row r="576" spans="1:29" x14ac:dyDescent="0.3">
      <c r="A576" s="2" t="s">
        <v>3536</v>
      </c>
      <c r="B576" s="2" t="s">
        <v>3537</v>
      </c>
      <c r="C576" s="2" t="s">
        <v>695</v>
      </c>
      <c r="D576" s="2" t="s">
        <v>3538</v>
      </c>
      <c r="E576" s="2" t="s">
        <v>26</v>
      </c>
      <c r="F576" s="2" t="s">
        <v>1041</v>
      </c>
      <c r="G576" s="2" t="s">
        <v>776</v>
      </c>
      <c r="H576" s="2" t="s">
        <v>3539</v>
      </c>
      <c r="I576" s="2">
        <v>4</v>
      </c>
      <c r="J576" s="2" t="s">
        <v>39</v>
      </c>
      <c r="K576" s="2" t="s">
        <v>225</v>
      </c>
      <c r="L576" s="2" t="s">
        <v>225</v>
      </c>
      <c r="M576" s="2" t="s">
        <v>3540</v>
      </c>
      <c r="N576" s="2" t="s">
        <v>1051</v>
      </c>
      <c r="O576" s="2" t="s">
        <v>28</v>
      </c>
      <c r="P576" s="2" t="s">
        <v>151</v>
      </c>
      <c r="Q576" s="2" t="s">
        <v>99</v>
      </c>
      <c r="R576" s="2">
        <v>4</v>
      </c>
      <c r="S576" s="2">
        <v>31001.98</v>
      </c>
      <c r="T576" s="2">
        <v>15</v>
      </c>
      <c r="U576" s="2">
        <v>105406.73</v>
      </c>
      <c r="V576" s="2">
        <v>65608.66</v>
      </c>
      <c r="W576" s="2">
        <v>39798.07</v>
      </c>
      <c r="X576" s="2">
        <v>37.76</v>
      </c>
      <c r="Y576" s="2">
        <v>29</v>
      </c>
      <c r="Z576" s="2" t="s">
        <v>40</v>
      </c>
      <c r="AA576" s="2" t="s">
        <v>100</v>
      </c>
      <c r="AB576" s="2" t="s">
        <v>101</v>
      </c>
      <c r="AC576" s="2"/>
    </row>
    <row r="577" spans="1:29" x14ac:dyDescent="0.3">
      <c r="A577" s="3" t="s">
        <v>3541</v>
      </c>
      <c r="B577" s="3" t="s">
        <v>2953</v>
      </c>
      <c r="C577" s="3" t="s">
        <v>2877</v>
      </c>
      <c r="D577" s="3" t="s">
        <v>3542</v>
      </c>
      <c r="E577" s="3" t="s">
        <v>18</v>
      </c>
      <c r="F577" s="3" t="s">
        <v>3543</v>
      </c>
      <c r="G577" s="3" t="s">
        <v>381</v>
      </c>
      <c r="H577" s="3" t="s">
        <v>3544</v>
      </c>
      <c r="I577" s="3">
        <v>8</v>
      </c>
      <c r="J577" s="3" t="s">
        <v>29</v>
      </c>
      <c r="K577" s="3" t="s">
        <v>834</v>
      </c>
      <c r="L577" s="3" t="s">
        <v>1000</v>
      </c>
      <c r="M577" s="3" t="s">
        <v>3390</v>
      </c>
      <c r="N577" s="3" t="s">
        <v>409</v>
      </c>
      <c r="O577" s="3" t="s">
        <v>21</v>
      </c>
      <c r="P577" s="3" t="s">
        <v>196</v>
      </c>
      <c r="Q577" s="3" t="s">
        <v>355</v>
      </c>
      <c r="R577" s="3">
        <v>4</v>
      </c>
      <c r="S577" s="3">
        <v>41359.120000000003</v>
      </c>
      <c r="T577" s="3">
        <v>5</v>
      </c>
      <c r="U577" s="3">
        <v>157164.66</v>
      </c>
      <c r="V577" s="3">
        <v>94726.17</v>
      </c>
      <c r="W577" s="3">
        <v>62438.49</v>
      </c>
      <c r="X577" s="3">
        <v>39.729999999999997</v>
      </c>
      <c r="Y577" s="3">
        <v>199</v>
      </c>
      <c r="Z577" s="3" t="s">
        <v>23</v>
      </c>
      <c r="AA577" s="3" t="s">
        <v>100</v>
      </c>
      <c r="AB577" s="3" t="s">
        <v>101</v>
      </c>
      <c r="AC577" s="3">
        <v>3</v>
      </c>
    </row>
    <row r="578" spans="1:29" x14ac:dyDescent="0.3">
      <c r="A578" s="2" t="s">
        <v>3545</v>
      </c>
      <c r="B578" s="2" t="s">
        <v>3546</v>
      </c>
      <c r="C578" s="2" t="s">
        <v>3547</v>
      </c>
      <c r="D578" s="2" t="s">
        <v>3548</v>
      </c>
      <c r="E578" s="2" t="s">
        <v>18</v>
      </c>
      <c r="F578" s="2" t="s">
        <v>2093</v>
      </c>
      <c r="G578" s="2" t="s">
        <v>2074</v>
      </c>
      <c r="H578" s="2" t="s">
        <v>1519</v>
      </c>
      <c r="I578" s="2">
        <v>6</v>
      </c>
      <c r="J578" s="2" t="s">
        <v>29</v>
      </c>
      <c r="K578" s="2" t="s">
        <v>427</v>
      </c>
      <c r="L578" s="2" t="s">
        <v>428</v>
      </c>
      <c r="M578" s="2" t="s">
        <v>3549</v>
      </c>
      <c r="N578" s="2" t="s">
        <v>889</v>
      </c>
      <c r="O578" s="2" t="s">
        <v>27</v>
      </c>
      <c r="P578" s="2" t="s">
        <v>257</v>
      </c>
      <c r="Q578" s="2" t="s">
        <v>152</v>
      </c>
      <c r="R578" s="2">
        <v>3</v>
      </c>
      <c r="S578" s="2">
        <v>15604.1</v>
      </c>
      <c r="T578" s="2">
        <v>0</v>
      </c>
      <c r="U578" s="2">
        <v>46812.3</v>
      </c>
      <c r="V578" s="2">
        <v>21457.26</v>
      </c>
      <c r="W578" s="2">
        <v>25355.040000000001</v>
      </c>
      <c r="X578" s="2">
        <v>54.16</v>
      </c>
      <c r="Y578" s="2">
        <v>199</v>
      </c>
      <c r="Z578" s="2" t="s">
        <v>43</v>
      </c>
      <c r="AA578" s="2" t="s">
        <v>100</v>
      </c>
      <c r="AB578" s="2" t="s">
        <v>101</v>
      </c>
      <c r="AC578" s="2">
        <v>1</v>
      </c>
    </row>
    <row r="579" spans="1:29" x14ac:dyDescent="0.3">
      <c r="A579" s="3" t="s">
        <v>3550</v>
      </c>
      <c r="B579" s="3" t="s">
        <v>3551</v>
      </c>
      <c r="C579" s="3" t="s">
        <v>3403</v>
      </c>
      <c r="D579" s="3" t="s">
        <v>3552</v>
      </c>
      <c r="E579" s="3" t="s">
        <v>18</v>
      </c>
      <c r="F579" s="3" t="s">
        <v>983</v>
      </c>
      <c r="G579" s="3" t="s">
        <v>3553</v>
      </c>
      <c r="H579" s="3" t="s">
        <v>3554</v>
      </c>
      <c r="I579" s="3">
        <v>7</v>
      </c>
      <c r="J579" s="3" t="s">
        <v>14</v>
      </c>
      <c r="K579" s="3" t="s">
        <v>171</v>
      </c>
      <c r="L579" s="3" t="s">
        <v>541</v>
      </c>
      <c r="M579" s="3" t="s">
        <v>3555</v>
      </c>
      <c r="N579" s="3" t="s">
        <v>364</v>
      </c>
      <c r="O579" s="3" t="s">
        <v>19</v>
      </c>
      <c r="P579" s="3" t="s">
        <v>365</v>
      </c>
      <c r="Q579" s="3" t="s">
        <v>509</v>
      </c>
      <c r="R579" s="3">
        <v>4</v>
      </c>
      <c r="S579" s="3">
        <v>36813.5</v>
      </c>
      <c r="T579" s="3">
        <v>0</v>
      </c>
      <c r="U579" s="3">
        <v>147254</v>
      </c>
      <c r="V579" s="3">
        <v>100114.65</v>
      </c>
      <c r="W579" s="3">
        <v>47139.35</v>
      </c>
      <c r="X579" s="3">
        <v>32.01</v>
      </c>
      <c r="Y579" s="3">
        <v>99</v>
      </c>
      <c r="Z579" s="3" t="s">
        <v>47</v>
      </c>
      <c r="AA579" s="3" t="s">
        <v>275</v>
      </c>
      <c r="AB579" s="3" t="s">
        <v>101</v>
      </c>
      <c r="AC579" s="3"/>
    </row>
    <row r="580" spans="1:29" x14ac:dyDescent="0.3">
      <c r="A580" s="2" t="s">
        <v>3556</v>
      </c>
      <c r="B580" s="2" t="s">
        <v>3557</v>
      </c>
      <c r="C580" s="2" t="s">
        <v>2298</v>
      </c>
      <c r="D580" s="2" t="s">
        <v>3558</v>
      </c>
      <c r="E580" s="2" t="s">
        <v>42</v>
      </c>
      <c r="F580" s="2" t="s">
        <v>3559</v>
      </c>
      <c r="G580" s="2" t="s">
        <v>3560</v>
      </c>
      <c r="H580" s="2" t="s">
        <v>3561</v>
      </c>
      <c r="I580" s="2">
        <v>6</v>
      </c>
      <c r="J580" s="2" t="s">
        <v>39</v>
      </c>
      <c r="K580" s="2" t="s">
        <v>225</v>
      </c>
      <c r="L580" s="2" t="s">
        <v>225</v>
      </c>
      <c r="M580" s="2" t="s">
        <v>3562</v>
      </c>
      <c r="N580" s="2" t="s">
        <v>924</v>
      </c>
      <c r="O580" s="2" t="s">
        <v>13</v>
      </c>
      <c r="P580" s="2" t="s">
        <v>228</v>
      </c>
      <c r="Q580" s="2" t="s">
        <v>218</v>
      </c>
      <c r="R580" s="2">
        <v>3</v>
      </c>
      <c r="S580" s="2">
        <v>23770.75</v>
      </c>
      <c r="T580" s="2">
        <v>30</v>
      </c>
      <c r="U580" s="2">
        <v>49918.57</v>
      </c>
      <c r="V580" s="2">
        <v>28805.65</v>
      </c>
      <c r="W580" s="2">
        <v>21112.92</v>
      </c>
      <c r="X580" s="2">
        <v>42.29</v>
      </c>
      <c r="Y580" s="2">
        <v>199</v>
      </c>
      <c r="Z580" s="2" t="s">
        <v>48</v>
      </c>
      <c r="AA580" s="2" t="s">
        <v>100</v>
      </c>
      <c r="AB580" s="2" t="s">
        <v>101</v>
      </c>
      <c r="AC580" s="2">
        <v>4</v>
      </c>
    </row>
    <row r="581" spans="1:29" x14ac:dyDescent="0.3">
      <c r="A581" s="3" t="s">
        <v>3563</v>
      </c>
      <c r="B581" s="3" t="s">
        <v>3564</v>
      </c>
      <c r="C581" s="3" t="s">
        <v>117</v>
      </c>
      <c r="D581" s="3" t="s">
        <v>3565</v>
      </c>
      <c r="E581" s="3" t="s">
        <v>26</v>
      </c>
      <c r="F581" s="3" t="s">
        <v>3566</v>
      </c>
      <c r="G581" s="3" t="s">
        <v>2182</v>
      </c>
      <c r="H581" s="3" t="s">
        <v>1397</v>
      </c>
      <c r="I581" s="3">
        <v>7</v>
      </c>
      <c r="J581" s="3" t="s">
        <v>14</v>
      </c>
      <c r="K581" s="3" t="s">
        <v>215</v>
      </c>
      <c r="L581" s="3" t="s">
        <v>215</v>
      </c>
      <c r="M581" s="3" t="s">
        <v>3567</v>
      </c>
      <c r="N581" s="3" t="s">
        <v>837</v>
      </c>
      <c r="O581" s="3" t="s">
        <v>27</v>
      </c>
      <c r="P581" s="3" t="s">
        <v>257</v>
      </c>
      <c r="Q581" s="3" t="s">
        <v>246</v>
      </c>
      <c r="R581" s="3">
        <v>1</v>
      </c>
      <c r="S581" s="3">
        <v>32382.95</v>
      </c>
      <c r="T581" s="3">
        <v>20</v>
      </c>
      <c r="U581" s="3">
        <v>25906.36</v>
      </c>
      <c r="V581" s="3">
        <v>12008.64</v>
      </c>
      <c r="W581" s="3">
        <v>13897.72</v>
      </c>
      <c r="X581" s="3">
        <v>53.65</v>
      </c>
      <c r="Y581" s="3">
        <v>99</v>
      </c>
      <c r="Z581" s="3" t="s">
        <v>23</v>
      </c>
      <c r="AA581" s="3" t="s">
        <v>186</v>
      </c>
      <c r="AB581" s="3" t="s">
        <v>101</v>
      </c>
      <c r="AC581" s="3"/>
    </row>
    <row r="582" spans="1:29" x14ac:dyDescent="0.3">
      <c r="A582" s="2" t="s">
        <v>3568</v>
      </c>
      <c r="B582" s="2" t="s">
        <v>3569</v>
      </c>
      <c r="C582" s="2" t="s">
        <v>358</v>
      </c>
      <c r="D582" s="2" t="s">
        <v>3570</v>
      </c>
      <c r="E582" s="2" t="s">
        <v>26</v>
      </c>
      <c r="F582" s="2" t="s">
        <v>3218</v>
      </c>
      <c r="G582" s="2" t="s">
        <v>3074</v>
      </c>
      <c r="H582" s="2" t="s">
        <v>2143</v>
      </c>
      <c r="I582" s="2">
        <v>5</v>
      </c>
      <c r="J582" s="2" t="s">
        <v>39</v>
      </c>
      <c r="K582" s="2" t="s">
        <v>193</v>
      </c>
      <c r="L582" s="2" t="s">
        <v>193</v>
      </c>
      <c r="M582" s="2" t="s">
        <v>3571</v>
      </c>
      <c r="N582" s="2" t="s">
        <v>889</v>
      </c>
      <c r="O582" s="2" t="s">
        <v>27</v>
      </c>
      <c r="P582" s="2" t="s">
        <v>257</v>
      </c>
      <c r="Q582" s="2" t="s">
        <v>207</v>
      </c>
      <c r="R582" s="2">
        <v>5</v>
      </c>
      <c r="S582" s="2">
        <v>28586.53</v>
      </c>
      <c r="T582" s="2">
        <v>10</v>
      </c>
      <c r="U582" s="2">
        <v>128639.38</v>
      </c>
      <c r="V582" s="2">
        <v>62586.29</v>
      </c>
      <c r="W582" s="2">
        <v>66053.09</v>
      </c>
      <c r="X582" s="2">
        <v>51.35</v>
      </c>
      <c r="Y582" s="2">
        <v>0</v>
      </c>
      <c r="Z582" s="2" t="s">
        <v>48</v>
      </c>
      <c r="AA582" s="2" t="s">
        <v>275</v>
      </c>
      <c r="AB582" s="2" t="s">
        <v>101</v>
      </c>
      <c r="AC582" s="2"/>
    </row>
    <row r="583" spans="1:29" x14ac:dyDescent="0.3">
      <c r="A583" s="3" t="s">
        <v>3572</v>
      </c>
      <c r="B583" s="3" t="s">
        <v>3573</v>
      </c>
      <c r="C583" s="3" t="s">
        <v>3403</v>
      </c>
      <c r="D583" s="3" t="s">
        <v>3574</v>
      </c>
      <c r="E583" s="3" t="s">
        <v>18</v>
      </c>
      <c r="F583" s="3" t="s">
        <v>2893</v>
      </c>
      <c r="G583" s="3" t="s">
        <v>2894</v>
      </c>
      <c r="H583" s="3" t="s">
        <v>3575</v>
      </c>
      <c r="I583" s="3">
        <v>4</v>
      </c>
      <c r="J583" s="3" t="s">
        <v>22</v>
      </c>
      <c r="K583" s="3" t="s">
        <v>738</v>
      </c>
      <c r="L583" s="3" t="s">
        <v>738</v>
      </c>
      <c r="M583" s="3" t="s">
        <v>3576</v>
      </c>
      <c r="N583" s="3" t="s">
        <v>306</v>
      </c>
      <c r="O583" s="3" t="s">
        <v>21</v>
      </c>
      <c r="P583" s="3" t="s">
        <v>126</v>
      </c>
      <c r="Q583" s="3" t="s">
        <v>246</v>
      </c>
      <c r="R583" s="3">
        <v>3</v>
      </c>
      <c r="S583" s="3">
        <v>42203.11</v>
      </c>
      <c r="T583" s="3">
        <v>30</v>
      </c>
      <c r="U583" s="3">
        <v>88626.53</v>
      </c>
      <c r="V583" s="3">
        <v>44821.88</v>
      </c>
      <c r="W583" s="3">
        <v>43804.65</v>
      </c>
      <c r="X583" s="3">
        <v>49.43</v>
      </c>
      <c r="Y583" s="3">
        <v>49</v>
      </c>
      <c r="Z583" s="3" t="s">
        <v>15</v>
      </c>
      <c r="AA583" s="3" t="s">
        <v>100</v>
      </c>
      <c r="AB583" s="3" t="s">
        <v>101</v>
      </c>
      <c r="AC583" s="3">
        <v>5</v>
      </c>
    </row>
    <row r="584" spans="1:29" x14ac:dyDescent="0.3">
      <c r="A584" s="2" t="s">
        <v>3577</v>
      </c>
      <c r="B584" s="2" t="s">
        <v>3578</v>
      </c>
      <c r="C584" s="2" t="s">
        <v>2534</v>
      </c>
      <c r="D584" s="2" t="s">
        <v>3579</v>
      </c>
      <c r="E584" s="2" t="s">
        <v>26</v>
      </c>
      <c r="F584" s="2" t="s">
        <v>3394</v>
      </c>
      <c r="G584" s="2" t="s">
        <v>1064</v>
      </c>
      <c r="H584" s="2" t="s">
        <v>1660</v>
      </c>
      <c r="I584" s="2">
        <v>7</v>
      </c>
      <c r="J584" s="2" t="s">
        <v>14</v>
      </c>
      <c r="K584" s="2" t="s">
        <v>215</v>
      </c>
      <c r="L584" s="2" t="s">
        <v>215</v>
      </c>
      <c r="M584" s="2" t="s">
        <v>3580</v>
      </c>
      <c r="N584" s="2" t="s">
        <v>266</v>
      </c>
      <c r="O584" s="2" t="s">
        <v>28</v>
      </c>
      <c r="P584" s="2" t="s">
        <v>151</v>
      </c>
      <c r="Q584" s="2" t="s">
        <v>287</v>
      </c>
      <c r="R584" s="2">
        <v>3</v>
      </c>
      <c r="S584" s="2">
        <v>10340.09</v>
      </c>
      <c r="T584" s="2">
        <v>15</v>
      </c>
      <c r="U584" s="2">
        <v>26367.23</v>
      </c>
      <c r="V584" s="2">
        <v>15442.93</v>
      </c>
      <c r="W584" s="2">
        <v>10924.3</v>
      </c>
      <c r="X584" s="2">
        <v>41.43</v>
      </c>
      <c r="Y584" s="2">
        <v>99</v>
      </c>
      <c r="Z584" s="2" t="s">
        <v>30</v>
      </c>
      <c r="AA584" s="2" t="s">
        <v>186</v>
      </c>
      <c r="AB584" s="2" t="s">
        <v>101</v>
      </c>
      <c r="AC584" s="2"/>
    </row>
    <row r="585" spans="1:29" x14ac:dyDescent="0.3">
      <c r="A585" s="3" t="s">
        <v>3581</v>
      </c>
      <c r="B585" s="3" t="s">
        <v>3582</v>
      </c>
      <c r="C585" s="3" t="s">
        <v>143</v>
      </c>
      <c r="D585" s="3" t="s">
        <v>3583</v>
      </c>
      <c r="E585" s="3" t="s">
        <v>18</v>
      </c>
      <c r="F585" s="3" t="s">
        <v>490</v>
      </c>
      <c r="G585" s="3" t="s">
        <v>491</v>
      </c>
      <c r="H585" s="3" t="s">
        <v>482</v>
      </c>
      <c r="I585" s="3">
        <v>4</v>
      </c>
      <c r="J585" s="3" t="s">
        <v>14</v>
      </c>
      <c r="K585" s="3" t="s">
        <v>712</v>
      </c>
      <c r="L585" s="3" t="s">
        <v>712</v>
      </c>
      <c r="M585" s="3" t="s">
        <v>3584</v>
      </c>
      <c r="N585" s="3" t="s">
        <v>551</v>
      </c>
      <c r="O585" s="3" t="s">
        <v>13</v>
      </c>
      <c r="P585" s="3" t="s">
        <v>98</v>
      </c>
      <c r="Q585" s="3" t="s">
        <v>127</v>
      </c>
      <c r="R585" s="3">
        <v>1</v>
      </c>
      <c r="S585" s="3">
        <v>17255.189999999999</v>
      </c>
      <c r="T585" s="3">
        <v>5</v>
      </c>
      <c r="U585" s="3">
        <v>16392.43</v>
      </c>
      <c r="V585" s="3">
        <v>11206.29</v>
      </c>
      <c r="W585" s="3">
        <v>5186.1400000000003</v>
      </c>
      <c r="X585" s="3">
        <v>31.64</v>
      </c>
      <c r="Y585" s="3">
        <v>149</v>
      </c>
      <c r="Z585" s="3" t="s">
        <v>40</v>
      </c>
      <c r="AA585" s="3" t="s">
        <v>100</v>
      </c>
      <c r="AB585" s="3" t="s">
        <v>101</v>
      </c>
      <c r="AC585" s="3">
        <v>5</v>
      </c>
    </row>
    <row r="586" spans="1:29" x14ac:dyDescent="0.3">
      <c r="A586" s="2" t="s">
        <v>3585</v>
      </c>
      <c r="B586" s="2" t="s">
        <v>3586</v>
      </c>
      <c r="C586" s="2" t="s">
        <v>1091</v>
      </c>
      <c r="D586" s="2" t="s">
        <v>3587</v>
      </c>
      <c r="E586" s="2" t="s">
        <v>26</v>
      </c>
      <c r="F586" s="2" t="s">
        <v>793</v>
      </c>
      <c r="G586" s="2" t="s">
        <v>833</v>
      </c>
      <c r="H586" s="2" t="s">
        <v>2211</v>
      </c>
      <c r="I586" s="2">
        <v>5</v>
      </c>
      <c r="J586" s="2" t="s">
        <v>22</v>
      </c>
      <c r="K586" s="2" t="s">
        <v>283</v>
      </c>
      <c r="L586" s="2" t="s">
        <v>748</v>
      </c>
      <c r="M586" s="2" t="s">
        <v>3588</v>
      </c>
      <c r="N586" s="2" t="s">
        <v>1535</v>
      </c>
      <c r="O586" s="2" t="s">
        <v>13</v>
      </c>
      <c r="P586" s="2" t="s">
        <v>98</v>
      </c>
      <c r="Q586" s="2" t="s">
        <v>287</v>
      </c>
      <c r="R586" s="2">
        <v>1</v>
      </c>
      <c r="S586" s="2">
        <v>48620.26</v>
      </c>
      <c r="T586" s="2">
        <v>0</v>
      </c>
      <c r="U586" s="2">
        <v>48620.26</v>
      </c>
      <c r="V586" s="2">
        <v>32425.46</v>
      </c>
      <c r="W586" s="2">
        <v>16194.8</v>
      </c>
      <c r="X586" s="2">
        <v>33.31</v>
      </c>
      <c r="Y586" s="2">
        <v>49</v>
      </c>
      <c r="Z586" s="2" t="s">
        <v>48</v>
      </c>
      <c r="AA586" s="2" t="s">
        <v>100</v>
      </c>
      <c r="AB586" s="2" t="s">
        <v>101</v>
      </c>
      <c r="AC586" s="2">
        <v>1</v>
      </c>
    </row>
    <row r="587" spans="1:29" x14ac:dyDescent="0.3">
      <c r="A587" s="3" t="s">
        <v>3589</v>
      </c>
      <c r="B587" s="3" t="s">
        <v>2470</v>
      </c>
      <c r="C587" s="3" t="s">
        <v>1419</v>
      </c>
      <c r="D587" s="3" t="s">
        <v>3590</v>
      </c>
      <c r="E587" s="3" t="s">
        <v>26</v>
      </c>
      <c r="F587" s="3" t="s">
        <v>1726</v>
      </c>
      <c r="G587" s="3" t="s">
        <v>414</v>
      </c>
      <c r="H587" s="3" t="s">
        <v>3591</v>
      </c>
      <c r="I587" s="3">
        <v>8</v>
      </c>
      <c r="J587" s="3" t="s">
        <v>29</v>
      </c>
      <c r="K587" s="3" t="s">
        <v>834</v>
      </c>
      <c r="L587" s="3" t="s">
        <v>835</v>
      </c>
      <c r="M587" s="3" t="s">
        <v>3592</v>
      </c>
      <c r="N587" s="3" t="s">
        <v>508</v>
      </c>
      <c r="O587" s="3" t="s">
        <v>19</v>
      </c>
      <c r="P587" s="3" t="s">
        <v>365</v>
      </c>
      <c r="Q587" s="3" t="s">
        <v>287</v>
      </c>
      <c r="R587" s="3">
        <v>4</v>
      </c>
      <c r="S587" s="3">
        <v>6239.61</v>
      </c>
      <c r="T587" s="3">
        <v>20</v>
      </c>
      <c r="U587" s="3">
        <v>19966.75</v>
      </c>
      <c r="V587" s="3">
        <v>11842</v>
      </c>
      <c r="W587" s="3">
        <v>8124.75</v>
      </c>
      <c r="X587" s="3">
        <v>40.69</v>
      </c>
      <c r="Y587" s="3">
        <v>99</v>
      </c>
      <c r="Z587" s="3" t="s">
        <v>43</v>
      </c>
      <c r="AA587" s="3" t="s">
        <v>100</v>
      </c>
      <c r="AB587" s="3" t="s">
        <v>101</v>
      </c>
      <c r="AC587" s="3">
        <v>5</v>
      </c>
    </row>
    <row r="588" spans="1:29" x14ac:dyDescent="0.3">
      <c r="A588" s="2" t="s">
        <v>3593</v>
      </c>
      <c r="B588" s="2" t="s">
        <v>3594</v>
      </c>
      <c r="C588" s="2" t="s">
        <v>1419</v>
      </c>
      <c r="D588" s="2" t="s">
        <v>3595</v>
      </c>
      <c r="E588" s="2" t="s">
        <v>26</v>
      </c>
      <c r="F588" s="2" t="s">
        <v>3596</v>
      </c>
      <c r="G588" s="2" t="s">
        <v>1525</v>
      </c>
      <c r="H588" s="2" t="s">
        <v>3597</v>
      </c>
      <c r="I588" s="2">
        <v>8</v>
      </c>
      <c r="J588" s="2" t="s">
        <v>29</v>
      </c>
      <c r="K588" s="2" t="s">
        <v>334</v>
      </c>
      <c r="L588" s="2" t="s">
        <v>1073</v>
      </c>
      <c r="M588" s="2" t="s">
        <v>3598</v>
      </c>
      <c r="N588" s="2" t="s">
        <v>195</v>
      </c>
      <c r="O588" s="2" t="s">
        <v>21</v>
      </c>
      <c r="P588" s="2" t="s">
        <v>196</v>
      </c>
      <c r="Q588" s="2" t="s">
        <v>152</v>
      </c>
      <c r="R588" s="2">
        <v>3</v>
      </c>
      <c r="S588" s="2">
        <v>27122</v>
      </c>
      <c r="T588" s="2">
        <v>5</v>
      </c>
      <c r="U588" s="2">
        <v>77297.7</v>
      </c>
      <c r="V588" s="2">
        <v>36347.449999999997</v>
      </c>
      <c r="W588" s="2">
        <v>40950.25</v>
      </c>
      <c r="X588" s="2">
        <v>52.98</v>
      </c>
      <c r="Y588" s="2">
        <v>49</v>
      </c>
      <c r="Z588" s="2" t="s">
        <v>30</v>
      </c>
      <c r="AA588" s="2" t="s">
        <v>100</v>
      </c>
      <c r="AB588" s="2" t="s">
        <v>140</v>
      </c>
      <c r="AC588" s="2">
        <v>3</v>
      </c>
    </row>
    <row r="589" spans="1:29" x14ac:dyDescent="0.3">
      <c r="A589" s="3" t="s">
        <v>3599</v>
      </c>
      <c r="B589" s="3" t="s">
        <v>3600</v>
      </c>
      <c r="C589" s="3" t="s">
        <v>651</v>
      </c>
      <c r="D589" s="3" t="s">
        <v>3601</v>
      </c>
      <c r="E589" s="3" t="s">
        <v>42</v>
      </c>
      <c r="F589" s="3" t="s">
        <v>676</v>
      </c>
      <c r="G589" s="3" t="s">
        <v>1546</v>
      </c>
      <c r="H589" s="3" t="s">
        <v>93</v>
      </c>
      <c r="I589" s="3">
        <v>4</v>
      </c>
      <c r="J589" s="3" t="s">
        <v>22</v>
      </c>
      <c r="K589" s="3" t="s">
        <v>738</v>
      </c>
      <c r="L589" s="3" t="s">
        <v>738</v>
      </c>
      <c r="M589" s="3" t="s">
        <v>3602</v>
      </c>
      <c r="N589" s="3" t="s">
        <v>306</v>
      </c>
      <c r="O589" s="3" t="s">
        <v>21</v>
      </c>
      <c r="P589" s="3" t="s">
        <v>126</v>
      </c>
      <c r="Q589" s="3" t="s">
        <v>99</v>
      </c>
      <c r="R589" s="3">
        <v>3</v>
      </c>
      <c r="S589" s="3">
        <v>4648.63</v>
      </c>
      <c r="T589" s="3">
        <v>15</v>
      </c>
      <c r="U589" s="3">
        <v>11854.01</v>
      </c>
      <c r="V589" s="3">
        <v>6496.5</v>
      </c>
      <c r="W589" s="3">
        <v>5357.51</v>
      </c>
      <c r="X589" s="3">
        <v>45.2</v>
      </c>
      <c r="Y589" s="3">
        <v>99</v>
      </c>
      <c r="Z589" s="3" t="s">
        <v>40</v>
      </c>
      <c r="AA589" s="3" t="s">
        <v>100</v>
      </c>
      <c r="AB589" s="3" t="s">
        <v>101</v>
      </c>
      <c r="AC589" s="3">
        <v>5</v>
      </c>
    </row>
    <row r="590" spans="1:29" x14ac:dyDescent="0.3">
      <c r="A590" s="2" t="s">
        <v>3603</v>
      </c>
      <c r="B590" s="2" t="s">
        <v>3604</v>
      </c>
      <c r="C590" s="2" t="s">
        <v>2534</v>
      </c>
      <c r="D590" s="2" t="s">
        <v>3605</v>
      </c>
      <c r="E590" s="2" t="s">
        <v>42</v>
      </c>
      <c r="F590" s="2" t="s">
        <v>2332</v>
      </c>
      <c r="G590" s="2" t="s">
        <v>982</v>
      </c>
      <c r="H590" s="2" t="s">
        <v>984</v>
      </c>
      <c r="I590" s="2">
        <v>7</v>
      </c>
      <c r="J590" s="2" t="s">
        <v>29</v>
      </c>
      <c r="K590" s="2" t="s">
        <v>160</v>
      </c>
      <c r="L590" s="2" t="s">
        <v>976</v>
      </c>
      <c r="M590" s="2" t="s">
        <v>3606</v>
      </c>
      <c r="N590" s="2" t="s">
        <v>97</v>
      </c>
      <c r="O590" s="2" t="s">
        <v>13</v>
      </c>
      <c r="P590" s="2" t="s">
        <v>98</v>
      </c>
      <c r="Q590" s="2" t="s">
        <v>152</v>
      </c>
      <c r="R590" s="2">
        <v>1</v>
      </c>
      <c r="S590" s="2">
        <v>33820.89</v>
      </c>
      <c r="T590" s="2">
        <v>15</v>
      </c>
      <c r="U590" s="2">
        <v>28747.759999999998</v>
      </c>
      <c r="V590" s="2">
        <v>13820.33</v>
      </c>
      <c r="W590" s="2">
        <v>14927.43</v>
      </c>
      <c r="X590" s="2">
        <v>51.93</v>
      </c>
      <c r="Y590" s="2">
        <v>0</v>
      </c>
      <c r="Z590" s="2" t="s">
        <v>48</v>
      </c>
      <c r="AA590" s="2" t="s">
        <v>275</v>
      </c>
      <c r="AB590" s="2" t="s">
        <v>101</v>
      </c>
      <c r="AC590" s="2"/>
    </row>
    <row r="591" spans="1:29" x14ac:dyDescent="0.3">
      <c r="A591" s="3" t="s">
        <v>3607</v>
      </c>
      <c r="B591" s="3" t="s">
        <v>3608</v>
      </c>
      <c r="C591" s="3" t="s">
        <v>90</v>
      </c>
      <c r="D591" s="3" t="s">
        <v>3609</v>
      </c>
      <c r="E591" s="3" t="s">
        <v>18</v>
      </c>
      <c r="F591" s="3" t="s">
        <v>3610</v>
      </c>
      <c r="G591" s="3" t="s">
        <v>514</v>
      </c>
      <c r="H591" s="3" t="s">
        <v>515</v>
      </c>
      <c r="I591" s="3">
        <v>3</v>
      </c>
      <c r="J591" s="3" t="s">
        <v>22</v>
      </c>
      <c r="K591" s="3" t="s">
        <v>443</v>
      </c>
      <c r="L591" s="3" t="s">
        <v>444</v>
      </c>
      <c r="M591" s="3" t="s">
        <v>3611</v>
      </c>
      <c r="N591" s="3" t="s">
        <v>889</v>
      </c>
      <c r="O591" s="3" t="s">
        <v>27</v>
      </c>
      <c r="P591" s="3" t="s">
        <v>257</v>
      </c>
      <c r="Q591" s="3" t="s">
        <v>355</v>
      </c>
      <c r="R591" s="3">
        <v>2</v>
      </c>
      <c r="S591" s="3">
        <v>36841.160000000003</v>
      </c>
      <c r="T591" s="3">
        <v>10</v>
      </c>
      <c r="U591" s="3">
        <v>66314.09</v>
      </c>
      <c r="V591" s="3">
        <v>35425.54</v>
      </c>
      <c r="W591" s="3">
        <v>30888.55</v>
      </c>
      <c r="X591" s="3">
        <v>46.58</v>
      </c>
      <c r="Y591" s="3">
        <v>99</v>
      </c>
      <c r="Z591" s="3" t="s">
        <v>40</v>
      </c>
      <c r="AA591" s="3" t="s">
        <v>100</v>
      </c>
      <c r="AB591" s="3" t="s">
        <v>101</v>
      </c>
      <c r="AC591" s="3">
        <v>4</v>
      </c>
    </row>
    <row r="592" spans="1:29" x14ac:dyDescent="0.3">
      <c r="A592" s="2" t="s">
        <v>3612</v>
      </c>
      <c r="B592" s="2" t="s">
        <v>3117</v>
      </c>
      <c r="C592" s="2" t="s">
        <v>2877</v>
      </c>
      <c r="D592" s="2" t="s">
        <v>3613</v>
      </c>
      <c r="E592" s="2" t="s">
        <v>42</v>
      </c>
      <c r="F592" s="2" t="s">
        <v>3614</v>
      </c>
      <c r="G592" s="2" t="s">
        <v>516</v>
      </c>
      <c r="H592" s="2" t="s">
        <v>3615</v>
      </c>
      <c r="I592" s="2">
        <v>7</v>
      </c>
      <c r="J592" s="2" t="s">
        <v>14</v>
      </c>
      <c r="K592" s="2" t="s">
        <v>712</v>
      </c>
      <c r="L592" s="2" t="s">
        <v>712</v>
      </c>
      <c r="M592" s="2" t="s">
        <v>1467</v>
      </c>
      <c r="N592" s="2" t="s">
        <v>185</v>
      </c>
      <c r="O592" s="2" t="s">
        <v>28</v>
      </c>
      <c r="P592" s="2" t="s">
        <v>151</v>
      </c>
      <c r="Q592" s="2" t="s">
        <v>466</v>
      </c>
      <c r="R592" s="2">
        <v>5</v>
      </c>
      <c r="S592" s="2">
        <v>20759.84</v>
      </c>
      <c r="T592" s="2">
        <v>25</v>
      </c>
      <c r="U592" s="2">
        <v>77849.399999999994</v>
      </c>
      <c r="V592" s="2">
        <v>49290.03</v>
      </c>
      <c r="W592" s="2">
        <v>28559.37</v>
      </c>
      <c r="X592" s="2">
        <v>36.69</v>
      </c>
      <c r="Y592" s="2">
        <v>49</v>
      </c>
      <c r="Z592" s="2" t="s">
        <v>40</v>
      </c>
      <c r="AA592" s="2" t="s">
        <v>100</v>
      </c>
      <c r="AB592" s="2" t="s">
        <v>101</v>
      </c>
      <c r="AC592" s="2">
        <v>1</v>
      </c>
    </row>
    <row r="593" spans="1:29" x14ac:dyDescent="0.3">
      <c r="A593" s="3" t="s">
        <v>3616</v>
      </c>
      <c r="B593" s="3" t="s">
        <v>2971</v>
      </c>
      <c r="C593" s="3" t="s">
        <v>1675</v>
      </c>
      <c r="D593" s="3" t="s">
        <v>3617</v>
      </c>
      <c r="E593" s="3" t="s">
        <v>26</v>
      </c>
      <c r="F593" s="3" t="s">
        <v>3618</v>
      </c>
      <c r="G593" s="3" t="s">
        <v>635</v>
      </c>
      <c r="H593" s="3" t="s">
        <v>2831</v>
      </c>
      <c r="I593" s="3">
        <v>4</v>
      </c>
      <c r="J593" s="3" t="s">
        <v>39</v>
      </c>
      <c r="K593" s="3" t="s">
        <v>193</v>
      </c>
      <c r="L593" s="3" t="s">
        <v>193</v>
      </c>
      <c r="M593" s="3" t="s">
        <v>3619</v>
      </c>
      <c r="N593" s="3" t="s">
        <v>163</v>
      </c>
      <c r="O593" s="3" t="s">
        <v>21</v>
      </c>
      <c r="P593" s="3" t="s">
        <v>126</v>
      </c>
      <c r="Q593" s="3" t="s">
        <v>152</v>
      </c>
      <c r="R593" s="3">
        <v>3</v>
      </c>
      <c r="S593" s="3">
        <v>18639.25</v>
      </c>
      <c r="T593" s="3">
        <v>25</v>
      </c>
      <c r="U593" s="3">
        <v>41938.31</v>
      </c>
      <c r="V593" s="3">
        <v>27181.64</v>
      </c>
      <c r="W593" s="3">
        <v>14756.67</v>
      </c>
      <c r="X593" s="3">
        <v>35.19</v>
      </c>
      <c r="Y593" s="3">
        <v>149</v>
      </c>
      <c r="Z593" s="3" t="s">
        <v>43</v>
      </c>
      <c r="AA593" s="3" t="s">
        <v>100</v>
      </c>
      <c r="AB593" s="3" t="s">
        <v>101</v>
      </c>
      <c r="AC593" s="3">
        <v>1</v>
      </c>
    </row>
    <row r="594" spans="1:29" x14ac:dyDescent="0.3">
      <c r="A594" s="2" t="s">
        <v>3620</v>
      </c>
      <c r="B594" s="2" t="s">
        <v>3621</v>
      </c>
      <c r="C594" s="2" t="s">
        <v>1326</v>
      </c>
      <c r="D594" s="2" t="s">
        <v>3622</v>
      </c>
      <c r="E594" s="2" t="s">
        <v>18</v>
      </c>
      <c r="F594" s="2" t="s">
        <v>3623</v>
      </c>
      <c r="G594" s="2" t="s">
        <v>2048</v>
      </c>
      <c r="H594" s="2" t="s">
        <v>1719</v>
      </c>
      <c r="I594" s="2">
        <v>2</v>
      </c>
      <c r="J594" s="2" t="s">
        <v>39</v>
      </c>
      <c r="K594" s="2" t="s">
        <v>225</v>
      </c>
      <c r="L594" s="2" t="s">
        <v>225</v>
      </c>
      <c r="M594" s="2" t="s">
        <v>3624</v>
      </c>
      <c r="N594" s="2" t="s">
        <v>274</v>
      </c>
      <c r="O594" s="2" t="s">
        <v>21</v>
      </c>
      <c r="P594" s="2" t="s">
        <v>126</v>
      </c>
      <c r="Q594" s="2" t="s">
        <v>138</v>
      </c>
      <c r="R594" s="2">
        <v>2</v>
      </c>
      <c r="S594" s="2">
        <v>7547.29</v>
      </c>
      <c r="T594" s="2">
        <v>10</v>
      </c>
      <c r="U594" s="2">
        <v>13585.12</v>
      </c>
      <c r="V594" s="2">
        <v>9436.44</v>
      </c>
      <c r="W594" s="2">
        <v>4148.68</v>
      </c>
      <c r="X594" s="2">
        <v>30.54</v>
      </c>
      <c r="Y594" s="2">
        <v>49</v>
      </c>
      <c r="Z594" s="2" t="s">
        <v>30</v>
      </c>
      <c r="AA594" s="2" t="s">
        <v>100</v>
      </c>
      <c r="AB594" s="2" t="s">
        <v>101</v>
      </c>
      <c r="AC594" s="2">
        <v>5</v>
      </c>
    </row>
    <row r="595" spans="1:29" x14ac:dyDescent="0.3">
      <c r="A595" s="3" t="s">
        <v>3625</v>
      </c>
      <c r="B595" s="3" t="s">
        <v>742</v>
      </c>
      <c r="C595" s="3" t="s">
        <v>1253</v>
      </c>
      <c r="D595" s="3" t="s">
        <v>3626</v>
      </c>
      <c r="E595" s="3" t="s">
        <v>42</v>
      </c>
      <c r="F595" s="3" t="s">
        <v>2075</v>
      </c>
      <c r="G595" s="3" t="s">
        <v>2629</v>
      </c>
      <c r="H595" s="3" t="s">
        <v>1520</v>
      </c>
      <c r="I595" s="3">
        <v>5</v>
      </c>
      <c r="J595" s="3" t="s">
        <v>14</v>
      </c>
      <c r="K595" s="3" t="s">
        <v>183</v>
      </c>
      <c r="L595" s="3" t="s">
        <v>183</v>
      </c>
      <c r="M595" s="3" t="s">
        <v>3592</v>
      </c>
      <c r="N595" s="3" t="s">
        <v>390</v>
      </c>
      <c r="O595" s="3" t="s">
        <v>19</v>
      </c>
      <c r="P595" s="3" t="s">
        <v>297</v>
      </c>
      <c r="Q595" s="3" t="s">
        <v>355</v>
      </c>
      <c r="R595" s="3">
        <v>5</v>
      </c>
      <c r="S595" s="3">
        <v>7577.06</v>
      </c>
      <c r="T595" s="3">
        <v>15</v>
      </c>
      <c r="U595" s="3">
        <v>32202.51</v>
      </c>
      <c r="V595" s="3">
        <v>17887.59</v>
      </c>
      <c r="W595" s="3">
        <v>14314.92</v>
      </c>
      <c r="X595" s="3">
        <v>44.45</v>
      </c>
      <c r="Y595" s="3">
        <v>29</v>
      </c>
      <c r="Z595" s="3" t="s">
        <v>48</v>
      </c>
      <c r="AA595" s="3" t="s">
        <v>100</v>
      </c>
      <c r="AB595" s="3" t="s">
        <v>101</v>
      </c>
      <c r="AC595" s="3">
        <v>5</v>
      </c>
    </row>
    <row r="596" spans="1:29" x14ac:dyDescent="0.3">
      <c r="A596" s="2" t="s">
        <v>3627</v>
      </c>
      <c r="B596" s="2" t="s">
        <v>3628</v>
      </c>
      <c r="C596" s="2" t="s">
        <v>2834</v>
      </c>
      <c r="D596" s="2" t="s">
        <v>3629</v>
      </c>
      <c r="E596" s="2" t="s">
        <v>26</v>
      </c>
      <c r="F596" s="2" t="s">
        <v>2409</v>
      </c>
      <c r="G596" s="2" t="s">
        <v>1608</v>
      </c>
      <c r="H596" s="2" t="s">
        <v>3630</v>
      </c>
      <c r="I596" s="2">
        <v>6</v>
      </c>
      <c r="J596" s="2" t="s">
        <v>22</v>
      </c>
      <c r="K596" s="2" t="s">
        <v>283</v>
      </c>
      <c r="L596" s="2" t="s">
        <v>1346</v>
      </c>
      <c r="M596" s="2" t="s">
        <v>3631</v>
      </c>
      <c r="N596" s="2" t="s">
        <v>931</v>
      </c>
      <c r="O596" s="2" t="s">
        <v>13</v>
      </c>
      <c r="P596" s="2" t="s">
        <v>419</v>
      </c>
      <c r="Q596" s="2" t="s">
        <v>355</v>
      </c>
      <c r="R596" s="2">
        <v>5</v>
      </c>
      <c r="S596" s="2">
        <v>33864.959999999999</v>
      </c>
      <c r="T596" s="2">
        <v>15</v>
      </c>
      <c r="U596" s="2">
        <v>143926.07999999999</v>
      </c>
      <c r="V596" s="2">
        <v>74583.77</v>
      </c>
      <c r="W596" s="2">
        <v>69342.31</v>
      </c>
      <c r="X596" s="2">
        <v>48.18</v>
      </c>
      <c r="Y596" s="2">
        <v>199</v>
      </c>
      <c r="Z596" s="2" t="s">
        <v>40</v>
      </c>
      <c r="AA596" s="2" t="s">
        <v>100</v>
      </c>
      <c r="AB596" s="2" t="s">
        <v>101</v>
      </c>
      <c r="AC596" s="2">
        <v>3</v>
      </c>
    </row>
    <row r="597" spans="1:29" x14ac:dyDescent="0.3">
      <c r="A597" s="3" t="s">
        <v>3632</v>
      </c>
      <c r="B597" s="3" t="s">
        <v>3633</v>
      </c>
      <c r="C597" s="3" t="s">
        <v>563</v>
      </c>
      <c r="D597" s="3" t="s">
        <v>3634</v>
      </c>
      <c r="E597" s="3" t="s">
        <v>42</v>
      </c>
      <c r="F597" s="3" t="s">
        <v>3316</v>
      </c>
      <c r="G597" s="3" t="s">
        <v>2899</v>
      </c>
      <c r="H597" s="3" t="s">
        <v>2387</v>
      </c>
      <c r="I597" s="3">
        <v>6</v>
      </c>
      <c r="J597" s="3" t="s">
        <v>29</v>
      </c>
      <c r="K597" s="3" t="s">
        <v>427</v>
      </c>
      <c r="L597" s="3" t="s">
        <v>1081</v>
      </c>
      <c r="M597" s="3" t="s">
        <v>3635</v>
      </c>
      <c r="N597" s="3" t="s">
        <v>465</v>
      </c>
      <c r="O597" s="3" t="s">
        <v>19</v>
      </c>
      <c r="P597" s="3" t="s">
        <v>447</v>
      </c>
      <c r="Q597" s="3" t="s">
        <v>207</v>
      </c>
      <c r="R597" s="3">
        <v>4</v>
      </c>
      <c r="S597" s="3">
        <v>40955.9</v>
      </c>
      <c r="T597" s="3">
        <v>20</v>
      </c>
      <c r="U597" s="3">
        <v>131058.88</v>
      </c>
      <c r="V597" s="3">
        <v>75764.100000000006</v>
      </c>
      <c r="W597" s="3">
        <v>55294.78</v>
      </c>
      <c r="X597" s="3">
        <v>42.19</v>
      </c>
      <c r="Y597" s="3">
        <v>149</v>
      </c>
      <c r="Z597" s="3" t="s">
        <v>15</v>
      </c>
      <c r="AA597" s="3" t="s">
        <v>186</v>
      </c>
      <c r="AB597" s="3" t="s">
        <v>101</v>
      </c>
      <c r="AC597" s="3"/>
    </row>
    <row r="598" spans="1:29" x14ac:dyDescent="0.3">
      <c r="A598" s="2" t="s">
        <v>3636</v>
      </c>
      <c r="B598" s="2" t="s">
        <v>3637</v>
      </c>
      <c r="C598" s="2" t="s">
        <v>2151</v>
      </c>
      <c r="D598" s="2" t="s">
        <v>3638</v>
      </c>
      <c r="E598" s="2" t="s">
        <v>18</v>
      </c>
      <c r="F598" s="2" t="s">
        <v>2403</v>
      </c>
      <c r="G598" s="2" t="s">
        <v>1141</v>
      </c>
      <c r="H598" s="2" t="s">
        <v>3025</v>
      </c>
      <c r="I598" s="2">
        <v>6</v>
      </c>
      <c r="J598" s="2" t="s">
        <v>22</v>
      </c>
      <c r="K598" s="2" t="s">
        <v>254</v>
      </c>
      <c r="L598" s="2" t="s">
        <v>254</v>
      </c>
      <c r="M598" s="2" t="s">
        <v>216</v>
      </c>
      <c r="N598" s="2" t="s">
        <v>465</v>
      </c>
      <c r="O598" s="2" t="s">
        <v>19</v>
      </c>
      <c r="P598" s="2" t="s">
        <v>447</v>
      </c>
      <c r="Q598" s="2" t="s">
        <v>138</v>
      </c>
      <c r="R598" s="2">
        <v>3</v>
      </c>
      <c r="S598" s="2">
        <v>1905.4</v>
      </c>
      <c r="T598" s="2">
        <v>30</v>
      </c>
      <c r="U598" s="2">
        <v>4001.34</v>
      </c>
      <c r="V598" s="2">
        <v>2628.82</v>
      </c>
      <c r="W598" s="2">
        <v>1372.52</v>
      </c>
      <c r="X598" s="2">
        <v>34.299999999999997</v>
      </c>
      <c r="Y598" s="2">
        <v>149</v>
      </c>
      <c r="Z598" s="2" t="s">
        <v>15</v>
      </c>
      <c r="AA598" s="2" t="s">
        <v>139</v>
      </c>
      <c r="AB598" s="2" t="s">
        <v>140</v>
      </c>
      <c r="AC598" s="2"/>
    </row>
    <row r="599" spans="1:29" x14ac:dyDescent="0.3">
      <c r="A599" s="3" t="s">
        <v>3639</v>
      </c>
      <c r="B599" s="3" t="s">
        <v>3640</v>
      </c>
      <c r="C599" s="3" t="s">
        <v>1311</v>
      </c>
      <c r="D599" s="3" t="s">
        <v>3641</v>
      </c>
      <c r="E599" s="3" t="s">
        <v>18</v>
      </c>
      <c r="F599" s="3" t="s">
        <v>655</v>
      </c>
      <c r="G599" s="3" t="s">
        <v>2883</v>
      </c>
      <c r="H599" s="3" t="s">
        <v>1162</v>
      </c>
      <c r="I599" s="3">
        <v>6</v>
      </c>
      <c r="J599" s="3" t="s">
        <v>14</v>
      </c>
      <c r="K599" s="3" t="s">
        <v>215</v>
      </c>
      <c r="L599" s="3" t="s">
        <v>215</v>
      </c>
      <c r="M599" s="3" t="s">
        <v>3642</v>
      </c>
      <c r="N599" s="3" t="s">
        <v>163</v>
      </c>
      <c r="O599" s="3" t="s">
        <v>21</v>
      </c>
      <c r="P599" s="3" t="s">
        <v>126</v>
      </c>
      <c r="Q599" s="3" t="s">
        <v>218</v>
      </c>
      <c r="R599" s="3">
        <v>2</v>
      </c>
      <c r="S599" s="3">
        <v>46461.78</v>
      </c>
      <c r="T599" s="3">
        <v>5</v>
      </c>
      <c r="U599" s="3">
        <v>88277.38</v>
      </c>
      <c r="V599" s="3">
        <v>52839.65</v>
      </c>
      <c r="W599" s="3">
        <v>35437.730000000003</v>
      </c>
      <c r="X599" s="3">
        <v>40.14</v>
      </c>
      <c r="Y599" s="3">
        <v>149</v>
      </c>
      <c r="Z599" s="3" t="s">
        <v>48</v>
      </c>
      <c r="AA599" s="3" t="s">
        <v>100</v>
      </c>
      <c r="AB599" s="3" t="s">
        <v>101</v>
      </c>
      <c r="AC599" s="3">
        <v>5</v>
      </c>
    </row>
    <row r="600" spans="1:29" x14ac:dyDescent="0.3">
      <c r="A600" s="2" t="s">
        <v>3643</v>
      </c>
      <c r="B600" s="2" t="s">
        <v>3644</v>
      </c>
      <c r="C600" s="2" t="s">
        <v>2257</v>
      </c>
      <c r="D600" s="2" t="s">
        <v>3645</v>
      </c>
      <c r="E600" s="2" t="s">
        <v>42</v>
      </c>
      <c r="F600" s="2" t="s">
        <v>264</v>
      </c>
      <c r="G600" s="2" t="s">
        <v>3646</v>
      </c>
      <c r="H600" s="2" t="s">
        <v>3010</v>
      </c>
      <c r="I600" s="2">
        <v>6</v>
      </c>
      <c r="J600" s="2" t="s">
        <v>39</v>
      </c>
      <c r="K600" s="2" t="s">
        <v>314</v>
      </c>
      <c r="L600" s="2" t="s">
        <v>314</v>
      </c>
      <c r="M600" s="2" t="s">
        <v>3647</v>
      </c>
      <c r="N600" s="2" t="s">
        <v>889</v>
      </c>
      <c r="O600" s="2" t="s">
        <v>27</v>
      </c>
      <c r="P600" s="2" t="s">
        <v>257</v>
      </c>
      <c r="Q600" s="2" t="s">
        <v>355</v>
      </c>
      <c r="R600" s="2">
        <v>5</v>
      </c>
      <c r="S600" s="2">
        <v>42676.05</v>
      </c>
      <c r="T600" s="2">
        <v>15</v>
      </c>
      <c r="U600" s="2">
        <v>181373.21</v>
      </c>
      <c r="V600" s="2">
        <v>112029.18</v>
      </c>
      <c r="W600" s="2">
        <v>69344.03</v>
      </c>
      <c r="X600" s="2">
        <v>38.229999999999997</v>
      </c>
      <c r="Y600" s="2">
        <v>29</v>
      </c>
      <c r="Z600" s="2" t="s">
        <v>47</v>
      </c>
      <c r="AA600" s="2" t="s">
        <v>139</v>
      </c>
      <c r="AB600" s="2" t="s">
        <v>140</v>
      </c>
      <c r="AC600" s="2"/>
    </row>
    <row r="601" spans="1:29" x14ac:dyDescent="0.3">
      <c r="A601" s="3" t="s">
        <v>3648</v>
      </c>
      <c r="B601" s="3" t="s">
        <v>3649</v>
      </c>
      <c r="C601" s="3" t="s">
        <v>689</v>
      </c>
      <c r="D601" s="3" t="s">
        <v>3650</v>
      </c>
      <c r="E601" s="3" t="s">
        <v>26</v>
      </c>
      <c r="F601" s="3" t="s">
        <v>1688</v>
      </c>
      <c r="G601" s="3" t="s">
        <v>3651</v>
      </c>
      <c r="H601" s="3" t="s">
        <v>1689</v>
      </c>
      <c r="I601" s="3">
        <v>2</v>
      </c>
      <c r="J601" s="3" t="s">
        <v>29</v>
      </c>
      <c r="K601" s="3" t="s">
        <v>427</v>
      </c>
      <c r="L601" s="3" t="s">
        <v>1871</v>
      </c>
      <c r="M601" s="3" t="s">
        <v>3652</v>
      </c>
      <c r="N601" s="3" t="s">
        <v>475</v>
      </c>
      <c r="O601" s="3" t="s">
        <v>13</v>
      </c>
      <c r="P601" s="3" t="s">
        <v>228</v>
      </c>
      <c r="Q601" s="3" t="s">
        <v>287</v>
      </c>
      <c r="R601" s="3">
        <v>1</v>
      </c>
      <c r="S601" s="3">
        <v>33448.230000000003</v>
      </c>
      <c r="T601" s="3">
        <v>5</v>
      </c>
      <c r="U601" s="3">
        <v>31775.82</v>
      </c>
      <c r="V601" s="3">
        <v>22041.03</v>
      </c>
      <c r="W601" s="3">
        <v>9734.7900000000009</v>
      </c>
      <c r="X601" s="3">
        <v>30.64</v>
      </c>
      <c r="Y601" s="3">
        <v>29</v>
      </c>
      <c r="Z601" s="3" t="s">
        <v>30</v>
      </c>
      <c r="AA601" s="3" t="s">
        <v>186</v>
      </c>
      <c r="AB601" s="3" t="s">
        <v>101</v>
      </c>
      <c r="AC601" s="3"/>
    </row>
    <row r="602" spans="1:29" x14ac:dyDescent="0.3">
      <c r="A602" s="2" t="s">
        <v>3653</v>
      </c>
      <c r="B602" s="2" t="s">
        <v>3654</v>
      </c>
      <c r="C602" s="2" t="s">
        <v>1395</v>
      </c>
      <c r="D602" s="2" t="s">
        <v>3655</v>
      </c>
      <c r="E602" s="2" t="s">
        <v>42</v>
      </c>
      <c r="F602" s="2" t="s">
        <v>1367</v>
      </c>
      <c r="G602" s="2" t="s">
        <v>3461</v>
      </c>
      <c r="H602" s="2" t="s">
        <v>472</v>
      </c>
      <c r="I602" s="2">
        <v>4</v>
      </c>
      <c r="J602" s="2" t="s">
        <v>22</v>
      </c>
      <c r="K602" s="2" t="s">
        <v>122</v>
      </c>
      <c r="L602" s="2" t="s">
        <v>812</v>
      </c>
      <c r="M602" s="2" t="s">
        <v>3656</v>
      </c>
      <c r="N602" s="2" t="s">
        <v>1535</v>
      </c>
      <c r="O602" s="2" t="s">
        <v>13</v>
      </c>
      <c r="P602" s="2" t="s">
        <v>98</v>
      </c>
      <c r="Q602" s="2" t="s">
        <v>114</v>
      </c>
      <c r="R602" s="2">
        <v>5</v>
      </c>
      <c r="S602" s="2">
        <v>41200.120000000003</v>
      </c>
      <c r="T602" s="2">
        <v>30</v>
      </c>
      <c r="U602" s="2">
        <v>144200.42000000001</v>
      </c>
      <c r="V602" s="2">
        <v>79074.259999999995</v>
      </c>
      <c r="W602" s="2">
        <v>65126.16</v>
      </c>
      <c r="X602" s="2">
        <v>45.16</v>
      </c>
      <c r="Y602" s="2">
        <v>29</v>
      </c>
      <c r="Z602" s="2" t="s">
        <v>23</v>
      </c>
      <c r="AA602" s="2" t="s">
        <v>100</v>
      </c>
      <c r="AB602" s="2" t="s">
        <v>101</v>
      </c>
      <c r="AC602" s="2">
        <v>1</v>
      </c>
    </row>
    <row r="603" spans="1:29" x14ac:dyDescent="0.3">
      <c r="A603" s="3" t="s">
        <v>3657</v>
      </c>
      <c r="B603" s="3" t="s">
        <v>3658</v>
      </c>
      <c r="C603" s="3" t="s">
        <v>2325</v>
      </c>
      <c r="D603" s="3" t="s">
        <v>3659</v>
      </c>
      <c r="E603" s="3" t="s">
        <v>42</v>
      </c>
      <c r="F603" s="3" t="s">
        <v>3660</v>
      </c>
      <c r="G603" s="3" t="s">
        <v>3238</v>
      </c>
      <c r="H603" s="3" t="s">
        <v>810</v>
      </c>
      <c r="I603" s="3">
        <v>6</v>
      </c>
      <c r="J603" s="3" t="s">
        <v>14</v>
      </c>
      <c r="K603" s="3" t="s">
        <v>712</v>
      </c>
      <c r="L603" s="3" t="s">
        <v>712</v>
      </c>
      <c r="M603" s="3" t="s">
        <v>3661</v>
      </c>
      <c r="N603" s="3" t="s">
        <v>1122</v>
      </c>
      <c r="O603" s="3" t="s">
        <v>27</v>
      </c>
      <c r="P603" s="3" t="s">
        <v>257</v>
      </c>
      <c r="Q603" s="3" t="s">
        <v>197</v>
      </c>
      <c r="R603" s="3">
        <v>1</v>
      </c>
      <c r="S603" s="3">
        <v>611.70000000000005</v>
      </c>
      <c r="T603" s="3">
        <v>5</v>
      </c>
      <c r="U603" s="3">
        <v>581.12</v>
      </c>
      <c r="V603" s="3">
        <v>341.81</v>
      </c>
      <c r="W603" s="3">
        <v>239.31</v>
      </c>
      <c r="X603" s="3">
        <v>41.18</v>
      </c>
      <c r="Y603" s="3">
        <v>199</v>
      </c>
      <c r="Z603" s="3" t="s">
        <v>43</v>
      </c>
      <c r="AA603" s="3" t="s">
        <v>100</v>
      </c>
      <c r="AB603" s="3" t="s">
        <v>101</v>
      </c>
      <c r="AC603" s="3"/>
    </row>
    <row r="604" spans="1:29" x14ac:dyDescent="0.3">
      <c r="A604" s="2" t="s">
        <v>3662</v>
      </c>
      <c r="B604" s="2" t="s">
        <v>3663</v>
      </c>
      <c r="C604" s="2" t="s">
        <v>1371</v>
      </c>
      <c r="D604" s="2" t="s">
        <v>3664</v>
      </c>
      <c r="E604" s="2" t="s">
        <v>33</v>
      </c>
      <c r="F604" s="2" t="s">
        <v>435</v>
      </c>
      <c r="G604" s="2" t="s">
        <v>313</v>
      </c>
      <c r="H604" s="2" t="s">
        <v>2518</v>
      </c>
      <c r="I604" s="2">
        <v>7</v>
      </c>
      <c r="J604" s="2" t="s">
        <v>29</v>
      </c>
      <c r="K604" s="2" t="s">
        <v>834</v>
      </c>
      <c r="L604" s="2" t="s">
        <v>835</v>
      </c>
      <c r="M604" s="2" t="s">
        <v>3665</v>
      </c>
      <c r="N604" s="2" t="s">
        <v>1535</v>
      </c>
      <c r="O604" s="2" t="s">
        <v>13</v>
      </c>
      <c r="P604" s="2" t="s">
        <v>98</v>
      </c>
      <c r="Q604" s="2" t="s">
        <v>218</v>
      </c>
      <c r="R604" s="2">
        <v>3</v>
      </c>
      <c r="S604" s="2">
        <v>3286.56</v>
      </c>
      <c r="T604" s="2">
        <v>10</v>
      </c>
      <c r="U604" s="2">
        <v>8873.7099999999991</v>
      </c>
      <c r="V604" s="2">
        <v>5360.48</v>
      </c>
      <c r="W604" s="2">
        <v>3513.23</v>
      </c>
      <c r="X604" s="2">
        <v>39.590000000000003</v>
      </c>
      <c r="Y604" s="2">
        <v>49</v>
      </c>
      <c r="Z604" s="2" t="s">
        <v>40</v>
      </c>
      <c r="AA604" s="2" t="s">
        <v>100</v>
      </c>
      <c r="AB604" s="2" t="s">
        <v>101</v>
      </c>
      <c r="AC604" s="2">
        <v>2</v>
      </c>
    </row>
    <row r="605" spans="1:29" x14ac:dyDescent="0.3">
      <c r="A605" s="3" t="s">
        <v>3666</v>
      </c>
      <c r="B605" s="3" t="s">
        <v>3667</v>
      </c>
      <c r="C605" s="3" t="s">
        <v>1742</v>
      </c>
      <c r="D605" s="3" t="s">
        <v>3668</v>
      </c>
      <c r="E605" s="3" t="s">
        <v>33</v>
      </c>
      <c r="F605" s="3" t="s">
        <v>3669</v>
      </c>
      <c r="G605" s="3" t="s">
        <v>3543</v>
      </c>
      <c r="H605" s="3" t="s">
        <v>3670</v>
      </c>
      <c r="I605" s="3">
        <v>3</v>
      </c>
      <c r="J605" s="3" t="s">
        <v>14</v>
      </c>
      <c r="K605" s="3" t="s">
        <v>95</v>
      </c>
      <c r="L605" s="3" t="s">
        <v>95</v>
      </c>
      <c r="M605" s="3" t="s">
        <v>3671</v>
      </c>
      <c r="N605" s="3" t="s">
        <v>484</v>
      </c>
      <c r="O605" s="3" t="s">
        <v>13</v>
      </c>
      <c r="P605" s="3" t="s">
        <v>98</v>
      </c>
      <c r="Q605" s="3" t="s">
        <v>246</v>
      </c>
      <c r="R605" s="3">
        <v>1</v>
      </c>
      <c r="S605" s="3">
        <v>35804.980000000003</v>
      </c>
      <c r="T605" s="3">
        <v>15</v>
      </c>
      <c r="U605" s="3">
        <v>30434.23</v>
      </c>
      <c r="V605" s="3">
        <v>17495.64</v>
      </c>
      <c r="W605" s="3">
        <v>12938.59</v>
      </c>
      <c r="X605" s="3">
        <v>42.51</v>
      </c>
      <c r="Y605" s="3">
        <v>149</v>
      </c>
      <c r="Z605" s="3" t="s">
        <v>23</v>
      </c>
      <c r="AA605" s="3" t="s">
        <v>100</v>
      </c>
      <c r="AB605" s="3" t="s">
        <v>101</v>
      </c>
      <c r="AC605" s="3">
        <v>3</v>
      </c>
    </row>
    <row r="606" spans="1:29" x14ac:dyDescent="0.3">
      <c r="A606" s="2" t="s">
        <v>3672</v>
      </c>
      <c r="B606" s="2" t="s">
        <v>3673</v>
      </c>
      <c r="C606" s="2" t="s">
        <v>278</v>
      </c>
      <c r="D606" s="2" t="s">
        <v>3674</v>
      </c>
      <c r="E606" s="2" t="s">
        <v>18</v>
      </c>
      <c r="F606" s="2" t="s">
        <v>3675</v>
      </c>
      <c r="G606" s="2" t="s">
        <v>3510</v>
      </c>
      <c r="H606" s="2" t="s">
        <v>3200</v>
      </c>
      <c r="I606" s="2">
        <v>5</v>
      </c>
      <c r="J606" s="2" t="s">
        <v>29</v>
      </c>
      <c r="K606" s="2" t="s">
        <v>334</v>
      </c>
      <c r="L606" s="2" t="s">
        <v>1073</v>
      </c>
      <c r="M606" s="2" t="s">
        <v>3676</v>
      </c>
      <c r="N606" s="2" t="s">
        <v>508</v>
      </c>
      <c r="O606" s="2" t="s">
        <v>19</v>
      </c>
      <c r="P606" s="2" t="s">
        <v>365</v>
      </c>
      <c r="Q606" s="2" t="s">
        <v>509</v>
      </c>
      <c r="R606" s="2">
        <v>4</v>
      </c>
      <c r="S606" s="2">
        <v>38769.519999999997</v>
      </c>
      <c r="T606" s="2">
        <v>25</v>
      </c>
      <c r="U606" s="2">
        <v>116308.56</v>
      </c>
      <c r="V606" s="2">
        <v>54080.11</v>
      </c>
      <c r="W606" s="2">
        <v>62228.45</v>
      </c>
      <c r="X606" s="2">
        <v>53.5</v>
      </c>
      <c r="Y606" s="2">
        <v>99</v>
      </c>
      <c r="Z606" s="2" t="s">
        <v>30</v>
      </c>
      <c r="AA606" s="2" t="s">
        <v>186</v>
      </c>
      <c r="AB606" s="2" t="s">
        <v>101</v>
      </c>
      <c r="AC606" s="2"/>
    </row>
    <row r="607" spans="1:29" x14ac:dyDescent="0.3">
      <c r="A607" s="3" t="s">
        <v>3677</v>
      </c>
      <c r="B607" s="3" t="s">
        <v>3678</v>
      </c>
      <c r="C607" s="3" t="s">
        <v>680</v>
      </c>
      <c r="D607" s="3" t="s">
        <v>1970</v>
      </c>
      <c r="E607" s="3" t="s">
        <v>18</v>
      </c>
      <c r="F607" s="3" t="s">
        <v>1064</v>
      </c>
      <c r="G607" s="3" t="s">
        <v>3679</v>
      </c>
      <c r="H607" s="3" t="s">
        <v>1390</v>
      </c>
      <c r="I607" s="3">
        <v>8</v>
      </c>
      <c r="J607" s="3" t="s">
        <v>22</v>
      </c>
      <c r="K607" s="3" t="s">
        <v>738</v>
      </c>
      <c r="L607" s="3" t="s">
        <v>738</v>
      </c>
      <c r="M607" s="3" t="s">
        <v>3680</v>
      </c>
      <c r="N607" s="3" t="s">
        <v>1332</v>
      </c>
      <c r="O607" s="3" t="s">
        <v>19</v>
      </c>
      <c r="P607" s="3" t="s">
        <v>447</v>
      </c>
      <c r="Q607" s="3" t="s">
        <v>608</v>
      </c>
      <c r="R607" s="3">
        <v>5</v>
      </c>
      <c r="S607" s="3">
        <v>33890.720000000001</v>
      </c>
      <c r="T607" s="3">
        <v>0</v>
      </c>
      <c r="U607" s="3">
        <v>169453.6</v>
      </c>
      <c r="V607" s="3">
        <v>115679.42</v>
      </c>
      <c r="W607" s="3">
        <v>53774.18</v>
      </c>
      <c r="X607" s="3">
        <v>31.73</v>
      </c>
      <c r="Y607" s="3">
        <v>149</v>
      </c>
      <c r="Z607" s="3" t="s">
        <v>48</v>
      </c>
      <c r="AA607" s="3" t="s">
        <v>139</v>
      </c>
      <c r="AB607" s="3" t="s">
        <v>140</v>
      </c>
      <c r="AC607" s="3"/>
    </row>
    <row r="608" spans="1:29" x14ac:dyDescent="0.3">
      <c r="A608" s="2" t="s">
        <v>3681</v>
      </c>
      <c r="B608" s="2" t="s">
        <v>3682</v>
      </c>
      <c r="C608" s="2" t="s">
        <v>368</v>
      </c>
      <c r="D608" s="2" t="s">
        <v>3683</v>
      </c>
      <c r="E608" s="2" t="s">
        <v>26</v>
      </c>
      <c r="F608" s="2" t="s">
        <v>523</v>
      </c>
      <c r="G608" s="2" t="s">
        <v>2867</v>
      </c>
      <c r="H608" s="2" t="s">
        <v>3684</v>
      </c>
      <c r="I608" s="2">
        <v>8</v>
      </c>
      <c r="J608" s="2" t="s">
        <v>39</v>
      </c>
      <c r="K608" s="2" t="s">
        <v>193</v>
      </c>
      <c r="L608" s="2" t="s">
        <v>193</v>
      </c>
      <c r="M608" s="2" t="s">
        <v>3685</v>
      </c>
      <c r="N608" s="2" t="s">
        <v>931</v>
      </c>
      <c r="O608" s="2" t="s">
        <v>13</v>
      </c>
      <c r="P608" s="2" t="s">
        <v>419</v>
      </c>
      <c r="Q608" s="2" t="s">
        <v>218</v>
      </c>
      <c r="R608" s="2">
        <v>3</v>
      </c>
      <c r="S608" s="2">
        <v>46400.7</v>
      </c>
      <c r="T608" s="2">
        <v>5</v>
      </c>
      <c r="U608" s="2">
        <v>132241.99</v>
      </c>
      <c r="V608" s="2">
        <v>88159.94</v>
      </c>
      <c r="W608" s="2">
        <v>44082.05</v>
      </c>
      <c r="X608" s="2">
        <v>33.33</v>
      </c>
      <c r="Y608" s="2">
        <v>199</v>
      </c>
      <c r="Z608" s="2" t="s">
        <v>30</v>
      </c>
      <c r="AA608" s="2" t="s">
        <v>100</v>
      </c>
      <c r="AB608" s="2" t="s">
        <v>101</v>
      </c>
      <c r="AC608" s="2">
        <v>1</v>
      </c>
    </row>
    <row r="609" spans="1:29" x14ac:dyDescent="0.3">
      <c r="A609" s="3" t="s">
        <v>3686</v>
      </c>
      <c r="B609" s="3" t="s">
        <v>3687</v>
      </c>
      <c r="C609" s="3" t="s">
        <v>1880</v>
      </c>
      <c r="D609" s="3" t="s">
        <v>3688</v>
      </c>
      <c r="E609" s="3" t="s">
        <v>18</v>
      </c>
      <c r="F609" s="3" t="s">
        <v>3689</v>
      </c>
      <c r="G609" s="3" t="s">
        <v>3553</v>
      </c>
      <c r="H609" s="3" t="s">
        <v>3088</v>
      </c>
      <c r="I609" s="3">
        <v>2</v>
      </c>
      <c r="J609" s="3" t="s">
        <v>14</v>
      </c>
      <c r="K609" s="3" t="s">
        <v>183</v>
      </c>
      <c r="L609" s="3" t="s">
        <v>183</v>
      </c>
      <c r="M609" s="3" t="s">
        <v>3690</v>
      </c>
      <c r="N609" s="3" t="s">
        <v>446</v>
      </c>
      <c r="O609" s="3" t="s">
        <v>19</v>
      </c>
      <c r="P609" s="3" t="s">
        <v>447</v>
      </c>
      <c r="Q609" s="3" t="s">
        <v>114</v>
      </c>
      <c r="R609" s="3">
        <v>3</v>
      </c>
      <c r="S609" s="3">
        <v>32814.910000000003</v>
      </c>
      <c r="T609" s="3">
        <v>15</v>
      </c>
      <c r="U609" s="3">
        <v>83678.02</v>
      </c>
      <c r="V609" s="3">
        <v>46065.3</v>
      </c>
      <c r="W609" s="3">
        <v>37612.720000000001</v>
      </c>
      <c r="X609" s="3">
        <v>44.95</v>
      </c>
      <c r="Y609" s="3">
        <v>149</v>
      </c>
      <c r="Z609" s="3" t="s">
        <v>43</v>
      </c>
      <c r="AA609" s="3" t="s">
        <v>100</v>
      </c>
      <c r="AB609" s="3" t="s">
        <v>101</v>
      </c>
      <c r="AC609" s="3">
        <v>2</v>
      </c>
    </row>
    <row r="610" spans="1:29" x14ac:dyDescent="0.3">
      <c r="A610" s="2" t="s">
        <v>3691</v>
      </c>
      <c r="B610" s="2" t="s">
        <v>3692</v>
      </c>
      <c r="C610" s="2" t="s">
        <v>563</v>
      </c>
      <c r="D610" s="2" t="s">
        <v>3693</v>
      </c>
      <c r="E610" s="2" t="s">
        <v>26</v>
      </c>
      <c r="F610" s="2" t="s">
        <v>1366</v>
      </c>
      <c r="G610" s="2" t="s">
        <v>3100</v>
      </c>
      <c r="H610" s="2" t="s">
        <v>3101</v>
      </c>
      <c r="I610" s="2">
        <v>8</v>
      </c>
      <c r="J610" s="2" t="s">
        <v>39</v>
      </c>
      <c r="K610" s="2" t="s">
        <v>193</v>
      </c>
      <c r="L610" s="2" t="s">
        <v>193</v>
      </c>
      <c r="M610" s="2" t="s">
        <v>3694</v>
      </c>
      <c r="N610" s="2" t="s">
        <v>456</v>
      </c>
      <c r="O610" s="2" t="s">
        <v>21</v>
      </c>
      <c r="P610" s="2" t="s">
        <v>206</v>
      </c>
      <c r="Q610" s="2" t="s">
        <v>127</v>
      </c>
      <c r="R610" s="2">
        <v>2</v>
      </c>
      <c r="S610" s="2">
        <v>20589.57</v>
      </c>
      <c r="T610" s="2">
        <v>0</v>
      </c>
      <c r="U610" s="2">
        <v>41179.14</v>
      </c>
      <c r="V610" s="2">
        <v>25230.36</v>
      </c>
      <c r="W610" s="2">
        <v>15948.78</v>
      </c>
      <c r="X610" s="2">
        <v>38.729999999999997</v>
      </c>
      <c r="Y610" s="2">
        <v>0</v>
      </c>
      <c r="Z610" s="2" t="s">
        <v>43</v>
      </c>
      <c r="AA610" s="2" t="s">
        <v>100</v>
      </c>
      <c r="AB610" s="2" t="s">
        <v>140</v>
      </c>
      <c r="AC610" s="2"/>
    </row>
    <row r="611" spans="1:29" x14ac:dyDescent="0.3">
      <c r="A611" s="3" t="s">
        <v>3695</v>
      </c>
      <c r="B611" s="3" t="s">
        <v>3696</v>
      </c>
      <c r="C611" s="3" t="s">
        <v>1183</v>
      </c>
      <c r="D611" s="3" t="s">
        <v>3697</v>
      </c>
      <c r="E611" s="3" t="s">
        <v>33</v>
      </c>
      <c r="F611" s="3" t="s">
        <v>3698</v>
      </c>
      <c r="G611" s="3" t="s">
        <v>416</v>
      </c>
      <c r="H611" s="3" t="s">
        <v>2899</v>
      </c>
      <c r="I611" s="3">
        <v>6</v>
      </c>
      <c r="J611" s="3" t="s">
        <v>39</v>
      </c>
      <c r="K611" s="3" t="s">
        <v>193</v>
      </c>
      <c r="L611" s="3" t="s">
        <v>193</v>
      </c>
      <c r="M611" s="3" t="s">
        <v>3699</v>
      </c>
      <c r="N611" s="3" t="s">
        <v>136</v>
      </c>
      <c r="O611" s="3" t="s">
        <v>28</v>
      </c>
      <c r="P611" s="3" t="s">
        <v>137</v>
      </c>
      <c r="Q611" s="3" t="s">
        <v>287</v>
      </c>
      <c r="R611" s="3">
        <v>3</v>
      </c>
      <c r="S611" s="3">
        <v>6660.17</v>
      </c>
      <c r="T611" s="3">
        <v>15</v>
      </c>
      <c r="U611" s="3">
        <v>16983.43</v>
      </c>
      <c r="V611" s="3">
        <v>11417.81</v>
      </c>
      <c r="W611" s="3">
        <v>5565.62</v>
      </c>
      <c r="X611" s="3">
        <v>32.770000000000003</v>
      </c>
      <c r="Y611" s="3">
        <v>149</v>
      </c>
      <c r="Z611" s="3" t="s">
        <v>48</v>
      </c>
      <c r="AA611" s="3" t="s">
        <v>100</v>
      </c>
      <c r="AB611" s="3" t="s">
        <v>101</v>
      </c>
      <c r="AC611" s="3">
        <v>4</v>
      </c>
    </row>
    <row r="612" spans="1:29" x14ac:dyDescent="0.3">
      <c r="A612" s="2" t="s">
        <v>3700</v>
      </c>
      <c r="B612" s="2" t="s">
        <v>3701</v>
      </c>
      <c r="C612" s="2" t="s">
        <v>1246</v>
      </c>
      <c r="D612" s="2" t="s">
        <v>3702</v>
      </c>
      <c r="E612" s="2" t="s">
        <v>33</v>
      </c>
      <c r="F612" s="2" t="s">
        <v>223</v>
      </c>
      <c r="G612" s="2" t="s">
        <v>224</v>
      </c>
      <c r="H612" s="2" t="s">
        <v>2752</v>
      </c>
      <c r="I612" s="2">
        <v>4</v>
      </c>
      <c r="J612" s="2" t="s">
        <v>14</v>
      </c>
      <c r="K612" s="2" t="s">
        <v>171</v>
      </c>
      <c r="L612" s="2" t="s">
        <v>172</v>
      </c>
      <c r="M612" s="2" t="s">
        <v>3703</v>
      </c>
      <c r="N612" s="2" t="s">
        <v>327</v>
      </c>
      <c r="O612" s="2" t="s">
        <v>27</v>
      </c>
      <c r="P612" s="2" t="s">
        <v>113</v>
      </c>
      <c r="Q612" s="2" t="s">
        <v>218</v>
      </c>
      <c r="R612" s="2">
        <v>2</v>
      </c>
      <c r="S612" s="2">
        <v>37215.160000000003</v>
      </c>
      <c r="T612" s="2">
        <v>20</v>
      </c>
      <c r="U612" s="2">
        <v>59544.26</v>
      </c>
      <c r="V612" s="2">
        <v>28223.19</v>
      </c>
      <c r="W612" s="2">
        <v>31321.07</v>
      </c>
      <c r="X612" s="2">
        <v>52.6</v>
      </c>
      <c r="Y612" s="2">
        <v>199</v>
      </c>
      <c r="Z612" s="2" t="s">
        <v>15</v>
      </c>
      <c r="AA612" s="2" t="s">
        <v>186</v>
      </c>
      <c r="AB612" s="2" t="s">
        <v>101</v>
      </c>
      <c r="AC612" s="2"/>
    </row>
    <row r="613" spans="1:29" x14ac:dyDescent="0.3">
      <c r="A613" s="3" t="s">
        <v>3704</v>
      </c>
      <c r="B613" s="3" t="s">
        <v>3705</v>
      </c>
      <c r="C613" s="3" t="s">
        <v>870</v>
      </c>
      <c r="D613" s="3" t="s">
        <v>3706</v>
      </c>
      <c r="E613" s="3" t="s">
        <v>42</v>
      </c>
      <c r="F613" s="3" t="s">
        <v>3707</v>
      </c>
      <c r="G613" s="3" t="s">
        <v>2409</v>
      </c>
      <c r="H613" s="3" t="s">
        <v>3708</v>
      </c>
      <c r="I613" s="3">
        <v>6</v>
      </c>
      <c r="J613" s="3" t="s">
        <v>22</v>
      </c>
      <c r="K613" s="3" t="s">
        <v>122</v>
      </c>
      <c r="L613" s="3" t="s">
        <v>123</v>
      </c>
      <c r="M613" s="3" t="s">
        <v>3709</v>
      </c>
      <c r="N613" s="3" t="s">
        <v>924</v>
      </c>
      <c r="O613" s="3" t="s">
        <v>13</v>
      </c>
      <c r="P613" s="3" t="s">
        <v>228</v>
      </c>
      <c r="Q613" s="3" t="s">
        <v>127</v>
      </c>
      <c r="R613" s="3">
        <v>2</v>
      </c>
      <c r="S613" s="3">
        <v>27203.49</v>
      </c>
      <c r="T613" s="3">
        <v>30</v>
      </c>
      <c r="U613" s="3">
        <v>38084.89</v>
      </c>
      <c r="V613" s="3">
        <v>21212.04</v>
      </c>
      <c r="W613" s="3">
        <v>16872.849999999999</v>
      </c>
      <c r="X613" s="3">
        <v>44.3</v>
      </c>
      <c r="Y613" s="3">
        <v>49</v>
      </c>
      <c r="Z613" s="3" t="s">
        <v>15</v>
      </c>
      <c r="AA613" s="3" t="s">
        <v>186</v>
      </c>
      <c r="AB613" s="3" t="s">
        <v>101</v>
      </c>
      <c r="AC613" s="3"/>
    </row>
    <row r="614" spans="1:29" x14ac:dyDescent="0.3">
      <c r="A614" s="2" t="s">
        <v>3710</v>
      </c>
      <c r="B614" s="2" t="s">
        <v>3711</v>
      </c>
      <c r="C614" s="2" t="s">
        <v>1159</v>
      </c>
      <c r="D614" s="2" t="s">
        <v>3712</v>
      </c>
      <c r="E614" s="2" t="s">
        <v>18</v>
      </c>
      <c r="F614" s="2" t="s">
        <v>1479</v>
      </c>
      <c r="G614" s="2" t="s">
        <v>2227</v>
      </c>
      <c r="H614" s="2" t="s">
        <v>1480</v>
      </c>
      <c r="I614" s="2">
        <v>6</v>
      </c>
      <c r="J614" s="2" t="s">
        <v>39</v>
      </c>
      <c r="K614" s="2" t="s">
        <v>109</v>
      </c>
      <c r="L614" s="2" t="s">
        <v>134</v>
      </c>
      <c r="M614" s="2" t="s">
        <v>3713</v>
      </c>
      <c r="N614" s="2" t="s">
        <v>639</v>
      </c>
      <c r="O614" s="2" t="s">
        <v>27</v>
      </c>
      <c r="P614" s="2" t="s">
        <v>175</v>
      </c>
      <c r="Q614" s="2" t="s">
        <v>138</v>
      </c>
      <c r="R614" s="2">
        <v>1</v>
      </c>
      <c r="S614" s="2">
        <v>42902.14</v>
      </c>
      <c r="T614" s="2">
        <v>25</v>
      </c>
      <c r="U614" s="2">
        <v>32176.6</v>
      </c>
      <c r="V614" s="2">
        <v>14859.94</v>
      </c>
      <c r="W614" s="2">
        <v>17316.66</v>
      </c>
      <c r="X614" s="2">
        <v>53.82</v>
      </c>
      <c r="Y614" s="2">
        <v>49</v>
      </c>
      <c r="Z614" s="2" t="s">
        <v>40</v>
      </c>
      <c r="AA614" s="2" t="s">
        <v>100</v>
      </c>
      <c r="AB614" s="2" t="s">
        <v>101</v>
      </c>
      <c r="AC614" s="2">
        <v>2</v>
      </c>
    </row>
    <row r="615" spans="1:29" x14ac:dyDescent="0.3">
      <c r="A615" s="3" t="s">
        <v>3714</v>
      </c>
      <c r="B615" s="3" t="s">
        <v>3715</v>
      </c>
      <c r="C615" s="3" t="s">
        <v>855</v>
      </c>
      <c r="D615" s="3" t="s">
        <v>3716</v>
      </c>
      <c r="E615" s="3" t="s">
        <v>33</v>
      </c>
      <c r="F615" s="3" t="s">
        <v>3717</v>
      </c>
      <c r="G615" s="3" t="s">
        <v>2854</v>
      </c>
      <c r="H615" s="3" t="s">
        <v>2920</v>
      </c>
      <c r="I615" s="3">
        <v>6</v>
      </c>
      <c r="J615" s="3" t="s">
        <v>29</v>
      </c>
      <c r="K615" s="3" t="s">
        <v>834</v>
      </c>
      <c r="L615" s="3" t="s">
        <v>1000</v>
      </c>
      <c r="M615" s="3" t="s">
        <v>2199</v>
      </c>
      <c r="N615" s="3" t="s">
        <v>600</v>
      </c>
      <c r="O615" s="3" t="s">
        <v>27</v>
      </c>
      <c r="P615" s="3" t="s">
        <v>175</v>
      </c>
      <c r="Q615" s="3" t="s">
        <v>127</v>
      </c>
      <c r="R615" s="3">
        <v>4</v>
      </c>
      <c r="S615" s="3">
        <v>21666.63</v>
      </c>
      <c r="T615" s="3">
        <v>0</v>
      </c>
      <c r="U615" s="3">
        <v>86666.52</v>
      </c>
      <c r="V615" s="3">
        <v>57339.44</v>
      </c>
      <c r="W615" s="3">
        <v>29327.08</v>
      </c>
      <c r="X615" s="3">
        <v>33.840000000000003</v>
      </c>
      <c r="Y615" s="3">
        <v>49</v>
      </c>
      <c r="Z615" s="3" t="s">
        <v>15</v>
      </c>
      <c r="AA615" s="3" t="s">
        <v>100</v>
      </c>
      <c r="AB615" s="3" t="s">
        <v>101</v>
      </c>
      <c r="AC615" s="3">
        <v>5</v>
      </c>
    </row>
    <row r="616" spans="1:29" x14ac:dyDescent="0.3">
      <c r="A616" s="2" t="s">
        <v>3718</v>
      </c>
      <c r="B616" s="2" t="s">
        <v>3719</v>
      </c>
      <c r="C616" s="2" t="s">
        <v>1335</v>
      </c>
      <c r="D616" s="2" t="s">
        <v>3720</v>
      </c>
      <c r="E616" s="2" t="s">
        <v>26</v>
      </c>
      <c r="F616" s="2" t="s">
        <v>3721</v>
      </c>
      <c r="G616" s="2" t="s">
        <v>2612</v>
      </c>
      <c r="H616" s="2" t="s">
        <v>1071</v>
      </c>
      <c r="I616" s="2">
        <v>3</v>
      </c>
      <c r="J616" s="2" t="s">
        <v>29</v>
      </c>
      <c r="K616" s="2" t="s">
        <v>160</v>
      </c>
      <c r="L616" s="2" t="s">
        <v>976</v>
      </c>
      <c r="M616" s="2" t="s">
        <v>3722</v>
      </c>
      <c r="N616" s="2" t="s">
        <v>583</v>
      </c>
      <c r="O616" s="2" t="s">
        <v>19</v>
      </c>
      <c r="P616" s="2" t="s">
        <v>447</v>
      </c>
      <c r="Q616" s="2" t="s">
        <v>218</v>
      </c>
      <c r="R616" s="2">
        <v>5</v>
      </c>
      <c r="S616" s="2">
        <v>15453.72</v>
      </c>
      <c r="T616" s="2">
        <v>10</v>
      </c>
      <c r="U616" s="2">
        <v>69541.740000000005</v>
      </c>
      <c r="V616" s="2">
        <v>35218.57</v>
      </c>
      <c r="W616" s="2">
        <v>34323.17</v>
      </c>
      <c r="X616" s="2">
        <v>49.36</v>
      </c>
      <c r="Y616" s="2">
        <v>29</v>
      </c>
      <c r="Z616" s="2" t="s">
        <v>47</v>
      </c>
      <c r="AA616" s="2" t="s">
        <v>100</v>
      </c>
      <c r="AB616" s="2" t="s">
        <v>101</v>
      </c>
      <c r="AC616" s="2"/>
    </row>
    <row r="617" spans="1:29" x14ac:dyDescent="0.3">
      <c r="A617" s="3" t="s">
        <v>3723</v>
      </c>
      <c r="B617" s="3" t="s">
        <v>3724</v>
      </c>
      <c r="C617" s="3" t="s">
        <v>1484</v>
      </c>
      <c r="D617" s="3" t="s">
        <v>3725</v>
      </c>
      <c r="E617" s="3" t="s">
        <v>18</v>
      </c>
      <c r="F617" s="3" t="s">
        <v>3726</v>
      </c>
      <c r="G617" s="3" t="s">
        <v>3727</v>
      </c>
      <c r="H617" s="3" t="s">
        <v>1413</v>
      </c>
      <c r="I617" s="3">
        <v>5</v>
      </c>
      <c r="J617" s="3" t="s">
        <v>14</v>
      </c>
      <c r="K617" s="3" t="s">
        <v>712</v>
      </c>
      <c r="L617" s="3" t="s">
        <v>712</v>
      </c>
      <c r="M617" s="3" t="s">
        <v>3728</v>
      </c>
      <c r="N617" s="3" t="s">
        <v>438</v>
      </c>
      <c r="O617" s="3" t="s">
        <v>13</v>
      </c>
      <c r="P617" s="3" t="s">
        <v>228</v>
      </c>
      <c r="Q617" s="3" t="s">
        <v>608</v>
      </c>
      <c r="R617" s="3">
        <v>2</v>
      </c>
      <c r="S617" s="3">
        <v>8458.43</v>
      </c>
      <c r="T617" s="3">
        <v>0</v>
      </c>
      <c r="U617" s="3">
        <v>16916.86</v>
      </c>
      <c r="V617" s="3">
        <v>7926.69</v>
      </c>
      <c r="W617" s="3">
        <v>8990.17</v>
      </c>
      <c r="X617" s="3">
        <v>53.14</v>
      </c>
      <c r="Y617" s="3">
        <v>199</v>
      </c>
      <c r="Z617" s="3" t="s">
        <v>23</v>
      </c>
      <c r="AA617" s="3" t="s">
        <v>100</v>
      </c>
      <c r="AB617" s="3" t="s">
        <v>101</v>
      </c>
      <c r="AC617" s="3">
        <v>3</v>
      </c>
    </row>
    <row r="618" spans="1:29" x14ac:dyDescent="0.3">
      <c r="A618" s="2" t="s">
        <v>3729</v>
      </c>
      <c r="B618" s="2" t="s">
        <v>3730</v>
      </c>
      <c r="C618" s="2" t="s">
        <v>1261</v>
      </c>
      <c r="D618" s="2" t="s">
        <v>1573</v>
      </c>
      <c r="E618" s="2" t="s">
        <v>26</v>
      </c>
      <c r="F618" s="2" t="s">
        <v>588</v>
      </c>
      <c r="G618" s="2" t="s">
        <v>2349</v>
      </c>
      <c r="H618" s="2" t="s">
        <v>1578</v>
      </c>
      <c r="I618" s="2">
        <v>5</v>
      </c>
      <c r="J618" s="2" t="s">
        <v>29</v>
      </c>
      <c r="K618" s="2" t="s">
        <v>334</v>
      </c>
      <c r="L618" s="2" t="s">
        <v>614</v>
      </c>
      <c r="M618" s="2" t="s">
        <v>3731</v>
      </c>
      <c r="N618" s="2" t="s">
        <v>136</v>
      </c>
      <c r="O618" s="2" t="s">
        <v>28</v>
      </c>
      <c r="P618" s="2" t="s">
        <v>137</v>
      </c>
      <c r="Q618" s="2" t="s">
        <v>287</v>
      </c>
      <c r="R618" s="2">
        <v>3</v>
      </c>
      <c r="S618" s="2">
        <v>48912.92</v>
      </c>
      <c r="T618" s="2">
        <v>5</v>
      </c>
      <c r="U618" s="2">
        <v>139401.82</v>
      </c>
      <c r="V618" s="2">
        <v>79834.33</v>
      </c>
      <c r="W618" s="2">
        <v>59567.49</v>
      </c>
      <c r="X618" s="2">
        <v>42.73</v>
      </c>
      <c r="Y618" s="2">
        <v>0</v>
      </c>
      <c r="Z618" s="2" t="s">
        <v>30</v>
      </c>
      <c r="AA618" s="2" t="s">
        <v>100</v>
      </c>
      <c r="AB618" s="2" t="s">
        <v>101</v>
      </c>
      <c r="AC618" s="2">
        <v>3</v>
      </c>
    </row>
    <row r="619" spans="1:29" x14ac:dyDescent="0.3">
      <c r="A619" s="3" t="s">
        <v>3732</v>
      </c>
      <c r="B619" s="3" t="s">
        <v>3733</v>
      </c>
      <c r="C619" s="3" t="s">
        <v>967</v>
      </c>
      <c r="D619" s="3" t="s">
        <v>3734</v>
      </c>
      <c r="E619" s="3" t="s">
        <v>18</v>
      </c>
      <c r="F619" s="3" t="s">
        <v>3209</v>
      </c>
      <c r="G619" s="3" t="s">
        <v>3735</v>
      </c>
      <c r="H619" s="3" t="s">
        <v>2611</v>
      </c>
      <c r="I619" s="3">
        <v>2</v>
      </c>
      <c r="J619" s="3" t="s">
        <v>39</v>
      </c>
      <c r="K619" s="3" t="s">
        <v>225</v>
      </c>
      <c r="L619" s="3" t="s">
        <v>225</v>
      </c>
      <c r="M619" s="3" t="s">
        <v>3736</v>
      </c>
      <c r="N619" s="3" t="s">
        <v>150</v>
      </c>
      <c r="O619" s="3" t="s">
        <v>28</v>
      </c>
      <c r="P619" s="3" t="s">
        <v>151</v>
      </c>
      <c r="Q619" s="3" t="s">
        <v>355</v>
      </c>
      <c r="R619" s="3">
        <v>5</v>
      </c>
      <c r="S619" s="3">
        <v>1751.92</v>
      </c>
      <c r="T619" s="3">
        <v>25</v>
      </c>
      <c r="U619" s="3">
        <v>6569.7</v>
      </c>
      <c r="V619" s="3">
        <v>4530.53</v>
      </c>
      <c r="W619" s="3">
        <v>2039.17</v>
      </c>
      <c r="X619" s="3">
        <v>31.04</v>
      </c>
      <c r="Y619" s="3">
        <v>149</v>
      </c>
      <c r="Z619" s="3" t="s">
        <v>47</v>
      </c>
      <c r="AA619" s="3" t="s">
        <v>186</v>
      </c>
      <c r="AB619" s="3" t="s">
        <v>101</v>
      </c>
      <c r="AC619" s="3"/>
    </row>
    <row r="620" spans="1:29" x14ac:dyDescent="0.3">
      <c r="A620" s="2" t="s">
        <v>3737</v>
      </c>
      <c r="B620" s="2" t="s">
        <v>3738</v>
      </c>
      <c r="C620" s="2" t="s">
        <v>603</v>
      </c>
      <c r="D620" s="2" t="s">
        <v>3739</v>
      </c>
      <c r="E620" s="2" t="s">
        <v>18</v>
      </c>
      <c r="F620" s="2" t="s">
        <v>3128</v>
      </c>
      <c r="G620" s="2" t="s">
        <v>3740</v>
      </c>
      <c r="H620" s="2" t="s">
        <v>1601</v>
      </c>
      <c r="I620" s="2">
        <v>2</v>
      </c>
      <c r="J620" s="2" t="s">
        <v>14</v>
      </c>
      <c r="K620" s="2" t="s">
        <v>171</v>
      </c>
      <c r="L620" s="2" t="s">
        <v>407</v>
      </c>
      <c r="M620" s="2" t="s">
        <v>3741</v>
      </c>
      <c r="N620" s="2" t="s">
        <v>704</v>
      </c>
      <c r="O620" s="2" t="s">
        <v>13</v>
      </c>
      <c r="P620" s="2" t="s">
        <v>419</v>
      </c>
      <c r="Q620" s="2" t="s">
        <v>608</v>
      </c>
      <c r="R620" s="2">
        <v>5</v>
      </c>
      <c r="S620" s="2">
        <v>49374.45</v>
      </c>
      <c r="T620" s="2">
        <v>25</v>
      </c>
      <c r="U620" s="2">
        <v>185154.19</v>
      </c>
      <c r="V620" s="2">
        <v>120570.31</v>
      </c>
      <c r="W620" s="2">
        <v>64583.88</v>
      </c>
      <c r="X620" s="2">
        <v>34.880000000000003</v>
      </c>
      <c r="Y620" s="2">
        <v>49</v>
      </c>
      <c r="Z620" s="2" t="s">
        <v>30</v>
      </c>
      <c r="AA620" s="2" t="s">
        <v>100</v>
      </c>
      <c r="AB620" s="2" t="s">
        <v>140</v>
      </c>
      <c r="AC620" s="2">
        <v>4</v>
      </c>
    </row>
    <row r="621" spans="1:29" x14ac:dyDescent="0.3">
      <c r="A621" s="3" t="s">
        <v>3742</v>
      </c>
      <c r="B621" s="3" t="s">
        <v>3743</v>
      </c>
      <c r="C621" s="3" t="s">
        <v>368</v>
      </c>
      <c r="D621" s="3" t="s">
        <v>3744</v>
      </c>
      <c r="E621" s="3" t="s">
        <v>42</v>
      </c>
      <c r="F621" s="3" t="s">
        <v>531</v>
      </c>
      <c r="G621" s="3" t="s">
        <v>989</v>
      </c>
      <c r="H621" s="3" t="s">
        <v>990</v>
      </c>
      <c r="I621" s="3">
        <v>2</v>
      </c>
      <c r="J621" s="3" t="s">
        <v>22</v>
      </c>
      <c r="K621" s="3" t="s">
        <v>738</v>
      </c>
      <c r="L621" s="3" t="s">
        <v>738</v>
      </c>
      <c r="M621" s="3" t="s">
        <v>3745</v>
      </c>
      <c r="N621" s="3" t="s">
        <v>3017</v>
      </c>
      <c r="O621" s="3" t="s">
        <v>13</v>
      </c>
      <c r="P621" s="3" t="s">
        <v>419</v>
      </c>
      <c r="Q621" s="3" t="s">
        <v>246</v>
      </c>
      <c r="R621" s="3">
        <v>1</v>
      </c>
      <c r="S621" s="3">
        <v>44435.82</v>
      </c>
      <c r="T621" s="3">
        <v>25</v>
      </c>
      <c r="U621" s="3">
        <v>33326.86</v>
      </c>
      <c r="V621" s="3">
        <v>19945.419999999998</v>
      </c>
      <c r="W621" s="3">
        <v>13381.44</v>
      </c>
      <c r="X621" s="3">
        <v>40.15</v>
      </c>
      <c r="Y621" s="3">
        <v>49</v>
      </c>
      <c r="Z621" s="3" t="s">
        <v>47</v>
      </c>
      <c r="AA621" s="3" t="s">
        <v>100</v>
      </c>
      <c r="AB621" s="3" t="s">
        <v>101</v>
      </c>
      <c r="AC621" s="3">
        <v>3</v>
      </c>
    </row>
    <row r="622" spans="1:29" x14ac:dyDescent="0.3">
      <c r="A622" s="2" t="s">
        <v>3746</v>
      </c>
      <c r="B622" s="2" t="s">
        <v>3747</v>
      </c>
      <c r="C622" s="2" t="s">
        <v>459</v>
      </c>
      <c r="D622" s="2" t="s">
        <v>3748</v>
      </c>
      <c r="E622" s="2" t="s">
        <v>18</v>
      </c>
      <c r="F622" s="2" t="s">
        <v>1501</v>
      </c>
      <c r="G622" s="2" t="s">
        <v>1818</v>
      </c>
      <c r="H622" s="2" t="s">
        <v>2449</v>
      </c>
      <c r="I622" s="2">
        <v>6</v>
      </c>
      <c r="J622" s="2" t="s">
        <v>14</v>
      </c>
      <c r="K622" s="2" t="s">
        <v>183</v>
      </c>
      <c r="L622" s="2" t="s">
        <v>183</v>
      </c>
      <c r="M622" s="2" t="s">
        <v>3749</v>
      </c>
      <c r="N622" s="2" t="s">
        <v>475</v>
      </c>
      <c r="O622" s="2" t="s">
        <v>13</v>
      </c>
      <c r="P622" s="2" t="s">
        <v>228</v>
      </c>
      <c r="Q622" s="2" t="s">
        <v>138</v>
      </c>
      <c r="R622" s="2">
        <v>4</v>
      </c>
      <c r="S622" s="2">
        <v>46561.48</v>
      </c>
      <c r="T622" s="2">
        <v>15</v>
      </c>
      <c r="U622" s="2">
        <v>158309.03</v>
      </c>
      <c r="V622" s="2">
        <v>88081.54</v>
      </c>
      <c r="W622" s="2">
        <v>70227.490000000005</v>
      </c>
      <c r="X622" s="2">
        <v>44.36</v>
      </c>
      <c r="Y622" s="2">
        <v>49</v>
      </c>
      <c r="Z622" s="2" t="s">
        <v>47</v>
      </c>
      <c r="AA622" s="2" t="s">
        <v>100</v>
      </c>
      <c r="AB622" s="2" t="s">
        <v>101</v>
      </c>
      <c r="AC622" s="2">
        <v>1</v>
      </c>
    </row>
    <row r="623" spans="1:29" x14ac:dyDescent="0.3">
      <c r="A623" s="3" t="s">
        <v>3750</v>
      </c>
      <c r="B623" s="3" t="s">
        <v>3751</v>
      </c>
      <c r="C623" s="3" t="s">
        <v>774</v>
      </c>
      <c r="D623" s="3" t="s">
        <v>3752</v>
      </c>
      <c r="E623" s="3" t="s">
        <v>33</v>
      </c>
      <c r="F623" s="3" t="s">
        <v>843</v>
      </c>
      <c r="G623" s="3" t="s">
        <v>1548</v>
      </c>
      <c r="H623" s="3" t="s">
        <v>831</v>
      </c>
      <c r="I623" s="3">
        <v>5</v>
      </c>
      <c r="J623" s="3" t="s">
        <v>29</v>
      </c>
      <c r="K623" s="3" t="s">
        <v>427</v>
      </c>
      <c r="L623" s="3" t="s">
        <v>428</v>
      </c>
      <c r="M623" s="3" t="s">
        <v>3753</v>
      </c>
      <c r="N623" s="3" t="s">
        <v>852</v>
      </c>
      <c r="O623" s="3" t="s">
        <v>27</v>
      </c>
      <c r="P623" s="3" t="s">
        <v>175</v>
      </c>
      <c r="Q623" s="3" t="s">
        <v>127</v>
      </c>
      <c r="R623" s="3">
        <v>3</v>
      </c>
      <c r="S623" s="3">
        <v>30714.47</v>
      </c>
      <c r="T623" s="3">
        <v>0</v>
      </c>
      <c r="U623" s="3">
        <v>92143.41</v>
      </c>
      <c r="V623" s="3">
        <v>53592.74</v>
      </c>
      <c r="W623" s="3">
        <v>38550.67</v>
      </c>
      <c r="X623" s="3">
        <v>41.84</v>
      </c>
      <c r="Y623" s="3">
        <v>99</v>
      </c>
      <c r="Z623" s="3" t="s">
        <v>48</v>
      </c>
      <c r="AA623" s="3" t="s">
        <v>275</v>
      </c>
      <c r="AB623" s="3" t="s">
        <v>101</v>
      </c>
      <c r="AC623" s="3"/>
    </row>
    <row r="624" spans="1:29" x14ac:dyDescent="0.3">
      <c r="A624" s="2" t="s">
        <v>3754</v>
      </c>
      <c r="B624" s="2" t="s">
        <v>3755</v>
      </c>
      <c r="C624" s="2" t="s">
        <v>571</v>
      </c>
      <c r="D624" s="2" t="s">
        <v>3756</v>
      </c>
      <c r="E624" s="2" t="s">
        <v>26</v>
      </c>
      <c r="F624" s="2" t="s">
        <v>1799</v>
      </c>
      <c r="G624" s="2" t="s">
        <v>1800</v>
      </c>
      <c r="H624" s="2" t="s">
        <v>108</v>
      </c>
      <c r="I624" s="2">
        <v>2</v>
      </c>
      <c r="J624" s="2" t="s">
        <v>14</v>
      </c>
      <c r="K624" s="2" t="s">
        <v>95</v>
      </c>
      <c r="L624" s="2" t="s">
        <v>95</v>
      </c>
      <c r="M624" s="2" t="s">
        <v>3757</v>
      </c>
      <c r="N624" s="2" t="s">
        <v>740</v>
      </c>
      <c r="O624" s="2" t="s">
        <v>21</v>
      </c>
      <c r="P624" s="2" t="s">
        <v>126</v>
      </c>
      <c r="Q624" s="2" t="s">
        <v>466</v>
      </c>
      <c r="R624" s="2">
        <v>2</v>
      </c>
      <c r="S624" s="2">
        <v>3907.77</v>
      </c>
      <c r="T624" s="2">
        <v>5</v>
      </c>
      <c r="U624" s="2">
        <v>7424.76</v>
      </c>
      <c r="V624" s="2">
        <v>3982.47</v>
      </c>
      <c r="W624" s="2">
        <v>3442.29</v>
      </c>
      <c r="X624" s="2">
        <v>46.36</v>
      </c>
      <c r="Y624" s="2">
        <v>0</v>
      </c>
      <c r="Z624" s="2" t="s">
        <v>23</v>
      </c>
      <c r="AA624" s="2" t="s">
        <v>100</v>
      </c>
      <c r="AB624" s="2" t="s">
        <v>101</v>
      </c>
      <c r="AC624" s="2">
        <v>2</v>
      </c>
    </row>
    <row r="625" spans="1:29" x14ac:dyDescent="0.3">
      <c r="A625" s="3" t="s">
        <v>3758</v>
      </c>
      <c r="B625" s="3" t="s">
        <v>3759</v>
      </c>
      <c r="C625" s="3" t="s">
        <v>1426</v>
      </c>
      <c r="D625" s="3" t="s">
        <v>3760</v>
      </c>
      <c r="E625" s="3" t="s">
        <v>26</v>
      </c>
      <c r="F625" s="3" t="s">
        <v>646</v>
      </c>
      <c r="G625" s="3" t="s">
        <v>2796</v>
      </c>
      <c r="H625" s="3" t="s">
        <v>3296</v>
      </c>
      <c r="I625" s="3">
        <v>6</v>
      </c>
      <c r="J625" s="3" t="s">
        <v>29</v>
      </c>
      <c r="K625" s="3" t="s">
        <v>427</v>
      </c>
      <c r="L625" s="3" t="s">
        <v>1081</v>
      </c>
      <c r="M625" s="3" t="s">
        <v>3761</v>
      </c>
      <c r="N625" s="3" t="s">
        <v>399</v>
      </c>
      <c r="O625" s="3" t="s">
        <v>21</v>
      </c>
      <c r="P625" s="3" t="s">
        <v>196</v>
      </c>
      <c r="Q625" s="3" t="s">
        <v>466</v>
      </c>
      <c r="R625" s="3">
        <v>5</v>
      </c>
      <c r="S625" s="3">
        <v>34961.75</v>
      </c>
      <c r="T625" s="3">
        <v>30</v>
      </c>
      <c r="U625" s="3">
        <v>122366.12</v>
      </c>
      <c r="V625" s="3">
        <v>67525.17</v>
      </c>
      <c r="W625" s="3">
        <v>54840.95</v>
      </c>
      <c r="X625" s="3">
        <v>44.82</v>
      </c>
      <c r="Y625" s="3">
        <v>29</v>
      </c>
      <c r="Z625" s="3" t="s">
        <v>43</v>
      </c>
      <c r="AA625" s="3" t="s">
        <v>100</v>
      </c>
      <c r="AB625" s="3" t="s">
        <v>101</v>
      </c>
      <c r="AC625" s="3">
        <v>5</v>
      </c>
    </row>
    <row r="626" spans="1:29" x14ac:dyDescent="0.3">
      <c r="A626" s="2" t="s">
        <v>3762</v>
      </c>
      <c r="B626" s="2" t="s">
        <v>3763</v>
      </c>
      <c r="C626" s="2" t="s">
        <v>1371</v>
      </c>
      <c r="D626" s="2" t="s">
        <v>3764</v>
      </c>
      <c r="E626" s="2" t="s">
        <v>42</v>
      </c>
      <c r="F626" s="2" t="s">
        <v>3765</v>
      </c>
      <c r="G626" s="2" t="s">
        <v>1213</v>
      </c>
      <c r="H626" s="2" t="s">
        <v>202</v>
      </c>
      <c r="I626" s="2">
        <v>6</v>
      </c>
      <c r="J626" s="2" t="s">
        <v>14</v>
      </c>
      <c r="K626" s="2" t="s">
        <v>712</v>
      </c>
      <c r="L626" s="2" t="s">
        <v>712</v>
      </c>
      <c r="M626" s="2" t="s">
        <v>2526</v>
      </c>
      <c r="N626" s="2" t="s">
        <v>306</v>
      </c>
      <c r="O626" s="2" t="s">
        <v>21</v>
      </c>
      <c r="P626" s="2" t="s">
        <v>126</v>
      </c>
      <c r="Q626" s="2" t="s">
        <v>287</v>
      </c>
      <c r="R626" s="2">
        <v>4</v>
      </c>
      <c r="S626" s="2">
        <v>13729.77</v>
      </c>
      <c r="T626" s="2">
        <v>30</v>
      </c>
      <c r="U626" s="2">
        <v>38443.360000000001</v>
      </c>
      <c r="V626" s="2">
        <v>21640</v>
      </c>
      <c r="W626" s="2">
        <v>16803.36</v>
      </c>
      <c r="X626" s="2">
        <v>43.71</v>
      </c>
      <c r="Y626" s="2">
        <v>149</v>
      </c>
      <c r="Z626" s="2" t="s">
        <v>15</v>
      </c>
      <c r="AA626" s="2" t="s">
        <v>100</v>
      </c>
      <c r="AB626" s="2" t="s">
        <v>101</v>
      </c>
      <c r="AC626" s="2">
        <v>3</v>
      </c>
    </row>
    <row r="627" spans="1:29" x14ac:dyDescent="0.3">
      <c r="A627" s="3" t="s">
        <v>3766</v>
      </c>
      <c r="B627" s="3" t="s">
        <v>3767</v>
      </c>
      <c r="C627" s="3" t="s">
        <v>1217</v>
      </c>
      <c r="D627" s="3" t="s">
        <v>3768</v>
      </c>
      <c r="E627" s="3" t="s">
        <v>26</v>
      </c>
      <c r="F627" s="3" t="s">
        <v>879</v>
      </c>
      <c r="G627" s="3" t="s">
        <v>682</v>
      </c>
      <c r="H627" s="3" t="s">
        <v>3322</v>
      </c>
      <c r="I627" s="3">
        <v>4</v>
      </c>
      <c r="J627" s="3" t="s">
        <v>22</v>
      </c>
      <c r="K627" s="3" t="s">
        <v>254</v>
      </c>
      <c r="L627" s="3" t="s">
        <v>254</v>
      </c>
      <c r="M627" s="3" t="s">
        <v>3769</v>
      </c>
      <c r="N627" s="3" t="s">
        <v>286</v>
      </c>
      <c r="O627" s="3" t="s">
        <v>28</v>
      </c>
      <c r="P627" s="3" t="s">
        <v>137</v>
      </c>
      <c r="Q627" s="3" t="s">
        <v>287</v>
      </c>
      <c r="R627" s="3">
        <v>2</v>
      </c>
      <c r="S627" s="3">
        <v>16473.7</v>
      </c>
      <c r="T627" s="3">
        <v>0</v>
      </c>
      <c r="U627" s="3">
        <v>32947.4</v>
      </c>
      <c r="V627" s="3">
        <v>18994.490000000002</v>
      </c>
      <c r="W627" s="3">
        <v>13952.91</v>
      </c>
      <c r="X627" s="3">
        <v>42.35</v>
      </c>
      <c r="Y627" s="3">
        <v>149</v>
      </c>
      <c r="Z627" s="3" t="s">
        <v>47</v>
      </c>
      <c r="AA627" s="3" t="s">
        <v>100</v>
      </c>
      <c r="AB627" s="3" t="s">
        <v>101</v>
      </c>
      <c r="AC627" s="3"/>
    </row>
    <row r="628" spans="1:29" x14ac:dyDescent="0.3">
      <c r="A628" s="2" t="s">
        <v>3770</v>
      </c>
      <c r="B628" s="2" t="s">
        <v>3771</v>
      </c>
      <c r="C628" s="2" t="s">
        <v>1364</v>
      </c>
      <c r="D628" s="2" t="s">
        <v>3772</v>
      </c>
      <c r="E628" s="2" t="s">
        <v>33</v>
      </c>
      <c r="F628" s="2" t="s">
        <v>1926</v>
      </c>
      <c r="G628" s="2" t="s">
        <v>1106</v>
      </c>
      <c r="H628" s="2" t="s">
        <v>3773</v>
      </c>
      <c r="I628" s="2">
        <v>6</v>
      </c>
      <c r="J628" s="2" t="s">
        <v>29</v>
      </c>
      <c r="K628" s="2" t="s">
        <v>834</v>
      </c>
      <c r="L628" s="2" t="s">
        <v>835</v>
      </c>
      <c r="M628" s="2" t="s">
        <v>3774</v>
      </c>
      <c r="N628" s="2" t="s">
        <v>686</v>
      </c>
      <c r="O628" s="2" t="s">
        <v>13</v>
      </c>
      <c r="P628" s="2" t="s">
        <v>228</v>
      </c>
      <c r="Q628" s="2" t="s">
        <v>246</v>
      </c>
      <c r="R628" s="2">
        <v>1</v>
      </c>
      <c r="S628" s="2">
        <v>33558.550000000003</v>
      </c>
      <c r="T628" s="2">
        <v>0</v>
      </c>
      <c r="U628" s="2">
        <v>33558.550000000003</v>
      </c>
      <c r="V628" s="2">
        <v>22574.43</v>
      </c>
      <c r="W628" s="2">
        <v>10984.12</v>
      </c>
      <c r="X628" s="2">
        <v>32.729999999999997</v>
      </c>
      <c r="Y628" s="2">
        <v>199</v>
      </c>
      <c r="Z628" s="2" t="s">
        <v>23</v>
      </c>
      <c r="AA628" s="2" t="s">
        <v>275</v>
      </c>
      <c r="AB628" s="2" t="s">
        <v>101</v>
      </c>
      <c r="AC628" s="2"/>
    </row>
    <row r="629" spans="1:29" x14ac:dyDescent="0.3">
      <c r="A629" s="3" t="s">
        <v>3775</v>
      </c>
      <c r="B629" s="3" t="s">
        <v>2597</v>
      </c>
      <c r="C629" s="3" t="s">
        <v>1426</v>
      </c>
      <c r="D629" s="3" t="s">
        <v>3776</v>
      </c>
      <c r="E629" s="3" t="s">
        <v>33</v>
      </c>
      <c r="F629" s="3" t="s">
        <v>2774</v>
      </c>
      <c r="G629" s="3" t="s">
        <v>2801</v>
      </c>
      <c r="H629" s="3" t="s">
        <v>899</v>
      </c>
      <c r="I629" s="3">
        <v>5</v>
      </c>
      <c r="J629" s="3" t="s">
        <v>22</v>
      </c>
      <c r="K629" s="3" t="s">
        <v>283</v>
      </c>
      <c r="L629" s="3" t="s">
        <v>284</v>
      </c>
      <c r="M629" s="3" t="s">
        <v>3777</v>
      </c>
      <c r="N629" s="3" t="s">
        <v>1188</v>
      </c>
      <c r="O629" s="3" t="s">
        <v>27</v>
      </c>
      <c r="P629" s="3" t="s">
        <v>257</v>
      </c>
      <c r="Q629" s="3" t="s">
        <v>287</v>
      </c>
      <c r="R629" s="3">
        <v>4</v>
      </c>
      <c r="S629" s="3">
        <v>47042.12</v>
      </c>
      <c r="T629" s="3">
        <v>0</v>
      </c>
      <c r="U629" s="3">
        <v>188168.48</v>
      </c>
      <c r="V629" s="3">
        <v>102532.97</v>
      </c>
      <c r="W629" s="3">
        <v>85635.51</v>
      </c>
      <c r="X629" s="3">
        <v>45.51</v>
      </c>
      <c r="Y629" s="3">
        <v>49</v>
      </c>
      <c r="Z629" s="3" t="s">
        <v>43</v>
      </c>
      <c r="AA629" s="3" t="s">
        <v>100</v>
      </c>
      <c r="AB629" s="3" t="s">
        <v>101</v>
      </c>
      <c r="AC629" s="3"/>
    </row>
    <row r="630" spans="1:29" x14ac:dyDescent="0.3">
      <c r="A630" s="2" t="s">
        <v>3778</v>
      </c>
      <c r="B630" s="2" t="s">
        <v>3779</v>
      </c>
      <c r="C630" s="2" t="s">
        <v>521</v>
      </c>
      <c r="D630" s="2" t="s">
        <v>3780</v>
      </c>
      <c r="E630" s="2" t="s">
        <v>26</v>
      </c>
      <c r="F630" s="2" t="s">
        <v>3660</v>
      </c>
      <c r="G630" s="2" t="s">
        <v>3781</v>
      </c>
      <c r="H630" s="2" t="s">
        <v>3782</v>
      </c>
      <c r="I630" s="2">
        <v>2</v>
      </c>
      <c r="J630" s="2" t="s">
        <v>39</v>
      </c>
      <c r="K630" s="2" t="s">
        <v>193</v>
      </c>
      <c r="L630" s="2" t="s">
        <v>193</v>
      </c>
      <c r="M630" s="2" t="s">
        <v>3783</v>
      </c>
      <c r="N630" s="2" t="s">
        <v>274</v>
      </c>
      <c r="O630" s="2" t="s">
        <v>21</v>
      </c>
      <c r="P630" s="2" t="s">
        <v>126</v>
      </c>
      <c r="Q630" s="2" t="s">
        <v>152</v>
      </c>
      <c r="R630" s="2">
        <v>1</v>
      </c>
      <c r="S630" s="2">
        <v>28713.599999999999</v>
      </c>
      <c r="T630" s="2">
        <v>15</v>
      </c>
      <c r="U630" s="2">
        <v>24406.560000000001</v>
      </c>
      <c r="V630" s="2">
        <v>14902.36</v>
      </c>
      <c r="W630" s="2">
        <v>9504.2000000000007</v>
      </c>
      <c r="X630" s="2">
        <v>38.94</v>
      </c>
      <c r="Y630" s="2">
        <v>199</v>
      </c>
      <c r="Z630" s="2" t="s">
        <v>47</v>
      </c>
      <c r="AA630" s="2" t="s">
        <v>100</v>
      </c>
      <c r="AB630" s="2" t="s">
        <v>101</v>
      </c>
      <c r="AC630" s="2">
        <v>5</v>
      </c>
    </row>
    <row r="631" spans="1:29" x14ac:dyDescent="0.3">
      <c r="A631" s="3" t="s">
        <v>3784</v>
      </c>
      <c r="B631" s="3" t="s">
        <v>3785</v>
      </c>
      <c r="C631" s="3" t="s">
        <v>1911</v>
      </c>
      <c r="D631" s="3" t="s">
        <v>3786</v>
      </c>
      <c r="E631" s="3" t="s">
        <v>26</v>
      </c>
      <c r="F631" s="3" t="s">
        <v>3727</v>
      </c>
      <c r="G631" s="3" t="s">
        <v>3068</v>
      </c>
      <c r="H631" s="3" t="s">
        <v>1414</v>
      </c>
      <c r="I631" s="3">
        <v>4</v>
      </c>
      <c r="J631" s="3" t="s">
        <v>29</v>
      </c>
      <c r="K631" s="3" t="s">
        <v>160</v>
      </c>
      <c r="L631" s="3" t="s">
        <v>976</v>
      </c>
      <c r="M631" s="3" t="s">
        <v>3787</v>
      </c>
      <c r="N631" s="3" t="s">
        <v>195</v>
      </c>
      <c r="O631" s="3" t="s">
        <v>21</v>
      </c>
      <c r="P631" s="3" t="s">
        <v>196</v>
      </c>
      <c r="Q631" s="3" t="s">
        <v>114</v>
      </c>
      <c r="R631" s="3">
        <v>4</v>
      </c>
      <c r="S631" s="3">
        <v>21345.67</v>
      </c>
      <c r="T631" s="3">
        <v>0</v>
      </c>
      <c r="U631" s="3">
        <v>85382.68</v>
      </c>
      <c r="V631" s="3">
        <v>56457.25</v>
      </c>
      <c r="W631" s="3">
        <v>28925.43</v>
      </c>
      <c r="X631" s="3">
        <v>33.880000000000003</v>
      </c>
      <c r="Y631" s="3">
        <v>149</v>
      </c>
      <c r="Z631" s="3" t="s">
        <v>47</v>
      </c>
      <c r="AA631" s="3" t="s">
        <v>100</v>
      </c>
      <c r="AB631" s="3" t="s">
        <v>101</v>
      </c>
      <c r="AC631" s="3">
        <v>4</v>
      </c>
    </row>
    <row r="632" spans="1:29" x14ac:dyDescent="0.3">
      <c r="A632" s="2" t="s">
        <v>3788</v>
      </c>
      <c r="B632" s="2" t="s">
        <v>3789</v>
      </c>
      <c r="C632" s="2" t="s">
        <v>545</v>
      </c>
      <c r="D632" s="2" t="s">
        <v>3790</v>
      </c>
      <c r="E632" s="2" t="s">
        <v>33</v>
      </c>
      <c r="F632" s="2" t="s">
        <v>3791</v>
      </c>
      <c r="G632" s="2" t="s">
        <v>3792</v>
      </c>
      <c r="H632" s="2" t="s">
        <v>1531</v>
      </c>
      <c r="I632" s="2">
        <v>4</v>
      </c>
      <c r="J632" s="2" t="s">
        <v>29</v>
      </c>
      <c r="K632" s="2" t="s">
        <v>427</v>
      </c>
      <c r="L632" s="2" t="s">
        <v>1081</v>
      </c>
      <c r="M632" s="2" t="s">
        <v>3793</v>
      </c>
      <c r="N632" s="2" t="s">
        <v>125</v>
      </c>
      <c r="O632" s="2" t="s">
        <v>21</v>
      </c>
      <c r="P632" s="2" t="s">
        <v>126</v>
      </c>
      <c r="Q632" s="2" t="s">
        <v>400</v>
      </c>
      <c r="R632" s="2">
        <v>4</v>
      </c>
      <c r="S632" s="2">
        <v>46406.19</v>
      </c>
      <c r="T632" s="2">
        <v>30</v>
      </c>
      <c r="U632" s="2">
        <v>129937.33</v>
      </c>
      <c r="V632" s="2">
        <v>68598.149999999994</v>
      </c>
      <c r="W632" s="2">
        <v>61339.18</v>
      </c>
      <c r="X632" s="2">
        <v>47.21</v>
      </c>
      <c r="Y632" s="2">
        <v>99</v>
      </c>
      <c r="Z632" s="2" t="s">
        <v>43</v>
      </c>
      <c r="AA632" s="2" t="s">
        <v>100</v>
      </c>
      <c r="AB632" s="2" t="s">
        <v>140</v>
      </c>
      <c r="AC632" s="2">
        <v>5</v>
      </c>
    </row>
    <row r="633" spans="1:29" x14ac:dyDescent="0.3">
      <c r="A633" s="3" t="s">
        <v>3794</v>
      </c>
      <c r="B633" s="3" t="s">
        <v>3795</v>
      </c>
      <c r="C633" s="3" t="s">
        <v>300</v>
      </c>
      <c r="D633" s="3" t="s">
        <v>3796</v>
      </c>
      <c r="E633" s="3" t="s">
        <v>42</v>
      </c>
      <c r="F633" s="3" t="s">
        <v>213</v>
      </c>
      <c r="G633" s="3" t="s">
        <v>3797</v>
      </c>
      <c r="H633" s="3" t="s">
        <v>907</v>
      </c>
      <c r="I633" s="3">
        <v>8</v>
      </c>
      <c r="J633" s="3" t="s">
        <v>22</v>
      </c>
      <c r="K633" s="3" t="s">
        <v>122</v>
      </c>
      <c r="L633" s="3" t="s">
        <v>812</v>
      </c>
      <c r="M633" s="3" t="s">
        <v>3798</v>
      </c>
      <c r="N633" s="3" t="s">
        <v>274</v>
      </c>
      <c r="O633" s="3" t="s">
        <v>21</v>
      </c>
      <c r="P633" s="3" t="s">
        <v>126</v>
      </c>
      <c r="Q633" s="3" t="s">
        <v>127</v>
      </c>
      <c r="R633" s="3">
        <v>5</v>
      </c>
      <c r="S633" s="3">
        <v>23996.44</v>
      </c>
      <c r="T633" s="3">
        <v>5</v>
      </c>
      <c r="U633" s="3">
        <v>113983.09</v>
      </c>
      <c r="V633" s="3">
        <v>52795.81</v>
      </c>
      <c r="W633" s="3">
        <v>61187.28</v>
      </c>
      <c r="X633" s="3">
        <v>53.68</v>
      </c>
      <c r="Y633" s="3">
        <v>29</v>
      </c>
      <c r="Z633" s="3" t="s">
        <v>40</v>
      </c>
      <c r="AA633" s="3" t="s">
        <v>100</v>
      </c>
      <c r="AB633" s="3" t="s">
        <v>101</v>
      </c>
      <c r="AC633" s="3">
        <v>1</v>
      </c>
    </row>
    <row r="634" spans="1:29" x14ac:dyDescent="0.3">
      <c r="A634" s="2" t="s">
        <v>3799</v>
      </c>
      <c r="B634" s="2" t="s">
        <v>3800</v>
      </c>
      <c r="C634" s="2" t="s">
        <v>973</v>
      </c>
      <c r="D634" s="2" t="s">
        <v>3801</v>
      </c>
      <c r="E634" s="2" t="s">
        <v>26</v>
      </c>
      <c r="F634" s="2" t="s">
        <v>3630</v>
      </c>
      <c r="G634" s="2" t="s">
        <v>3802</v>
      </c>
      <c r="H634" s="2" t="s">
        <v>3803</v>
      </c>
      <c r="I634" s="2">
        <v>4</v>
      </c>
      <c r="J634" s="2" t="s">
        <v>39</v>
      </c>
      <c r="K634" s="2" t="s">
        <v>193</v>
      </c>
      <c r="L634" s="2" t="s">
        <v>193</v>
      </c>
      <c r="M634" s="2" t="s">
        <v>3804</v>
      </c>
      <c r="N634" s="2" t="s">
        <v>195</v>
      </c>
      <c r="O634" s="2" t="s">
        <v>21</v>
      </c>
      <c r="P634" s="2" t="s">
        <v>196</v>
      </c>
      <c r="Q634" s="2" t="s">
        <v>509</v>
      </c>
      <c r="R634" s="2">
        <v>4</v>
      </c>
      <c r="S634" s="2">
        <v>44535.74</v>
      </c>
      <c r="T634" s="2">
        <v>10</v>
      </c>
      <c r="U634" s="2">
        <v>160328.66</v>
      </c>
      <c r="V634" s="2">
        <v>95601.49</v>
      </c>
      <c r="W634" s="2">
        <v>64727.17</v>
      </c>
      <c r="X634" s="2">
        <v>40.369999999999997</v>
      </c>
      <c r="Y634" s="2">
        <v>49</v>
      </c>
      <c r="Z634" s="2" t="s">
        <v>40</v>
      </c>
      <c r="AA634" s="2" t="s">
        <v>100</v>
      </c>
      <c r="AB634" s="2" t="s">
        <v>101</v>
      </c>
      <c r="AC634" s="2">
        <v>5</v>
      </c>
    </row>
    <row r="635" spans="1:29" x14ac:dyDescent="0.3">
      <c r="A635" s="3" t="s">
        <v>3805</v>
      </c>
      <c r="B635" s="3" t="s">
        <v>3806</v>
      </c>
      <c r="C635" s="3" t="s">
        <v>422</v>
      </c>
      <c r="D635" s="3" t="s">
        <v>3807</v>
      </c>
      <c r="E635" s="3" t="s">
        <v>42</v>
      </c>
      <c r="F635" s="3" t="s">
        <v>886</v>
      </c>
      <c r="G635" s="3" t="s">
        <v>1428</v>
      </c>
      <c r="H635" s="3" t="s">
        <v>3133</v>
      </c>
      <c r="I635" s="3">
        <v>3</v>
      </c>
      <c r="J635" s="3" t="s">
        <v>14</v>
      </c>
      <c r="K635" s="3" t="s">
        <v>95</v>
      </c>
      <c r="L635" s="3" t="s">
        <v>95</v>
      </c>
      <c r="M635" s="3" t="s">
        <v>3808</v>
      </c>
      <c r="N635" s="3" t="s">
        <v>1603</v>
      </c>
      <c r="O635" s="3" t="s">
        <v>19</v>
      </c>
      <c r="P635" s="3" t="s">
        <v>365</v>
      </c>
      <c r="Q635" s="3" t="s">
        <v>466</v>
      </c>
      <c r="R635" s="3">
        <v>2</v>
      </c>
      <c r="S635" s="3">
        <v>33868.480000000003</v>
      </c>
      <c r="T635" s="3">
        <v>10</v>
      </c>
      <c r="U635" s="3">
        <v>60963.26</v>
      </c>
      <c r="V635" s="3">
        <v>39768.67</v>
      </c>
      <c r="W635" s="3">
        <v>21194.59</v>
      </c>
      <c r="X635" s="3">
        <v>34.770000000000003</v>
      </c>
      <c r="Y635" s="3">
        <v>149</v>
      </c>
      <c r="Z635" s="3" t="s">
        <v>48</v>
      </c>
      <c r="AA635" s="3" t="s">
        <v>100</v>
      </c>
      <c r="AB635" s="3" t="s">
        <v>101</v>
      </c>
      <c r="AC635" s="3">
        <v>4</v>
      </c>
    </row>
    <row r="636" spans="1:29" x14ac:dyDescent="0.3">
      <c r="A636" s="2" t="s">
        <v>3809</v>
      </c>
      <c r="B636" s="2" t="s">
        <v>3810</v>
      </c>
      <c r="C636" s="2" t="s">
        <v>586</v>
      </c>
      <c r="D636" s="2" t="s">
        <v>3811</v>
      </c>
      <c r="E636" s="2" t="s">
        <v>18</v>
      </c>
      <c r="F636" s="2" t="s">
        <v>984</v>
      </c>
      <c r="G636" s="2" t="s">
        <v>2943</v>
      </c>
      <c r="H636" s="2" t="s">
        <v>3554</v>
      </c>
      <c r="I636" s="2">
        <v>4</v>
      </c>
      <c r="J636" s="2" t="s">
        <v>14</v>
      </c>
      <c r="K636" s="2" t="s">
        <v>171</v>
      </c>
      <c r="L636" s="2" t="s">
        <v>172</v>
      </c>
      <c r="M636" s="2" t="s">
        <v>3812</v>
      </c>
      <c r="N636" s="2" t="s">
        <v>623</v>
      </c>
      <c r="O636" s="2" t="s">
        <v>19</v>
      </c>
      <c r="P636" s="2" t="s">
        <v>297</v>
      </c>
      <c r="Q636" s="2" t="s">
        <v>287</v>
      </c>
      <c r="R636" s="2">
        <v>1</v>
      </c>
      <c r="S636" s="2">
        <v>39566.730000000003</v>
      </c>
      <c r="T636" s="2">
        <v>20</v>
      </c>
      <c r="U636" s="2">
        <v>31653.38</v>
      </c>
      <c r="V636" s="2">
        <v>19110.169999999998</v>
      </c>
      <c r="W636" s="2">
        <v>12543.21</v>
      </c>
      <c r="X636" s="2">
        <v>39.630000000000003</v>
      </c>
      <c r="Y636" s="2">
        <v>0</v>
      </c>
      <c r="Z636" s="2" t="s">
        <v>47</v>
      </c>
      <c r="AA636" s="2" t="s">
        <v>100</v>
      </c>
      <c r="AB636" s="2" t="s">
        <v>101</v>
      </c>
      <c r="AC636" s="2">
        <v>2</v>
      </c>
    </row>
    <row r="637" spans="1:29" x14ac:dyDescent="0.3">
      <c r="A637" s="3" t="s">
        <v>3813</v>
      </c>
      <c r="B637" s="3" t="s">
        <v>3814</v>
      </c>
      <c r="C637" s="3" t="s">
        <v>1737</v>
      </c>
      <c r="D637" s="3" t="s">
        <v>3815</v>
      </c>
      <c r="E637" s="3" t="s">
        <v>33</v>
      </c>
      <c r="F637" s="3" t="s">
        <v>969</v>
      </c>
      <c r="G637" s="3" t="s">
        <v>3816</v>
      </c>
      <c r="H637" s="3" t="s">
        <v>491</v>
      </c>
      <c r="I637" s="3">
        <v>7</v>
      </c>
      <c r="J637" s="3" t="s">
        <v>29</v>
      </c>
      <c r="K637" s="3" t="s">
        <v>148</v>
      </c>
      <c r="L637" s="3" t="s">
        <v>148</v>
      </c>
      <c r="M637" s="3" t="s">
        <v>3817</v>
      </c>
      <c r="N637" s="3" t="s">
        <v>296</v>
      </c>
      <c r="O637" s="3" t="s">
        <v>19</v>
      </c>
      <c r="P637" s="3" t="s">
        <v>297</v>
      </c>
      <c r="Q637" s="3" t="s">
        <v>287</v>
      </c>
      <c r="R637" s="3">
        <v>2</v>
      </c>
      <c r="S637" s="3">
        <v>18032</v>
      </c>
      <c r="T637" s="3">
        <v>15</v>
      </c>
      <c r="U637" s="3">
        <v>30654.400000000001</v>
      </c>
      <c r="V637" s="3">
        <v>18463.27</v>
      </c>
      <c r="W637" s="3">
        <v>12191.13</v>
      </c>
      <c r="X637" s="3">
        <v>39.770000000000003</v>
      </c>
      <c r="Y637" s="3">
        <v>149</v>
      </c>
      <c r="Z637" s="3" t="s">
        <v>43</v>
      </c>
      <c r="AA637" s="3" t="s">
        <v>100</v>
      </c>
      <c r="AB637" s="3" t="s">
        <v>101</v>
      </c>
      <c r="AC637" s="3">
        <v>4</v>
      </c>
    </row>
    <row r="638" spans="1:29" x14ac:dyDescent="0.3">
      <c r="A638" s="2" t="s">
        <v>3818</v>
      </c>
      <c r="B638" s="2" t="s">
        <v>3819</v>
      </c>
      <c r="C638" s="2" t="s">
        <v>249</v>
      </c>
      <c r="D638" s="2" t="s">
        <v>3820</v>
      </c>
      <c r="E638" s="2" t="s">
        <v>26</v>
      </c>
      <c r="F638" s="2" t="s">
        <v>1703</v>
      </c>
      <c r="G638" s="2" t="s">
        <v>3821</v>
      </c>
      <c r="H638" s="2" t="s">
        <v>795</v>
      </c>
      <c r="I638" s="2">
        <v>6</v>
      </c>
      <c r="J638" s="2" t="s">
        <v>39</v>
      </c>
      <c r="K638" s="2" t="s">
        <v>225</v>
      </c>
      <c r="L638" s="2" t="s">
        <v>225</v>
      </c>
      <c r="M638" s="2" t="s">
        <v>3318</v>
      </c>
      <c r="N638" s="2" t="s">
        <v>924</v>
      </c>
      <c r="O638" s="2" t="s">
        <v>13</v>
      </c>
      <c r="P638" s="2" t="s">
        <v>228</v>
      </c>
      <c r="Q638" s="2" t="s">
        <v>287</v>
      </c>
      <c r="R638" s="2">
        <v>5</v>
      </c>
      <c r="S638" s="2">
        <v>22287.74</v>
      </c>
      <c r="T638" s="2">
        <v>10</v>
      </c>
      <c r="U638" s="2">
        <v>100294.83</v>
      </c>
      <c r="V638" s="2">
        <v>55115.75</v>
      </c>
      <c r="W638" s="2">
        <v>45179.08</v>
      </c>
      <c r="X638" s="2">
        <v>45.05</v>
      </c>
      <c r="Y638" s="2">
        <v>49</v>
      </c>
      <c r="Z638" s="2" t="s">
        <v>47</v>
      </c>
      <c r="AA638" s="2" t="s">
        <v>672</v>
      </c>
      <c r="AB638" s="2" t="s">
        <v>101</v>
      </c>
      <c r="AC638" s="2"/>
    </row>
    <row r="639" spans="1:29" x14ac:dyDescent="0.3">
      <c r="A639" s="3" t="s">
        <v>3822</v>
      </c>
      <c r="B639" s="3" t="s">
        <v>3823</v>
      </c>
      <c r="C639" s="3" t="s">
        <v>1371</v>
      </c>
      <c r="D639" s="3" t="s">
        <v>3824</v>
      </c>
      <c r="E639" s="3" t="s">
        <v>33</v>
      </c>
      <c r="F639" s="3" t="s">
        <v>3825</v>
      </c>
      <c r="G639" s="3" t="s">
        <v>2370</v>
      </c>
      <c r="H639" s="3" t="s">
        <v>3369</v>
      </c>
      <c r="I639" s="3">
        <v>8</v>
      </c>
      <c r="J639" s="3" t="s">
        <v>39</v>
      </c>
      <c r="K639" s="3" t="s">
        <v>314</v>
      </c>
      <c r="L639" s="3" t="s">
        <v>314</v>
      </c>
      <c r="M639" s="3" t="s">
        <v>3826</v>
      </c>
      <c r="N639" s="3" t="s">
        <v>788</v>
      </c>
      <c r="O639" s="3" t="s">
        <v>27</v>
      </c>
      <c r="P639" s="3" t="s">
        <v>113</v>
      </c>
      <c r="Q639" s="3" t="s">
        <v>466</v>
      </c>
      <c r="R639" s="3">
        <v>1</v>
      </c>
      <c r="S639" s="3">
        <v>3959.93</v>
      </c>
      <c r="T639" s="3">
        <v>5</v>
      </c>
      <c r="U639" s="3">
        <v>3761.93</v>
      </c>
      <c r="V639" s="3">
        <v>2282.9299999999998</v>
      </c>
      <c r="W639" s="3">
        <v>1479</v>
      </c>
      <c r="X639" s="3">
        <v>39.31</v>
      </c>
      <c r="Y639" s="3">
        <v>29</v>
      </c>
      <c r="Z639" s="3" t="s">
        <v>48</v>
      </c>
      <c r="AA639" s="3" t="s">
        <v>275</v>
      </c>
      <c r="AB639" s="3" t="s">
        <v>101</v>
      </c>
      <c r="AC639" s="3"/>
    </row>
    <row r="640" spans="1:29" x14ac:dyDescent="0.3">
      <c r="A640" s="2" t="s">
        <v>3827</v>
      </c>
      <c r="B640" s="2" t="s">
        <v>3828</v>
      </c>
      <c r="C640" s="2" t="s">
        <v>1253</v>
      </c>
      <c r="D640" s="2" t="s">
        <v>3829</v>
      </c>
      <c r="E640" s="2" t="s">
        <v>33</v>
      </c>
      <c r="F640" s="2" t="s">
        <v>321</v>
      </c>
      <c r="G640" s="2" t="s">
        <v>322</v>
      </c>
      <c r="H640" s="2" t="s">
        <v>1235</v>
      </c>
      <c r="I640" s="2">
        <v>5</v>
      </c>
      <c r="J640" s="2" t="s">
        <v>14</v>
      </c>
      <c r="K640" s="2" t="s">
        <v>183</v>
      </c>
      <c r="L640" s="2" t="s">
        <v>183</v>
      </c>
      <c r="M640" s="2" t="s">
        <v>3830</v>
      </c>
      <c r="N640" s="2" t="s">
        <v>418</v>
      </c>
      <c r="O640" s="2" t="s">
        <v>13</v>
      </c>
      <c r="P640" s="2" t="s">
        <v>419</v>
      </c>
      <c r="Q640" s="2" t="s">
        <v>355</v>
      </c>
      <c r="R640" s="2">
        <v>4</v>
      </c>
      <c r="S640" s="2">
        <v>14462.5</v>
      </c>
      <c r="T640" s="2">
        <v>20</v>
      </c>
      <c r="U640" s="2">
        <v>46280</v>
      </c>
      <c r="V640" s="2">
        <v>26916.19</v>
      </c>
      <c r="W640" s="2">
        <v>19363.810000000001</v>
      </c>
      <c r="X640" s="2">
        <v>41.84</v>
      </c>
      <c r="Y640" s="2">
        <v>199</v>
      </c>
      <c r="Z640" s="2" t="s">
        <v>30</v>
      </c>
      <c r="AA640" s="2" t="s">
        <v>275</v>
      </c>
      <c r="AB640" s="2" t="s">
        <v>101</v>
      </c>
      <c r="AC640" s="2"/>
    </row>
    <row r="641" spans="1:29" x14ac:dyDescent="0.3">
      <c r="A641" s="3" t="s">
        <v>3831</v>
      </c>
      <c r="B641" s="3" t="s">
        <v>3832</v>
      </c>
      <c r="C641" s="3" t="s">
        <v>545</v>
      </c>
      <c r="D641" s="3" t="s">
        <v>3833</v>
      </c>
      <c r="E641" s="3" t="s">
        <v>26</v>
      </c>
      <c r="F641" s="3" t="s">
        <v>3834</v>
      </c>
      <c r="G641" s="3" t="s">
        <v>2222</v>
      </c>
      <c r="H641" s="3" t="s">
        <v>3689</v>
      </c>
      <c r="I641" s="3">
        <v>4</v>
      </c>
      <c r="J641" s="3" t="s">
        <v>29</v>
      </c>
      <c r="K641" s="3" t="s">
        <v>334</v>
      </c>
      <c r="L641" s="3" t="s">
        <v>614</v>
      </c>
      <c r="M641" s="3" t="s">
        <v>3835</v>
      </c>
      <c r="N641" s="3" t="s">
        <v>1611</v>
      </c>
      <c r="O641" s="3" t="s">
        <v>19</v>
      </c>
      <c r="P641" s="3" t="s">
        <v>365</v>
      </c>
      <c r="Q641" s="3" t="s">
        <v>218</v>
      </c>
      <c r="R641" s="3">
        <v>3</v>
      </c>
      <c r="S641" s="3">
        <v>8685.32</v>
      </c>
      <c r="T641" s="3">
        <v>0</v>
      </c>
      <c r="U641" s="3">
        <v>26055.96</v>
      </c>
      <c r="V641" s="3">
        <v>14017.92</v>
      </c>
      <c r="W641" s="3">
        <v>12038.04</v>
      </c>
      <c r="X641" s="3">
        <v>46.2</v>
      </c>
      <c r="Y641" s="3">
        <v>99</v>
      </c>
      <c r="Z641" s="3" t="s">
        <v>43</v>
      </c>
      <c r="AA641" s="3" t="s">
        <v>186</v>
      </c>
      <c r="AB641" s="3" t="s">
        <v>101</v>
      </c>
      <c r="AC641" s="3"/>
    </row>
    <row r="642" spans="1:29" x14ac:dyDescent="0.3">
      <c r="A642" s="2" t="s">
        <v>3836</v>
      </c>
      <c r="B642" s="2" t="s">
        <v>3837</v>
      </c>
      <c r="C642" s="2" t="s">
        <v>3250</v>
      </c>
      <c r="D642" s="2" t="s">
        <v>3838</v>
      </c>
      <c r="E642" s="2" t="s">
        <v>33</v>
      </c>
      <c r="F642" s="2" t="s">
        <v>147</v>
      </c>
      <c r="G642" s="2" t="s">
        <v>3839</v>
      </c>
      <c r="H642" s="2" t="s">
        <v>2612</v>
      </c>
      <c r="I642" s="2">
        <v>8</v>
      </c>
      <c r="J642" s="2" t="s">
        <v>14</v>
      </c>
      <c r="K642" s="2" t="s">
        <v>712</v>
      </c>
      <c r="L642" s="2" t="s">
        <v>712</v>
      </c>
      <c r="M642" s="2" t="s">
        <v>3840</v>
      </c>
      <c r="N642" s="2" t="s">
        <v>418</v>
      </c>
      <c r="O642" s="2" t="s">
        <v>13</v>
      </c>
      <c r="P642" s="2" t="s">
        <v>419</v>
      </c>
      <c r="Q642" s="2" t="s">
        <v>246</v>
      </c>
      <c r="R642" s="2">
        <v>1</v>
      </c>
      <c r="S642" s="2">
        <v>908.4</v>
      </c>
      <c r="T642" s="2">
        <v>0</v>
      </c>
      <c r="U642" s="2">
        <v>908.4</v>
      </c>
      <c r="V642" s="2">
        <v>559.67999999999995</v>
      </c>
      <c r="W642" s="2">
        <v>348.72</v>
      </c>
      <c r="X642" s="2">
        <v>38.39</v>
      </c>
      <c r="Y642" s="2">
        <v>0</v>
      </c>
      <c r="Z642" s="2" t="s">
        <v>23</v>
      </c>
      <c r="AA642" s="2" t="s">
        <v>100</v>
      </c>
      <c r="AB642" s="2" t="s">
        <v>101</v>
      </c>
      <c r="AC642" s="2">
        <v>1</v>
      </c>
    </row>
    <row r="643" spans="1:29" x14ac:dyDescent="0.3">
      <c r="A643" s="3" t="s">
        <v>3841</v>
      </c>
      <c r="B643" s="3" t="s">
        <v>3842</v>
      </c>
      <c r="C643" s="3" t="s">
        <v>1782</v>
      </c>
      <c r="D643" s="3" t="s">
        <v>3843</v>
      </c>
      <c r="E643" s="3" t="s">
        <v>26</v>
      </c>
      <c r="F643" s="3" t="s">
        <v>574</v>
      </c>
      <c r="G643" s="3" t="s">
        <v>3844</v>
      </c>
      <c r="H643" s="3" t="s">
        <v>2216</v>
      </c>
      <c r="I643" s="3">
        <v>8</v>
      </c>
      <c r="J643" s="3" t="s">
        <v>22</v>
      </c>
      <c r="K643" s="3" t="s">
        <v>254</v>
      </c>
      <c r="L643" s="3" t="s">
        <v>254</v>
      </c>
      <c r="M643" s="3" t="s">
        <v>3845</v>
      </c>
      <c r="N643" s="3" t="s">
        <v>533</v>
      </c>
      <c r="O643" s="3" t="s">
        <v>19</v>
      </c>
      <c r="P643" s="3" t="s">
        <v>297</v>
      </c>
      <c r="Q643" s="3" t="s">
        <v>207</v>
      </c>
      <c r="R643" s="3">
        <v>3</v>
      </c>
      <c r="S643" s="3">
        <v>45565.55</v>
      </c>
      <c r="T643" s="3">
        <v>0</v>
      </c>
      <c r="U643" s="3">
        <v>136696.65</v>
      </c>
      <c r="V643" s="3">
        <v>70458.83</v>
      </c>
      <c r="W643" s="3">
        <v>66237.820000000007</v>
      </c>
      <c r="X643" s="3">
        <v>48.46</v>
      </c>
      <c r="Y643" s="3">
        <v>29</v>
      </c>
      <c r="Z643" s="3" t="s">
        <v>47</v>
      </c>
      <c r="AA643" s="3" t="s">
        <v>100</v>
      </c>
      <c r="AB643" s="3" t="s">
        <v>101</v>
      </c>
      <c r="AC643" s="3">
        <v>2</v>
      </c>
    </row>
    <row r="644" spans="1:29" x14ac:dyDescent="0.3">
      <c r="A644" s="2" t="s">
        <v>3846</v>
      </c>
      <c r="B644" s="2" t="s">
        <v>3847</v>
      </c>
      <c r="C644" s="2" t="s">
        <v>3848</v>
      </c>
      <c r="D644" s="2" t="s">
        <v>3849</v>
      </c>
      <c r="E644" s="2" t="s">
        <v>26</v>
      </c>
      <c r="F644" s="2" t="s">
        <v>312</v>
      </c>
      <c r="G644" s="2" t="s">
        <v>3850</v>
      </c>
      <c r="H644" s="2" t="s">
        <v>436</v>
      </c>
      <c r="I644" s="2">
        <v>8</v>
      </c>
      <c r="J644" s="2" t="s">
        <v>22</v>
      </c>
      <c r="K644" s="2" t="s">
        <v>738</v>
      </c>
      <c r="L644" s="2" t="s">
        <v>738</v>
      </c>
      <c r="M644" s="2" t="s">
        <v>3851</v>
      </c>
      <c r="N644" s="2" t="s">
        <v>750</v>
      </c>
      <c r="O644" s="2" t="s">
        <v>13</v>
      </c>
      <c r="P644" s="2" t="s">
        <v>419</v>
      </c>
      <c r="Q644" s="2" t="s">
        <v>127</v>
      </c>
      <c r="R644" s="2">
        <v>5</v>
      </c>
      <c r="S644" s="2">
        <v>19668.63</v>
      </c>
      <c r="T644" s="2">
        <v>20</v>
      </c>
      <c r="U644" s="2">
        <v>78674.52</v>
      </c>
      <c r="V644" s="2">
        <v>52355.38</v>
      </c>
      <c r="W644" s="2">
        <v>26319.14</v>
      </c>
      <c r="X644" s="2">
        <v>33.450000000000003</v>
      </c>
      <c r="Y644" s="2">
        <v>99</v>
      </c>
      <c r="Z644" s="2" t="s">
        <v>15</v>
      </c>
      <c r="AA644" s="2" t="s">
        <v>672</v>
      </c>
      <c r="AB644" s="2" t="s">
        <v>101</v>
      </c>
      <c r="AC644" s="2"/>
    </row>
    <row r="645" spans="1:29" x14ac:dyDescent="0.3">
      <c r="A645" s="3" t="s">
        <v>3852</v>
      </c>
      <c r="B645" s="3" t="s">
        <v>3853</v>
      </c>
      <c r="C645" s="3" t="s">
        <v>278</v>
      </c>
      <c r="D645" s="3" t="s">
        <v>3854</v>
      </c>
      <c r="E645" s="3" t="s">
        <v>33</v>
      </c>
      <c r="F645" s="3" t="s">
        <v>3209</v>
      </c>
      <c r="G645" s="3" t="s">
        <v>3735</v>
      </c>
      <c r="H645" s="3" t="s">
        <v>1248</v>
      </c>
      <c r="I645" s="3">
        <v>3</v>
      </c>
      <c r="J645" s="3" t="s">
        <v>14</v>
      </c>
      <c r="K645" s="3" t="s">
        <v>95</v>
      </c>
      <c r="L645" s="3" t="s">
        <v>95</v>
      </c>
      <c r="M645" s="3" t="s">
        <v>3855</v>
      </c>
      <c r="N645" s="3" t="s">
        <v>1332</v>
      </c>
      <c r="O645" s="3" t="s">
        <v>19</v>
      </c>
      <c r="P645" s="3" t="s">
        <v>447</v>
      </c>
      <c r="Q645" s="3" t="s">
        <v>138</v>
      </c>
      <c r="R645" s="3">
        <v>3</v>
      </c>
      <c r="S645" s="3">
        <v>17798.79</v>
      </c>
      <c r="T645" s="3">
        <v>10</v>
      </c>
      <c r="U645" s="3">
        <v>48056.73</v>
      </c>
      <c r="V645" s="3">
        <v>26605.66</v>
      </c>
      <c r="W645" s="3">
        <v>21451.07</v>
      </c>
      <c r="X645" s="3">
        <v>44.64</v>
      </c>
      <c r="Y645" s="3">
        <v>199</v>
      </c>
      <c r="Z645" s="3" t="s">
        <v>48</v>
      </c>
      <c r="AA645" s="3" t="s">
        <v>186</v>
      </c>
      <c r="AB645" s="3" t="s">
        <v>101</v>
      </c>
      <c r="AC645" s="3"/>
    </row>
    <row r="646" spans="1:29" x14ac:dyDescent="0.3">
      <c r="A646" s="2" t="s">
        <v>3856</v>
      </c>
      <c r="B646" s="2" t="s">
        <v>3733</v>
      </c>
      <c r="C646" s="2" t="s">
        <v>1183</v>
      </c>
      <c r="D646" s="2" t="s">
        <v>3857</v>
      </c>
      <c r="E646" s="2" t="s">
        <v>42</v>
      </c>
      <c r="F646" s="2" t="s">
        <v>719</v>
      </c>
      <c r="G646" s="2" t="s">
        <v>1186</v>
      </c>
      <c r="H646" s="2" t="s">
        <v>1212</v>
      </c>
      <c r="I646" s="2">
        <v>7</v>
      </c>
      <c r="J646" s="2" t="s">
        <v>39</v>
      </c>
      <c r="K646" s="2" t="s">
        <v>324</v>
      </c>
      <c r="L646" s="2" t="s">
        <v>1422</v>
      </c>
      <c r="M646" s="2" t="s">
        <v>3858</v>
      </c>
      <c r="N646" s="2" t="s">
        <v>446</v>
      </c>
      <c r="O646" s="2" t="s">
        <v>19</v>
      </c>
      <c r="P646" s="2" t="s">
        <v>447</v>
      </c>
      <c r="Q646" s="2" t="s">
        <v>466</v>
      </c>
      <c r="R646" s="2">
        <v>3</v>
      </c>
      <c r="S646" s="2">
        <v>14699.47</v>
      </c>
      <c r="T646" s="2">
        <v>10</v>
      </c>
      <c r="U646" s="2">
        <v>39688.57</v>
      </c>
      <c r="V646" s="2">
        <v>19225.599999999999</v>
      </c>
      <c r="W646" s="2">
        <v>20462.97</v>
      </c>
      <c r="X646" s="2">
        <v>51.56</v>
      </c>
      <c r="Y646" s="2">
        <v>149</v>
      </c>
      <c r="Z646" s="2" t="s">
        <v>48</v>
      </c>
      <c r="AA646" s="2" t="s">
        <v>186</v>
      </c>
      <c r="AB646" s="2" t="s">
        <v>101</v>
      </c>
      <c r="AC646" s="2"/>
    </row>
    <row r="647" spans="1:29" x14ac:dyDescent="0.3">
      <c r="A647" s="3" t="s">
        <v>3859</v>
      </c>
      <c r="B647" s="3" t="s">
        <v>3860</v>
      </c>
      <c r="C647" s="3" t="s">
        <v>143</v>
      </c>
      <c r="D647" s="3" t="s">
        <v>3861</v>
      </c>
      <c r="E647" s="3" t="s">
        <v>18</v>
      </c>
      <c r="F647" s="3" t="s">
        <v>3133</v>
      </c>
      <c r="G647" s="3" t="s">
        <v>1429</v>
      </c>
      <c r="H647" s="3" t="s">
        <v>893</v>
      </c>
      <c r="I647" s="3">
        <v>6</v>
      </c>
      <c r="J647" s="3" t="s">
        <v>29</v>
      </c>
      <c r="K647" s="3" t="s">
        <v>334</v>
      </c>
      <c r="L647" s="3" t="s">
        <v>614</v>
      </c>
      <c r="M647" s="3" t="s">
        <v>3862</v>
      </c>
      <c r="N647" s="3" t="s">
        <v>185</v>
      </c>
      <c r="O647" s="3" t="s">
        <v>28</v>
      </c>
      <c r="P647" s="3" t="s">
        <v>151</v>
      </c>
      <c r="Q647" s="3" t="s">
        <v>114</v>
      </c>
      <c r="R647" s="3">
        <v>1</v>
      </c>
      <c r="S647" s="3">
        <v>30005.38</v>
      </c>
      <c r="T647" s="3">
        <v>10</v>
      </c>
      <c r="U647" s="3">
        <v>27004.84</v>
      </c>
      <c r="V647" s="3">
        <v>12236.24</v>
      </c>
      <c r="W647" s="3">
        <v>14768.6</v>
      </c>
      <c r="X647" s="3">
        <v>54.69</v>
      </c>
      <c r="Y647" s="3">
        <v>199</v>
      </c>
      <c r="Z647" s="3" t="s">
        <v>43</v>
      </c>
      <c r="AA647" s="3" t="s">
        <v>139</v>
      </c>
      <c r="AB647" s="3" t="s">
        <v>140</v>
      </c>
      <c r="AC647" s="3"/>
    </row>
    <row r="648" spans="1:29" x14ac:dyDescent="0.3">
      <c r="A648" s="2" t="s">
        <v>3863</v>
      </c>
      <c r="B648" s="2" t="s">
        <v>3864</v>
      </c>
      <c r="C648" s="2" t="s">
        <v>3865</v>
      </c>
      <c r="D648" s="2" t="s">
        <v>3866</v>
      </c>
      <c r="E648" s="2" t="s">
        <v>42</v>
      </c>
      <c r="F648" s="2" t="s">
        <v>1275</v>
      </c>
      <c r="G648" s="2" t="s">
        <v>1276</v>
      </c>
      <c r="H648" s="2" t="s">
        <v>1732</v>
      </c>
      <c r="I648" s="2">
        <v>3</v>
      </c>
      <c r="J648" s="2" t="s">
        <v>22</v>
      </c>
      <c r="K648" s="2" t="s">
        <v>122</v>
      </c>
      <c r="L648" s="2" t="s">
        <v>123</v>
      </c>
      <c r="M648" s="2" t="s">
        <v>3867</v>
      </c>
      <c r="N648" s="2" t="s">
        <v>1051</v>
      </c>
      <c r="O648" s="2" t="s">
        <v>28</v>
      </c>
      <c r="P648" s="2" t="s">
        <v>151</v>
      </c>
      <c r="Q648" s="2" t="s">
        <v>246</v>
      </c>
      <c r="R648" s="2">
        <v>1</v>
      </c>
      <c r="S648" s="2">
        <v>8707.61</v>
      </c>
      <c r="T648" s="2">
        <v>25</v>
      </c>
      <c r="U648" s="2">
        <v>6530.71</v>
      </c>
      <c r="V648" s="2">
        <v>3075.1</v>
      </c>
      <c r="W648" s="2">
        <v>3455.61</v>
      </c>
      <c r="X648" s="2">
        <v>52.91</v>
      </c>
      <c r="Y648" s="2">
        <v>199</v>
      </c>
      <c r="Z648" s="2" t="s">
        <v>23</v>
      </c>
      <c r="AA648" s="2" t="s">
        <v>100</v>
      </c>
      <c r="AB648" s="2" t="s">
        <v>101</v>
      </c>
      <c r="AC648" s="2">
        <v>2</v>
      </c>
    </row>
    <row r="649" spans="1:29" x14ac:dyDescent="0.3">
      <c r="A649" s="3" t="s">
        <v>3868</v>
      </c>
      <c r="B649" s="3" t="s">
        <v>3869</v>
      </c>
      <c r="C649" s="3" t="s">
        <v>1822</v>
      </c>
      <c r="D649" s="3" t="s">
        <v>3870</v>
      </c>
      <c r="E649" s="3" t="s">
        <v>18</v>
      </c>
      <c r="F649" s="3" t="s">
        <v>3871</v>
      </c>
      <c r="G649" s="3" t="s">
        <v>1995</v>
      </c>
      <c r="H649" s="3" t="s">
        <v>3872</v>
      </c>
      <c r="I649" s="3">
        <v>5</v>
      </c>
      <c r="J649" s="3" t="s">
        <v>39</v>
      </c>
      <c r="K649" s="3" t="s">
        <v>324</v>
      </c>
      <c r="L649" s="3" t="s">
        <v>1028</v>
      </c>
      <c r="M649" s="3" t="s">
        <v>749</v>
      </c>
      <c r="N649" s="3" t="s">
        <v>533</v>
      </c>
      <c r="O649" s="3" t="s">
        <v>19</v>
      </c>
      <c r="P649" s="3" t="s">
        <v>297</v>
      </c>
      <c r="Q649" s="3" t="s">
        <v>218</v>
      </c>
      <c r="R649" s="3">
        <v>4</v>
      </c>
      <c r="S649" s="3">
        <v>1761.31</v>
      </c>
      <c r="T649" s="3">
        <v>20</v>
      </c>
      <c r="U649" s="3">
        <v>5636.19</v>
      </c>
      <c r="V649" s="3">
        <v>3628.55</v>
      </c>
      <c r="W649" s="3">
        <v>2007.64</v>
      </c>
      <c r="X649" s="3">
        <v>35.619999999999997</v>
      </c>
      <c r="Y649" s="3">
        <v>149</v>
      </c>
      <c r="Z649" s="3" t="s">
        <v>47</v>
      </c>
      <c r="AA649" s="3" t="s">
        <v>100</v>
      </c>
      <c r="AB649" s="3" t="s">
        <v>101</v>
      </c>
      <c r="AC649" s="3">
        <v>4</v>
      </c>
    </row>
    <row r="650" spans="1:29" x14ac:dyDescent="0.3">
      <c r="A650" s="2" t="s">
        <v>3873</v>
      </c>
      <c r="B650" s="2" t="s">
        <v>3874</v>
      </c>
      <c r="C650" s="2" t="s">
        <v>1226</v>
      </c>
      <c r="D650" s="2" t="s">
        <v>3875</v>
      </c>
      <c r="E650" s="2" t="s">
        <v>42</v>
      </c>
      <c r="F650" s="2" t="s">
        <v>1995</v>
      </c>
      <c r="G650" s="2" t="s">
        <v>3876</v>
      </c>
      <c r="H650" s="2" t="s">
        <v>3877</v>
      </c>
      <c r="I650" s="2">
        <v>4</v>
      </c>
      <c r="J650" s="2" t="s">
        <v>29</v>
      </c>
      <c r="K650" s="2" t="s">
        <v>334</v>
      </c>
      <c r="L650" s="2" t="s">
        <v>1073</v>
      </c>
      <c r="M650" s="2" t="s">
        <v>3878</v>
      </c>
      <c r="N650" s="2" t="s">
        <v>174</v>
      </c>
      <c r="O650" s="2" t="s">
        <v>27</v>
      </c>
      <c r="P650" s="2" t="s">
        <v>175</v>
      </c>
      <c r="Q650" s="2" t="s">
        <v>287</v>
      </c>
      <c r="R650" s="2">
        <v>5</v>
      </c>
      <c r="S650" s="2">
        <v>12690.28</v>
      </c>
      <c r="T650" s="2">
        <v>15</v>
      </c>
      <c r="U650" s="2">
        <v>53933.69</v>
      </c>
      <c r="V650" s="2">
        <v>27057.79</v>
      </c>
      <c r="W650" s="2">
        <v>26875.9</v>
      </c>
      <c r="X650" s="2">
        <v>49.83</v>
      </c>
      <c r="Y650" s="2">
        <v>149</v>
      </c>
      <c r="Z650" s="2" t="s">
        <v>48</v>
      </c>
      <c r="AA650" s="2" t="s">
        <v>100</v>
      </c>
      <c r="AB650" s="2" t="s">
        <v>101</v>
      </c>
      <c r="AC650" s="2"/>
    </row>
    <row r="651" spans="1:29" x14ac:dyDescent="0.3">
      <c r="A651" s="3" t="s">
        <v>3879</v>
      </c>
      <c r="B651" s="3" t="s">
        <v>1491</v>
      </c>
      <c r="C651" s="3" t="s">
        <v>651</v>
      </c>
      <c r="D651" s="3" t="s">
        <v>3880</v>
      </c>
      <c r="E651" s="3" t="s">
        <v>26</v>
      </c>
      <c r="F651" s="3" t="s">
        <v>2198</v>
      </c>
      <c r="G651" s="3" t="s">
        <v>2265</v>
      </c>
      <c r="H651" s="3" t="s">
        <v>1495</v>
      </c>
      <c r="I651" s="3">
        <v>5</v>
      </c>
      <c r="J651" s="3" t="s">
        <v>22</v>
      </c>
      <c r="K651" s="3" t="s">
        <v>443</v>
      </c>
      <c r="L651" s="3" t="s">
        <v>498</v>
      </c>
      <c r="M651" s="3" t="s">
        <v>3881</v>
      </c>
      <c r="N651" s="3" t="s">
        <v>163</v>
      </c>
      <c r="O651" s="3" t="s">
        <v>21</v>
      </c>
      <c r="P651" s="3" t="s">
        <v>126</v>
      </c>
      <c r="Q651" s="3" t="s">
        <v>152</v>
      </c>
      <c r="R651" s="3">
        <v>3</v>
      </c>
      <c r="S651" s="3">
        <v>28684.86</v>
      </c>
      <c r="T651" s="3">
        <v>0</v>
      </c>
      <c r="U651" s="3">
        <v>86054.58</v>
      </c>
      <c r="V651" s="3">
        <v>50712.49</v>
      </c>
      <c r="W651" s="3">
        <v>35342.089999999997</v>
      </c>
      <c r="X651" s="3">
        <v>41.07</v>
      </c>
      <c r="Y651" s="3">
        <v>199</v>
      </c>
      <c r="Z651" s="3" t="s">
        <v>48</v>
      </c>
      <c r="AA651" s="3" t="s">
        <v>100</v>
      </c>
      <c r="AB651" s="3" t="s">
        <v>101</v>
      </c>
      <c r="AC651" s="3">
        <v>2</v>
      </c>
    </row>
    <row r="652" spans="1:29" x14ac:dyDescent="0.3">
      <c r="A652" s="2" t="s">
        <v>3882</v>
      </c>
      <c r="B652" s="2" t="s">
        <v>3883</v>
      </c>
      <c r="C652" s="2" t="s">
        <v>563</v>
      </c>
      <c r="D652" s="2" t="s">
        <v>3884</v>
      </c>
      <c r="E652" s="2" t="s">
        <v>33</v>
      </c>
      <c r="F652" s="2" t="s">
        <v>3885</v>
      </c>
      <c r="G652" s="2" t="s">
        <v>1366</v>
      </c>
      <c r="H652" s="2" t="s">
        <v>3886</v>
      </c>
      <c r="I652" s="2">
        <v>8</v>
      </c>
      <c r="J652" s="2" t="s">
        <v>14</v>
      </c>
      <c r="K652" s="2" t="s">
        <v>215</v>
      </c>
      <c r="L652" s="2" t="s">
        <v>215</v>
      </c>
      <c r="M652" s="2" t="s">
        <v>3887</v>
      </c>
      <c r="N652" s="2" t="s">
        <v>686</v>
      </c>
      <c r="O652" s="2" t="s">
        <v>13</v>
      </c>
      <c r="P652" s="2" t="s">
        <v>228</v>
      </c>
      <c r="Q652" s="2" t="s">
        <v>509</v>
      </c>
      <c r="R652" s="2">
        <v>3</v>
      </c>
      <c r="S652" s="2">
        <v>35374.699999999997</v>
      </c>
      <c r="T652" s="2">
        <v>20</v>
      </c>
      <c r="U652" s="2">
        <v>84899.28</v>
      </c>
      <c r="V652" s="2">
        <v>47400.14</v>
      </c>
      <c r="W652" s="2">
        <v>37499.14</v>
      </c>
      <c r="X652" s="2">
        <v>44.17</v>
      </c>
      <c r="Y652" s="2">
        <v>99</v>
      </c>
      <c r="Z652" s="2" t="s">
        <v>43</v>
      </c>
      <c r="AA652" s="2" t="s">
        <v>100</v>
      </c>
      <c r="AB652" s="2" t="s">
        <v>101</v>
      </c>
      <c r="AC652" s="2">
        <v>4</v>
      </c>
    </row>
    <row r="653" spans="1:29" x14ac:dyDescent="0.3">
      <c r="A653" s="3" t="s">
        <v>3888</v>
      </c>
      <c r="B653" s="3" t="s">
        <v>3889</v>
      </c>
      <c r="C653" s="3" t="s">
        <v>1091</v>
      </c>
      <c r="D653" s="3" t="s">
        <v>3890</v>
      </c>
      <c r="E653" s="3" t="s">
        <v>26</v>
      </c>
      <c r="F653" s="3" t="s">
        <v>872</v>
      </c>
      <c r="G653" s="3" t="s">
        <v>873</v>
      </c>
      <c r="H653" s="3" t="s">
        <v>3495</v>
      </c>
      <c r="I653" s="3">
        <v>3</v>
      </c>
      <c r="J653" s="3" t="s">
        <v>22</v>
      </c>
      <c r="K653" s="3" t="s">
        <v>738</v>
      </c>
      <c r="L653" s="3" t="s">
        <v>738</v>
      </c>
      <c r="M653" s="3" t="s">
        <v>3891</v>
      </c>
      <c r="N653" s="3" t="s">
        <v>1535</v>
      </c>
      <c r="O653" s="3" t="s">
        <v>13</v>
      </c>
      <c r="P653" s="3" t="s">
        <v>98</v>
      </c>
      <c r="Q653" s="3" t="s">
        <v>287</v>
      </c>
      <c r="R653" s="3">
        <v>1</v>
      </c>
      <c r="S653" s="3">
        <v>17945.75</v>
      </c>
      <c r="T653" s="3">
        <v>0</v>
      </c>
      <c r="U653" s="3">
        <v>17945.75</v>
      </c>
      <c r="V653" s="3">
        <v>10580.62</v>
      </c>
      <c r="W653" s="3">
        <v>7365.13</v>
      </c>
      <c r="X653" s="3">
        <v>41.04</v>
      </c>
      <c r="Y653" s="3">
        <v>0</v>
      </c>
      <c r="Z653" s="3" t="s">
        <v>47</v>
      </c>
      <c r="AA653" s="3" t="s">
        <v>100</v>
      </c>
      <c r="AB653" s="3" t="s">
        <v>101</v>
      </c>
      <c r="AC653" s="3">
        <v>4</v>
      </c>
    </row>
    <row r="654" spans="1:29" x14ac:dyDescent="0.3">
      <c r="A654" s="2" t="s">
        <v>3892</v>
      </c>
      <c r="B654" s="2" t="s">
        <v>3893</v>
      </c>
      <c r="C654" s="2" t="s">
        <v>707</v>
      </c>
      <c r="D654" s="2" t="s">
        <v>3894</v>
      </c>
      <c r="E654" s="2" t="s">
        <v>18</v>
      </c>
      <c r="F654" s="2" t="s">
        <v>1313</v>
      </c>
      <c r="G654" s="2" t="s">
        <v>2894</v>
      </c>
      <c r="H654" s="2" t="s">
        <v>3575</v>
      </c>
      <c r="I654" s="2">
        <v>4</v>
      </c>
      <c r="J654" s="2" t="s">
        <v>14</v>
      </c>
      <c r="K654" s="2" t="s">
        <v>171</v>
      </c>
      <c r="L654" s="2" t="s">
        <v>407</v>
      </c>
      <c r="M654" s="2" t="s">
        <v>3895</v>
      </c>
      <c r="N654" s="2" t="s">
        <v>1603</v>
      </c>
      <c r="O654" s="2" t="s">
        <v>19</v>
      </c>
      <c r="P654" s="2" t="s">
        <v>365</v>
      </c>
      <c r="Q654" s="2" t="s">
        <v>152</v>
      </c>
      <c r="R654" s="2">
        <v>2</v>
      </c>
      <c r="S654" s="2">
        <v>16047.42</v>
      </c>
      <c r="T654" s="2">
        <v>10</v>
      </c>
      <c r="U654" s="2">
        <v>28885.360000000001</v>
      </c>
      <c r="V654" s="2">
        <v>17976.2</v>
      </c>
      <c r="W654" s="2">
        <v>10909.16</v>
      </c>
      <c r="X654" s="2">
        <v>37.770000000000003</v>
      </c>
      <c r="Y654" s="2">
        <v>199</v>
      </c>
      <c r="Z654" s="2" t="s">
        <v>48</v>
      </c>
      <c r="AA654" s="2" t="s">
        <v>100</v>
      </c>
      <c r="AB654" s="2" t="s">
        <v>101</v>
      </c>
      <c r="AC654" s="2">
        <v>2</v>
      </c>
    </row>
    <row r="655" spans="1:29" x14ac:dyDescent="0.3">
      <c r="A655" s="3" t="s">
        <v>3896</v>
      </c>
      <c r="B655" s="3" t="s">
        <v>897</v>
      </c>
      <c r="C655" s="3" t="s">
        <v>2291</v>
      </c>
      <c r="D655" s="3" t="s">
        <v>3897</v>
      </c>
      <c r="E655" s="3" t="s">
        <v>18</v>
      </c>
      <c r="F655" s="3" t="s">
        <v>252</v>
      </c>
      <c r="G655" s="3" t="s">
        <v>1777</v>
      </c>
      <c r="H655" s="3" t="s">
        <v>2671</v>
      </c>
      <c r="I655" s="3">
        <v>4</v>
      </c>
      <c r="J655" s="3" t="s">
        <v>39</v>
      </c>
      <c r="K655" s="3" t="s">
        <v>225</v>
      </c>
      <c r="L655" s="3" t="s">
        <v>225</v>
      </c>
      <c r="M655" s="3" t="s">
        <v>3898</v>
      </c>
      <c r="N655" s="3" t="s">
        <v>1611</v>
      </c>
      <c r="O655" s="3" t="s">
        <v>19</v>
      </c>
      <c r="P655" s="3" t="s">
        <v>365</v>
      </c>
      <c r="Q655" s="3" t="s">
        <v>218</v>
      </c>
      <c r="R655" s="3">
        <v>5</v>
      </c>
      <c r="S655" s="3">
        <v>34979.760000000002</v>
      </c>
      <c r="T655" s="3">
        <v>30</v>
      </c>
      <c r="U655" s="3">
        <v>122429.16</v>
      </c>
      <c r="V655" s="3">
        <v>77505.679999999993</v>
      </c>
      <c r="W655" s="3">
        <v>44923.48</v>
      </c>
      <c r="X655" s="3">
        <v>36.69</v>
      </c>
      <c r="Y655" s="3">
        <v>99</v>
      </c>
      <c r="Z655" s="3" t="s">
        <v>43</v>
      </c>
      <c r="AA655" s="3" t="s">
        <v>186</v>
      </c>
      <c r="AB655" s="3" t="s">
        <v>101</v>
      </c>
      <c r="AC655" s="3"/>
    </row>
    <row r="656" spans="1:29" x14ac:dyDescent="0.3">
      <c r="A656" s="2" t="s">
        <v>3899</v>
      </c>
      <c r="B656" s="2" t="s">
        <v>3900</v>
      </c>
      <c r="C656" s="2" t="s">
        <v>1451</v>
      </c>
      <c r="D656" s="2" t="s">
        <v>3901</v>
      </c>
      <c r="E656" s="2" t="s">
        <v>42</v>
      </c>
      <c r="F656" s="2" t="s">
        <v>1295</v>
      </c>
      <c r="G656" s="2" t="s">
        <v>1040</v>
      </c>
      <c r="H656" s="2" t="s">
        <v>2376</v>
      </c>
      <c r="I656" s="2">
        <v>3</v>
      </c>
      <c r="J656" s="2" t="s">
        <v>22</v>
      </c>
      <c r="K656" s="2" t="s">
        <v>443</v>
      </c>
      <c r="L656" s="2" t="s">
        <v>444</v>
      </c>
      <c r="M656" s="2" t="s">
        <v>2217</v>
      </c>
      <c r="N656" s="2" t="s">
        <v>3017</v>
      </c>
      <c r="O656" s="2" t="s">
        <v>13</v>
      </c>
      <c r="P656" s="2" t="s">
        <v>419</v>
      </c>
      <c r="Q656" s="2" t="s">
        <v>466</v>
      </c>
      <c r="R656" s="2">
        <v>3</v>
      </c>
      <c r="S656" s="2">
        <v>44191.91</v>
      </c>
      <c r="T656" s="2">
        <v>30</v>
      </c>
      <c r="U656" s="2">
        <v>92803.01</v>
      </c>
      <c r="V656" s="2">
        <v>59556.99</v>
      </c>
      <c r="W656" s="2">
        <v>33246.019999999997</v>
      </c>
      <c r="X656" s="2">
        <v>35.82</v>
      </c>
      <c r="Y656" s="2">
        <v>0</v>
      </c>
      <c r="Z656" s="2" t="s">
        <v>23</v>
      </c>
      <c r="AA656" s="2" t="s">
        <v>100</v>
      </c>
      <c r="AB656" s="2" t="s">
        <v>101</v>
      </c>
      <c r="AC656" s="2">
        <v>5</v>
      </c>
    </row>
    <row r="657" spans="1:29" x14ac:dyDescent="0.3">
      <c r="A657" s="3" t="s">
        <v>3902</v>
      </c>
      <c r="B657" s="3" t="s">
        <v>2999</v>
      </c>
      <c r="C657" s="3" t="s">
        <v>3903</v>
      </c>
      <c r="D657" s="3" t="s">
        <v>3904</v>
      </c>
      <c r="E657" s="3" t="s">
        <v>42</v>
      </c>
      <c r="F657" s="3" t="s">
        <v>3069</v>
      </c>
      <c r="G657" s="3" t="s">
        <v>2624</v>
      </c>
      <c r="H657" s="3" t="s">
        <v>3905</v>
      </c>
      <c r="I657" s="3">
        <v>7</v>
      </c>
      <c r="J657" s="3" t="s">
        <v>14</v>
      </c>
      <c r="K657" s="3" t="s">
        <v>171</v>
      </c>
      <c r="L657" s="3" t="s">
        <v>541</v>
      </c>
      <c r="M657" s="3" t="s">
        <v>3906</v>
      </c>
      <c r="N657" s="3" t="s">
        <v>1535</v>
      </c>
      <c r="O657" s="3" t="s">
        <v>13</v>
      </c>
      <c r="P657" s="3" t="s">
        <v>98</v>
      </c>
      <c r="Q657" s="3" t="s">
        <v>466</v>
      </c>
      <c r="R657" s="3">
        <v>4</v>
      </c>
      <c r="S657" s="3">
        <v>17111.759999999998</v>
      </c>
      <c r="T657" s="3">
        <v>5</v>
      </c>
      <c r="U657" s="3">
        <v>65024.69</v>
      </c>
      <c r="V657" s="3">
        <v>33093.24</v>
      </c>
      <c r="W657" s="3">
        <v>31931.45</v>
      </c>
      <c r="X657" s="3">
        <v>49.11</v>
      </c>
      <c r="Y657" s="3">
        <v>99</v>
      </c>
      <c r="Z657" s="3" t="s">
        <v>30</v>
      </c>
      <c r="AA657" s="3" t="s">
        <v>672</v>
      </c>
      <c r="AB657" s="3" t="s">
        <v>101</v>
      </c>
      <c r="AC657" s="3"/>
    </row>
    <row r="658" spans="1:29" x14ac:dyDescent="0.3">
      <c r="A658" s="2" t="s">
        <v>3907</v>
      </c>
      <c r="B658" s="2" t="s">
        <v>3908</v>
      </c>
      <c r="C658" s="2" t="s">
        <v>1606</v>
      </c>
      <c r="D658" s="2" t="s">
        <v>3909</v>
      </c>
      <c r="E658" s="2" t="s">
        <v>42</v>
      </c>
      <c r="F658" s="2" t="s">
        <v>1300</v>
      </c>
      <c r="G658" s="2" t="s">
        <v>1087</v>
      </c>
      <c r="H658" s="2" t="s">
        <v>2568</v>
      </c>
      <c r="I658" s="2">
        <v>3</v>
      </c>
      <c r="J658" s="2" t="s">
        <v>29</v>
      </c>
      <c r="K658" s="2" t="s">
        <v>160</v>
      </c>
      <c r="L658" s="2" t="s">
        <v>559</v>
      </c>
      <c r="M658" s="2" t="s">
        <v>3910</v>
      </c>
      <c r="N658" s="2" t="s">
        <v>97</v>
      </c>
      <c r="O658" s="2" t="s">
        <v>13</v>
      </c>
      <c r="P658" s="2" t="s">
        <v>98</v>
      </c>
      <c r="Q658" s="2" t="s">
        <v>509</v>
      </c>
      <c r="R658" s="2">
        <v>3</v>
      </c>
      <c r="S658" s="2">
        <v>9955.7099999999991</v>
      </c>
      <c r="T658" s="2">
        <v>0</v>
      </c>
      <c r="U658" s="2">
        <v>29867.13</v>
      </c>
      <c r="V658" s="2">
        <v>17116.43</v>
      </c>
      <c r="W658" s="2">
        <v>12750.7</v>
      </c>
      <c r="X658" s="2">
        <v>42.69</v>
      </c>
      <c r="Y658" s="2">
        <v>0</v>
      </c>
      <c r="Z658" s="2" t="s">
        <v>47</v>
      </c>
      <c r="AA658" s="2" t="s">
        <v>100</v>
      </c>
      <c r="AB658" s="2" t="s">
        <v>140</v>
      </c>
      <c r="AC658" s="2">
        <v>2</v>
      </c>
    </row>
    <row r="659" spans="1:29" x14ac:dyDescent="0.3">
      <c r="A659" s="3" t="s">
        <v>3911</v>
      </c>
      <c r="B659" s="3" t="s">
        <v>3912</v>
      </c>
      <c r="C659" s="3" t="s">
        <v>2651</v>
      </c>
      <c r="D659" s="3" t="s">
        <v>3913</v>
      </c>
      <c r="E659" s="3" t="s">
        <v>18</v>
      </c>
      <c r="F659" s="3" t="s">
        <v>3782</v>
      </c>
      <c r="G659" s="3" t="s">
        <v>809</v>
      </c>
      <c r="H659" s="3" t="s">
        <v>3914</v>
      </c>
      <c r="I659" s="3">
        <v>3</v>
      </c>
      <c r="J659" s="3" t="s">
        <v>14</v>
      </c>
      <c r="K659" s="3" t="s">
        <v>171</v>
      </c>
      <c r="L659" s="3" t="s">
        <v>407</v>
      </c>
      <c r="M659" s="3" t="s">
        <v>3915</v>
      </c>
      <c r="N659" s="3" t="s">
        <v>631</v>
      </c>
      <c r="O659" s="3" t="s">
        <v>19</v>
      </c>
      <c r="P659" s="3" t="s">
        <v>297</v>
      </c>
      <c r="Q659" s="3" t="s">
        <v>197</v>
      </c>
      <c r="R659" s="3">
        <v>1</v>
      </c>
      <c r="S659" s="3">
        <v>29762.6</v>
      </c>
      <c r="T659" s="3">
        <v>20</v>
      </c>
      <c r="U659" s="3">
        <v>23810.080000000002</v>
      </c>
      <c r="V659" s="3">
        <v>12064.58</v>
      </c>
      <c r="W659" s="3">
        <v>11745.5</v>
      </c>
      <c r="X659" s="3">
        <v>49.33</v>
      </c>
      <c r="Y659" s="3">
        <v>49</v>
      </c>
      <c r="Z659" s="3" t="s">
        <v>43</v>
      </c>
      <c r="AA659" s="3" t="s">
        <v>100</v>
      </c>
      <c r="AB659" s="3" t="s">
        <v>101</v>
      </c>
      <c r="AC659" s="3">
        <v>2</v>
      </c>
    </row>
    <row r="660" spans="1:29" x14ac:dyDescent="0.3">
      <c r="A660" s="2" t="s">
        <v>3916</v>
      </c>
      <c r="B660" s="2" t="s">
        <v>3917</v>
      </c>
      <c r="C660" s="2" t="s">
        <v>2286</v>
      </c>
      <c r="D660" s="2" t="s">
        <v>3918</v>
      </c>
      <c r="E660" s="2" t="s">
        <v>33</v>
      </c>
      <c r="F660" s="2" t="s">
        <v>3919</v>
      </c>
      <c r="G660" s="2" t="s">
        <v>2806</v>
      </c>
      <c r="H660" s="2" t="s">
        <v>1107</v>
      </c>
      <c r="I660" s="2">
        <v>5</v>
      </c>
      <c r="J660" s="2" t="s">
        <v>14</v>
      </c>
      <c r="K660" s="2" t="s">
        <v>215</v>
      </c>
      <c r="L660" s="2" t="s">
        <v>215</v>
      </c>
      <c r="M660" s="2" t="s">
        <v>2911</v>
      </c>
      <c r="N660" s="2" t="s">
        <v>390</v>
      </c>
      <c r="O660" s="2" t="s">
        <v>19</v>
      </c>
      <c r="P660" s="2" t="s">
        <v>297</v>
      </c>
      <c r="Q660" s="2" t="s">
        <v>127</v>
      </c>
      <c r="R660" s="2">
        <v>4</v>
      </c>
      <c r="S660" s="2">
        <v>32047.63</v>
      </c>
      <c r="T660" s="2">
        <v>5</v>
      </c>
      <c r="U660" s="2">
        <v>121780.99</v>
      </c>
      <c r="V660" s="2">
        <v>80949.84</v>
      </c>
      <c r="W660" s="2">
        <v>40831.15</v>
      </c>
      <c r="X660" s="2">
        <v>33.53</v>
      </c>
      <c r="Y660" s="2">
        <v>199</v>
      </c>
      <c r="Z660" s="2" t="s">
        <v>23</v>
      </c>
      <c r="AA660" s="2" t="s">
        <v>100</v>
      </c>
      <c r="AB660" s="2" t="s">
        <v>101</v>
      </c>
      <c r="AC660" s="2">
        <v>2</v>
      </c>
    </row>
    <row r="661" spans="1:29" x14ac:dyDescent="0.3">
      <c r="A661" s="3" t="s">
        <v>3920</v>
      </c>
      <c r="B661" s="3" t="s">
        <v>3921</v>
      </c>
      <c r="C661" s="3" t="s">
        <v>1273</v>
      </c>
      <c r="D661" s="3" t="s">
        <v>3922</v>
      </c>
      <c r="E661" s="3" t="s">
        <v>42</v>
      </c>
      <c r="F661" s="3" t="s">
        <v>2888</v>
      </c>
      <c r="G661" s="3" t="s">
        <v>1168</v>
      </c>
      <c r="H661" s="3" t="s">
        <v>490</v>
      </c>
      <c r="I661" s="3">
        <v>6</v>
      </c>
      <c r="J661" s="3" t="s">
        <v>29</v>
      </c>
      <c r="K661" s="3" t="s">
        <v>148</v>
      </c>
      <c r="L661" s="3" t="s">
        <v>148</v>
      </c>
      <c r="M661" s="3" t="s">
        <v>3923</v>
      </c>
      <c r="N661" s="3" t="s">
        <v>390</v>
      </c>
      <c r="O661" s="3" t="s">
        <v>19</v>
      </c>
      <c r="P661" s="3" t="s">
        <v>297</v>
      </c>
      <c r="Q661" s="3" t="s">
        <v>608</v>
      </c>
      <c r="R661" s="3">
        <v>2</v>
      </c>
      <c r="S661" s="3">
        <v>41544.559999999998</v>
      </c>
      <c r="T661" s="3">
        <v>20</v>
      </c>
      <c r="U661" s="3">
        <v>66471.3</v>
      </c>
      <c r="V661" s="3">
        <v>40879</v>
      </c>
      <c r="W661" s="3">
        <v>25592.3</v>
      </c>
      <c r="X661" s="3">
        <v>38.5</v>
      </c>
      <c r="Y661" s="3">
        <v>199</v>
      </c>
      <c r="Z661" s="3" t="s">
        <v>30</v>
      </c>
      <c r="AA661" s="3" t="s">
        <v>100</v>
      </c>
      <c r="AB661" s="3" t="s">
        <v>101</v>
      </c>
      <c r="AC661" s="3">
        <v>4</v>
      </c>
    </row>
    <row r="662" spans="1:29" x14ac:dyDescent="0.3">
      <c r="A662" s="2" t="s">
        <v>3924</v>
      </c>
      <c r="B662" s="2" t="s">
        <v>3925</v>
      </c>
      <c r="C662" s="2" t="s">
        <v>2651</v>
      </c>
      <c r="D662" s="2" t="s">
        <v>3926</v>
      </c>
      <c r="E662" s="2" t="s">
        <v>33</v>
      </c>
      <c r="F662" s="2" t="s">
        <v>3927</v>
      </c>
      <c r="G662" s="2" t="s">
        <v>2006</v>
      </c>
      <c r="H662" s="2" t="s">
        <v>2007</v>
      </c>
      <c r="I662" s="2">
        <v>3</v>
      </c>
      <c r="J662" s="2" t="s">
        <v>29</v>
      </c>
      <c r="K662" s="2" t="s">
        <v>427</v>
      </c>
      <c r="L662" s="2" t="s">
        <v>428</v>
      </c>
      <c r="M662" s="2" t="s">
        <v>3928</v>
      </c>
      <c r="N662" s="2" t="s">
        <v>296</v>
      </c>
      <c r="O662" s="2" t="s">
        <v>19</v>
      </c>
      <c r="P662" s="2" t="s">
        <v>297</v>
      </c>
      <c r="Q662" s="2" t="s">
        <v>152</v>
      </c>
      <c r="R662" s="2">
        <v>1</v>
      </c>
      <c r="S662" s="2">
        <v>48965.27</v>
      </c>
      <c r="T662" s="2">
        <v>15</v>
      </c>
      <c r="U662" s="2">
        <v>41620.480000000003</v>
      </c>
      <c r="V662" s="2">
        <v>21790.400000000001</v>
      </c>
      <c r="W662" s="2">
        <v>19830.080000000002</v>
      </c>
      <c r="X662" s="2">
        <v>47.65</v>
      </c>
      <c r="Y662" s="2">
        <v>99</v>
      </c>
      <c r="Z662" s="2" t="s">
        <v>47</v>
      </c>
      <c r="AA662" s="2" t="s">
        <v>100</v>
      </c>
      <c r="AB662" s="2" t="s">
        <v>101</v>
      </c>
      <c r="AC662" s="2">
        <v>2</v>
      </c>
    </row>
    <row r="663" spans="1:29" x14ac:dyDescent="0.3">
      <c r="A663" s="3" t="s">
        <v>3929</v>
      </c>
      <c r="B663" s="3" t="s">
        <v>3930</v>
      </c>
      <c r="C663" s="3" t="s">
        <v>319</v>
      </c>
      <c r="D663" s="3" t="s">
        <v>3931</v>
      </c>
      <c r="E663" s="3" t="s">
        <v>42</v>
      </c>
      <c r="F663" s="3" t="s">
        <v>597</v>
      </c>
      <c r="G663" s="3" t="s">
        <v>1206</v>
      </c>
      <c r="H663" s="3" t="s">
        <v>1825</v>
      </c>
      <c r="I663" s="3">
        <v>2</v>
      </c>
      <c r="J663" s="3" t="s">
        <v>29</v>
      </c>
      <c r="K663" s="3" t="s">
        <v>334</v>
      </c>
      <c r="L663" s="3" t="s">
        <v>335</v>
      </c>
      <c r="M663" s="3" t="s">
        <v>3278</v>
      </c>
      <c r="N663" s="3" t="s">
        <v>686</v>
      </c>
      <c r="O663" s="3" t="s">
        <v>13</v>
      </c>
      <c r="P663" s="3" t="s">
        <v>228</v>
      </c>
      <c r="Q663" s="3" t="s">
        <v>246</v>
      </c>
      <c r="R663" s="3">
        <v>2</v>
      </c>
      <c r="S663" s="3">
        <v>7129.87</v>
      </c>
      <c r="T663" s="3">
        <v>25</v>
      </c>
      <c r="U663" s="3">
        <v>10694.81</v>
      </c>
      <c r="V663" s="3">
        <v>4868.6400000000003</v>
      </c>
      <c r="W663" s="3">
        <v>5826.17</v>
      </c>
      <c r="X663" s="3">
        <v>54.48</v>
      </c>
      <c r="Y663" s="3">
        <v>29</v>
      </c>
      <c r="Z663" s="3" t="s">
        <v>30</v>
      </c>
      <c r="AA663" s="3" t="s">
        <v>100</v>
      </c>
      <c r="AB663" s="3" t="s">
        <v>101</v>
      </c>
      <c r="AC663" s="3">
        <v>3</v>
      </c>
    </row>
    <row r="664" spans="1:29" x14ac:dyDescent="0.3">
      <c r="A664" s="2" t="s">
        <v>3932</v>
      </c>
      <c r="B664" s="2" t="s">
        <v>3933</v>
      </c>
      <c r="C664" s="2" t="s">
        <v>1981</v>
      </c>
      <c r="D664" s="2" t="s">
        <v>3934</v>
      </c>
      <c r="E664" s="2" t="s">
        <v>26</v>
      </c>
      <c r="F664" s="2" t="s">
        <v>997</v>
      </c>
      <c r="G664" s="2" t="s">
        <v>3614</v>
      </c>
      <c r="H664" s="2" t="s">
        <v>2747</v>
      </c>
      <c r="I664" s="2">
        <v>8</v>
      </c>
      <c r="J664" s="2" t="s">
        <v>29</v>
      </c>
      <c r="K664" s="2" t="s">
        <v>160</v>
      </c>
      <c r="L664" s="2" t="s">
        <v>161</v>
      </c>
      <c r="M664" s="2" t="s">
        <v>3935</v>
      </c>
      <c r="N664" s="2" t="s">
        <v>456</v>
      </c>
      <c r="O664" s="2" t="s">
        <v>21</v>
      </c>
      <c r="P664" s="2" t="s">
        <v>206</v>
      </c>
      <c r="Q664" s="2" t="s">
        <v>287</v>
      </c>
      <c r="R664" s="2">
        <v>3</v>
      </c>
      <c r="S664" s="2">
        <v>47060.08</v>
      </c>
      <c r="T664" s="2">
        <v>5</v>
      </c>
      <c r="U664" s="2">
        <v>134121.23000000001</v>
      </c>
      <c r="V664" s="2">
        <v>73348.210000000006</v>
      </c>
      <c r="W664" s="2">
        <v>60773.02</v>
      </c>
      <c r="X664" s="2">
        <v>45.31</v>
      </c>
      <c r="Y664" s="2">
        <v>99</v>
      </c>
      <c r="Z664" s="2" t="s">
        <v>15</v>
      </c>
      <c r="AA664" s="2" t="s">
        <v>100</v>
      </c>
      <c r="AB664" s="2" t="s">
        <v>101</v>
      </c>
      <c r="AC664" s="2">
        <v>3</v>
      </c>
    </row>
    <row r="665" spans="1:29" x14ac:dyDescent="0.3">
      <c r="A665" s="3" t="s">
        <v>3936</v>
      </c>
      <c r="B665" s="3" t="s">
        <v>3937</v>
      </c>
      <c r="C665" s="3" t="s">
        <v>3938</v>
      </c>
      <c r="D665" s="3" t="s">
        <v>3939</v>
      </c>
      <c r="E665" s="3" t="s">
        <v>33</v>
      </c>
      <c r="F665" s="3" t="s">
        <v>538</v>
      </c>
      <c r="G665" s="3" t="s">
        <v>962</v>
      </c>
      <c r="H665" s="3" t="s">
        <v>3940</v>
      </c>
      <c r="I665" s="3">
        <v>8</v>
      </c>
      <c r="J665" s="3" t="s">
        <v>39</v>
      </c>
      <c r="K665" s="3" t="s">
        <v>324</v>
      </c>
      <c r="L665" s="3" t="s">
        <v>1422</v>
      </c>
      <c r="M665" s="3" t="s">
        <v>3941</v>
      </c>
      <c r="N665" s="3" t="s">
        <v>163</v>
      </c>
      <c r="O665" s="3" t="s">
        <v>21</v>
      </c>
      <c r="P665" s="3" t="s">
        <v>126</v>
      </c>
      <c r="Q665" s="3" t="s">
        <v>138</v>
      </c>
      <c r="R665" s="3">
        <v>2</v>
      </c>
      <c r="S665" s="3">
        <v>6672.95</v>
      </c>
      <c r="T665" s="3">
        <v>20</v>
      </c>
      <c r="U665" s="3">
        <v>10676.72</v>
      </c>
      <c r="V665" s="3">
        <v>6872.82</v>
      </c>
      <c r="W665" s="3">
        <v>3803.9</v>
      </c>
      <c r="X665" s="3">
        <v>35.630000000000003</v>
      </c>
      <c r="Y665" s="3">
        <v>199</v>
      </c>
      <c r="Z665" s="3" t="s">
        <v>15</v>
      </c>
      <c r="AA665" s="3" t="s">
        <v>100</v>
      </c>
      <c r="AB665" s="3" t="s">
        <v>101</v>
      </c>
      <c r="AC665" s="3"/>
    </row>
    <row r="666" spans="1:29" x14ac:dyDescent="0.3">
      <c r="A666" s="2" t="s">
        <v>3942</v>
      </c>
      <c r="B666" s="2" t="s">
        <v>3943</v>
      </c>
      <c r="C666" s="2" t="s">
        <v>1311</v>
      </c>
      <c r="D666" s="2" t="s">
        <v>3944</v>
      </c>
      <c r="E666" s="2" t="s">
        <v>26</v>
      </c>
      <c r="F666" s="2" t="s">
        <v>3721</v>
      </c>
      <c r="G666" s="2" t="s">
        <v>2611</v>
      </c>
      <c r="H666" s="2" t="s">
        <v>3945</v>
      </c>
      <c r="I666" s="2">
        <v>6</v>
      </c>
      <c r="J666" s="2" t="s">
        <v>14</v>
      </c>
      <c r="K666" s="2" t="s">
        <v>215</v>
      </c>
      <c r="L666" s="2" t="s">
        <v>215</v>
      </c>
      <c r="M666" s="2" t="s">
        <v>2939</v>
      </c>
      <c r="N666" s="2" t="s">
        <v>266</v>
      </c>
      <c r="O666" s="2" t="s">
        <v>28</v>
      </c>
      <c r="P666" s="2" t="s">
        <v>151</v>
      </c>
      <c r="Q666" s="2" t="s">
        <v>287</v>
      </c>
      <c r="R666" s="2">
        <v>4</v>
      </c>
      <c r="S666" s="2">
        <v>17766.599999999999</v>
      </c>
      <c r="T666" s="2">
        <v>0</v>
      </c>
      <c r="U666" s="2">
        <v>71066.399999999994</v>
      </c>
      <c r="V666" s="2">
        <v>49296.480000000003</v>
      </c>
      <c r="W666" s="2">
        <v>21769.919999999998</v>
      </c>
      <c r="X666" s="2">
        <v>30.63</v>
      </c>
      <c r="Y666" s="2">
        <v>199</v>
      </c>
      <c r="Z666" s="2" t="s">
        <v>23</v>
      </c>
      <c r="AA666" s="2" t="s">
        <v>100</v>
      </c>
      <c r="AB666" s="2" t="s">
        <v>101</v>
      </c>
      <c r="AC666" s="2"/>
    </row>
    <row r="667" spans="1:29" x14ac:dyDescent="0.3">
      <c r="A667" s="3" t="s">
        <v>3946</v>
      </c>
      <c r="B667" s="3" t="s">
        <v>3947</v>
      </c>
      <c r="C667" s="3" t="s">
        <v>1606</v>
      </c>
      <c r="D667" s="3" t="s">
        <v>3948</v>
      </c>
      <c r="E667" s="3" t="s">
        <v>42</v>
      </c>
      <c r="F667" s="3" t="s">
        <v>3394</v>
      </c>
      <c r="G667" s="3" t="s">
        <v>2842</v>
      </c>
      <c r="H667" s="3" t="s">
        <v>2758</v>
      </c>
      <c r="I667" s="3">
        <v>4</v>
      </c>
      <c r="J667" s="3" t="s">
        <v>39</v>
      </c>
      <c r="K667" s="3" t="s">
        <v>193</v>
      </c>
      <c r="L667" s="3" t="s">
        <v>193</v>
      </c>
      <c r="M667" s="3" t="s">
        <v>3949</v>
      </c>
      <c r="N667" s="3" t="s">
        <v>112</v>
      </c>
      <c r="O667" s="3" t="s">
        <v>27</v>
      </c>
      <c r="P667" s="3" t="s">
        <v>113</v>
      </c>
      <c r="Q667" s="3" t="s">
        <v>355</v>
      </c>
      <c r="R667" s="3">
        <v>1</v>
      </c>
      <c r="S667" s="3">
        <v>37678.550000000003</v>
      </c>
      <c r="T667" s="3">
        <v>20</v>
      </c>
      <c r="U667" s="3">
        <v>30142.84</v>
      </c>
      <c r="V667" s="3">
        <v>20448.91</v>
      </c>
      <c r="W667" s="3">
        <v>9693.93</v>
      </c>
      <c r="X667" s="3">
        <v>32.159999999999997</v>
      </c>
      <c r="Y667" s="3">
        <v>99</v>
      </c>
      <c r="Z667" s="3" t="s">
        <v>15</v>
      </c>
      <c r="AA667" s="3" t="s">
        <v>100</v>
      </c>
      <c r="AB667" s="3" t="s">
        <v>101</v>
      </c>
      <c r="AC667" s="3">
        <v>5</v>
      </c>
    </row>
    <row r="668" spans="1:29" x14ac:dyDescent="0.3">
      <c r="A668" s="2" t="s">
        <v>3950</v>
      </c>
      <c r="B668" s="2" t="s">
        <v>3951</v>
      </c>
      <c r="C668" s="2" t="s">
        <v>1809</v>
      </c>
      <c r="D668" s="2" t="s">
        <v>3952</v>
      </c>
      <c r="E668" s="2" t="s">
        <v>26</v>
      </c>
      <c r="F668" s="2" t="s">
        <v>1950</v>
      </c>
      <c r="G668" s="2" t="s">
        <v>1951</v>
      </c>
      <c r="H668" s="2" t="s">
        <v>2007</v>
      </c>
      <c r="I668" s="2">
        <v>7</v>
      </c>
      <c r="J668" s="2" t="s">
        <v>22</v>
      </c>
      <c r="K668" s="2" t="s">
        <v>122</v>
      </c>
      <c r="L668" s="2" t="s">
        <v>812</v>
      </c>
      <c r="M668" s="2" t="s">
        <v>3953</v>
      </c>
      <c r="N668" s="2" t="s">
        <v>475</v>
      </c>
      <c r="O668" s="2" t="s">
        <v>13</v>
      </c>
      <c r="P668" s="2" t="s">
        <v>228</v>
      </c>
      <c r="Q668" s="2" t="s">
        <v>114</v>
      </c>
      <c r="R668" s="2">
        <v>1</v>
      </c>
      <c r="S668" s="2">
        <v>9601.9599999999991</v>
      </c>
      <c r="T668" s="2">
        <v>30</v>
      </c>
      <c r="U668" s="2">
        <v>6721.37</v>
      </c>
      <c r="V668" s="2">
        <v>4206.66</v>
      </c>
      <c r="W668" s="2">
        <v>2514.71</v>
      </c>
      <c r="X668" s="2">
        <v>37.409999999999997</v>
      </c>
      <c r="Y668" s="2">
        <v>29</v>
      </c>
      <c r="Z668" s="2" t="s">
        <v>23</v>
      </c>
      <c r="AA668" s="2" t="s">
        <v>139</v>
      </c>
      <c r="AB668" s="2" t="s">
        <v>140</v>
      </c>
      <c r="AC668" s="2"/>
    </row>
    <row r="669" spans="1:29" x14ac:dyDescent="0.3">
      <c r="A669" s="3" t="s">
        <v>3954</v>
      </c>
      <c r="B669" s="3" t="s">
        <v>3955</v>
      </c>
      <c r="C669" s="3" t="s">
        <v>260</v>
      </c>
      <c r="D669" s="3" t="s">
        <v>3956</v>
      </c>
      <c r="E669" s="3" t="s">
        <v>26</v>
      </c>
      <c r="F669" s="3" t="s">
        <v>3940</v>
      </c>
      <c r="G669" s="3" t="s">
        <v>3957</v>
      </c>
      <c r="H669" s="3" t="s">
        <v>3886</v>
      </c>
      <c r="I669" s="3">
        <v>7</v>
      </c>
      <c r="J669" s="3" t="s">
        <v>22</v>
      </c>
      <c r="K669" s="3" t="s">
        <v>443</v>
      </c>
      <c r="L669" s="3" t="s">
        <v>444</v>
      </c>
      <c r="M669" s="3" t="s">
        <v>3958</v>
      </c>
      <c r="N669" s="3" t="s">
        <v>185</v>
      </c>
      <c r="O669" s="3" t="s">
        <v>28</v>
      </c>
      <c r="P669" s="3" t="s">
        <v>151</v>
      </c>
      <c r="Q669" s="3" t="s">
        <v>127</v>
      </c>
      <c r="R669" s="3">
        <v>3</v>
      </c>
      <c r="S669" s="3">
        <v>35126.44</v>
      </c>
      <c r="T669" s="3">
        <v>30</v>
      </c>
      <c r="U669" s="3">
        <v>73765.52</v>
      </c>
      <c r="V669" s="3">
        <v>34990.04</v>
      </c>
      <c r="W669" s="3">
        <v>38775.480000000003</v>
      </c>
      <c r="X669" s="3">
        <v>52.57</v>
      </c>
      <c r="Y669" s="3">
        <v>199</v>
      </c>
      <c r="Z669" s="3" t="s">
        <v>30</v>
      </c>
      <c r="AA669" s="3" t="s">
        <v>100</v>
      </c>
      <c r="AB669" s="3" t="s">
        <v>101</v>
      </c>
      <c r="AC669" s="3">
        <v>1</v>
      </c>
    </row>
    <row r="670" spans="1:29" x14ac:dyDescent="0.3">
      <c r="A670" s="2" t="s">
        <v>3959</v>
      </c>
      <c r="B670" s="2" t="s">
        <v>3960</v>
      </c>
      <c r="C670" s="2" t="s">
        <v>1451</v>
      </c>
      <c r="D670" s="2" t="s">
        <v>3961</v>
      </c>
      <c r="E670" s="2" t="s">
        <v>42</v>
      </c>
      <c r="F670" s="2" t="s">
        <v>906</v>
      </c>
      <c r="G670" s="2" t="s">
        <v>311</v>
      </c>
      <c r="H670" s="2" t="s">
        <v>1373</v>
      </c>
      <c r="I670" s="2">
        <v>5</v>
      </c>
      <c r="J670" s="2" t="s">
        <v>29</v>
      </c>
      <c r="K670" s="2" t="s">
        <v>427</v>
      </c>
      <c r="L670" s="2" t="s">
        <v>1871</v>
      </c>
      <c r="M670" s="2" t="s">
        <v>3962</v>
      </c>
      <c r="N670" s="2" t="s">
        <v>266</v>
      </c>
      <c r="O670" s="2" t="s">
        <v>28</v>
      </c>
      <c r="P670" s="2" t="s">
        <v>151</v>
      </c>
      <c r="Q670" s="2" t="s">
        <v>466</v>
      </c>
      <c r="R670" s="2">
        <v>1</v>
      </c>
      <c r="S670" s="2">
        <v>47867.49</v>
      </c>
      <c r="T670" s="2">
        <v>25</v>
      </c>
      <c r="U670" s="2">
        <v>35900.620000000003</v>
      </c>
      <c r="V670" s="2">
        <v>23017.13</v>
      </c>
      <c r="W670" s="2">
        <v>12883.49</v>
      </c>
      <c r="X670" s="2">
        <v>35.89</v>
      </c>
      <c r="Y670" s="2">
        <v>149</v>
      </c>
      <c r="Z670" s="2" t="s">
        <v>47</v>
      </c>
      <c r="AA670" s="2" t="s">
        <v>275</v>
      </c>
      <c r="AB670" s="2" t="s">
        <v>101</v>
      </c>
      <c r="AC670" s="2"/>
    </row>
    <row r="671" spans="1:29" x14ac:dyDescent="0.3">
      <c r="A671" s="3" t="s">
        <v>3963</v>
      </c>
      <c r="B671" s="3" t="s">
        <v>3964</v>
      </c>
      <c r="C671" s="3" t="s">
        <v>1644</v>
      </c>
      <c r="D671" s="3" t="s">
        <v>3965</v>
      </c>
      <c r="E671" s="3" t="s">
        <v>26</v>
      </c>
      <c r="F671" s="3" t="s">
        <v>3378</v>
      </c>
      <c r="G671" s="3" t="s">
        <v>304</v>
      </c>
      <c r="H671" s="3" t="s">
        <v>2653</v>
      </c>
      <c r="I671" s="3">
        <v>4</v>
      </c>
      <c r="J671" s="3" t="s">
        <v>29</v>
      </c>
      <c r="K671" s="3" t="s">
        <v>427</v>
      </c>
      <c r="L671" s="3" t="s">
        <v>428</v>
      </c>
      <c r="M671" s="3" t="s">
        <v>3526</v>
      </c>
      <c r="N671" s="3" t="s">
        <v>125</v>
      </c>
      <c r="O671" s="3" t="s">
        <v>21</v>
      </c>
      <c r="P671" s="3" t="s">
        <v>126</v>
      </c>
      <c r="Q671" s="3" t="s">
        <v>99</v>
      </c>
      <c r="R671" s="3">
        <v>3</v>
      </c>
      <c r="S671" s="3">
        <v>9158.0499999999993</v>
      </c>
      <c r="T671" s="3">
        <v>20</v>
      </c>
      <c r="U671" s="3">
        <v>21979.32</v>
      </c>
      <c r="V671" s="3">
        <v>14123.79</v>
      </c>
      <c r="W671" s="3">
        <v>7855.53</v>
      </c>
      <c r="X671" s="3">
        <v>35.74</v>
      </c>
      <c r="Y671" s="3">
        <v>99</v>
      </c>
      <c r="Z671" s="3" t="s">
        <v>47</v>
      </c>
      <c r="AA671" s="3" t="s">
        <v>100</v>
      </c>
      <c r="AB671" s="3" t="s">
        <v>101</v>
      </c>
      <c r="AC671" s="3">
        <v>2</v>
      </c>
    </row>
    <row r="672" spans="1:29" x14ac:dyDescent="0.3">
      <c r="A672" s="2" t="s">
        <v>3966</v>
      </c>
      <c r="B672" s="2" t="s">
        <v>3967</v>
      </c>
      <c r="C672" s="2" t="s">
        <v>1899</v>
      </c>
      <c r="D672" s="2" t="s">
        <v>3968</v>
      </c>
      <c r="E672" s="2" t="s">
        <v>18</v>
      </c>
      <c r="F672" s="2" t="s">
        <v>1407</v>
      </c>
      <c r="G672" s="2" t="s">
        <v>371</v>
      </c>
      <c r="H672" s="2" t="s">
        <v>784</v>
      </c>
      <c r="I672" s="2">
        <v>6</v>
      </c>
      <c r="J672" s="2" t="s">
        <v>29</v>
      </c>
      <c r="K672" s="2" t="s">
        <v>334</v>
      </c>
      <c r="L672" s="2" t="s">
        <v>335</v>
      </c>
      <c r="M672" s="2" t="s">
        <v>3969</v>
      </c>
      <c r="N672" s="2" t="s">
        <v>286</v>
      </c>
      <c r="O672" s="2" t="s">
        <v>28</v>
      </c>
      <c r="P672" s="2" t="s">
        <v>137</v>
      </c>
      <c r="Q672" s="2" t="s">
        <v>608</v>
      </c>
      <c r="R672" s="2">
        <v>5</v>
      </c>
      <c r="S672" s="2">
        <v>31816.400000000001</v>
      </c>
      <c r="T672" s="2">
        <v>30</v>
      </c>
      <c r="U672" s="2">
        <v>111357.4</v>
      </c>
      <c r="V672" s="2">
        <v>65868.639999999999</v>
      </c>
      <c r="W672" s="2">
        <v>45488.76</v>
      </c>
      <c r="X672" s="2">
        <v>40.85</v>
      </c>
      <c r="Y672" s="2">
        <v>199</v>
      </c>
      <c r="Z672" s="2" t="s">
        <v>48</v>
      </c>
      <c r="AA672" s="2" t="s">
        <v>186</v>
      </c>
      <c r="AB672" s="2" t="s">
        <v>101</v>
      </c>
      <c r="AC672" s="2"/>
    </row>
    <row r="673" spans="1:29" x14ac:dyDescent="0.3">
      <c r="A673" s="3" t="s">
        <v>3970</v>
      </c>
      <c r="B673" s="3" t="s">
        <v>3971</v>
      </c>
      <c r="C673" s="3" t="s">
        <v>1451</v>
      </c>
      <c r="D673" s="3" t="s">
        <v>3972</v>
      </c>
      <c r="E673" s="3" t="s">
        <v>26</v>
      </c>
      <c r="F673" s="3" t="s">
        <v>1087</v>
      </c>
      <c r="G673" s="3" t="s">
        <v>3973</v>
      </c>
      <c r="H673" s="3" t="s">
        <v>1360</v>
      </c>
      <c r="I673" s="3">
        <v>7</v>
      </c>
      <c r="J673" s="3" t="s">
        <v>22</v>
      </c>
      <c r="K673" s="3" t="s">
        <v>122</v>
      </c>
      <c r="L673" s="3" t="s">
        <v>123</v>
      </c>
      <c r="M673" s="3" t="s">
        <v>1549</v>
      </c>
      <c r="N673" s="3" t="s">
        <v>465</v>
      </c>
      <c r="O673" s="3" t="s">
        <v>19</v>
      </c>
      <c r="P673" s="3" t="s">
        <v>447</v>
      </c>
      <c r="Q673" s="3" t="s">
        <v>114</v>
      </c>
      <c r="R673" s="3">
        <v>1</v>
      </c>
      <c r="S673" s="3">
        <v>49983.91</v>
      </c>
      <c r="T673" s="3">
        <v>0</v>
      </c>
      <c r="U673" s="3">
        <v>49983.91</v>
      </c>
      <c r="V673" s="3">
        <v>29730.46</v>
      </c>
      <c r="W673" s="3">
        <v>20253.45</v>
      </c>
      <c r="X673" s="3">
        <v>40.520000000000003</v>
      </c>
      <c r="Y673" s="3">
        <v>149</v>
      </c>
      <c r="Z673" s="3" t="s">
        <v>43</v>
      </c>
      <c r="AA673" s="3" t="s">
        <v>139</v>
      </c>
      <c r="AB673" s="3" t="s">
        <v>140</v>
      </c>
      <c r="AC673" s="3"/>
    </row>
    <row r="674" spans="1:29" x14ac:dyDescent="0.3">
      <c r="A674" s="2" t="s">
        <v>3974</v>
      </c>
      <c r="B674" s="2" t="s">
        <v>3975</v>
      </c>
      <c r="C674" s="2" t="s">
        <v>1183</v>
      </c>
      <c r="D674" s="2" t="s">
        <v>3976</v>
      </c>
      <c r="E674" s="2" t="s">
        <v>33</v>
      </c>
      <c r="F674" s="2" t="s">
        <v>843</v>
      </c>
      <c r="G674" s="2" t="s">
        <v>1155</v>
      </c>
      <c r="H674" s="2" t="s">
        <v>1173</v>
      </c>
      <c r="I674" s="2">
        <v>3</v>
      </c>
      <c r="J674" s="2" t="s">
        <v>14</v>
      </c>
      <c r="K674" s="2" t="s">
        <v>171</v>
      </c>
      <c r="L674" s="2" t="s">
        <v>172</v>
      </c>
      <c r="M674" s="2" t="s">
        <v>3977</v>
      </c>
      <c r="N674" s="2" t="s">
        <v>964</v>
      </c>
      <c r="O674" s="2" t="s">
        <v>13</v>
      </c>
      <c r="P674" s="2" t="s">
        <v>98</v>
      </c>
      <c r="Q674" s="2" t="s">
        <v>400</v>
      </c>
      <c r="R674" s="2">
        <v>3</v>
      </c>
      <c r="S674" s="2">
        <v>14179.46</v>
      </c>
      <c r="T674" s="2">
        <v>30</v>
      </c>
      <c r="U674" s="2">
        <v>29776.87</v>
      </c>
      <c r="V674" s="2">
        <v>19900.8</v>
      </c>
      <c r="W674" s="2">
        <v>9876.07</v>
      </c>
      <c r="X674" s="2">
        <v>33.17</v>
      </c>
      <c r="Y674" s="2">
        <v>99</v>
      </c>
      <c r="Z674" s="2" t="s">
        <v>48</v>
      </c>
      <c r="AA674" s="2" t="s">
        <v>100</v>
      </c>
      <c r="AB674" s="2" t="s">
        <v>101</v>
      </c>
      <c r="AC674" s="2">
        <v>5</v>
      </c>
    </row>
    <row r="675" spans="1:29" x14ac:dyDescent="0.3">
      <c r="A675" s="3" t="s">
        <v>3978</v>
      </c>
      <c r="B675" s="3" t="s">
        <v>3979</v>
      </c>
      <c r="C675" s="3" t="s">
        <v>2286</v>
      </c>
      <c r="D675" s="3" t="s">
        <v>3980</v>
      </c>
      <c r="E675" s="3" t="s">
        <v>18</v>
      </c>
      <c r="F675" s="3" t="s">
        <v>1321</v>
      </c>
      <c r="G675" s="3" t="s">
        <v>251</v>
      </c>
      <c r="H675" s="3" t="s">
        <v>253</v>
      </c>
      <c r="I675" s="3">
        <v>8</v>
      </c>
      <c r="J675" s="3" t="s">
        <v>39</v>
      </c>
      <c r="K675" s="3" t="s">
        <v>109</v>
      </c>
      <c r="L675" s="3" t="s">
        <v>344</v>
      </c>
      <c r="M675" s="3" t="s">
        <v>3981</v>
      </c>
      <c r="N675" s="3" t="s">
        <v>256</v>
      </c>
      <c r="O675" s="3" t="s">
        <v>27</v>
      </c>
      <c r="P675" s="3" t="s">
        <v>257</v>
      </c>
      <c r="Q675" s="3" t="s">
        <v>608</v>
      </c>
      <c r="R675" s="3">
        <v>4</v>
      </c>
      <c r="S675" s="3">
        <v>40455.08</v>
      </c>
      <c r="T675" s="3">
        <v>10</v>
      </c>
      <c r="U675" s="3">
        <v>145638.29</v>
      </c>
      <c r="V675" s="3">
        <v>95788.74</v>
      </c>
      <c r="W675" s="3">
        <v>49849.55</v>
      </c>
      <c r="X675" s="3">
        <v>34.229999999999997</v>
      </c>
      <c r="Y675" s="3">
        <v>149</v>
      </c>
      <c r="Z675" s="3" t="s">
        <v>47</v>
      </c>
      <c r="AA675" s="3" t="s">
        <v>100</v>
      </c>
      <c r="AB675" s="3" t="s">
        <v>101</v>
      </c>
      <c r="AC675" s="3">
        <v>1</v>
      </c>
    </row>
    <row r="676" spans="1:29" x14ac:dyDescent="0.3">
      <c r="A676" s="2" t="s">
        <v>3982</v>
      </c>
      <c r="B676" s="2" t="s">
        <v>3983</v>
      </c>
      <c r="C676" s="2" t="s">
        <v>1597</v>
      </c>
      <c r="D676" s="2" t="s">
        <v>3984</v>
      </c>
      <c r="E676" s="2" t="s">
        <v>18</v>
      </c>
      <c r="F676" s="2" t="s">
        <v>1495</v>
      </c>
      <c r="G676" s="2" t="s">
        <v>292</v>
      </c>
      <c r="H676" s="2" t="s">
        <v>294</v>
      </c>
      <c r="I676" s="2">
        <v>4</v>
      </c>
      <c r="J676" s="2" t="s">
        <v>22</v>
      </c>
      <c r="K676" s="2" t="s">
        <v>738</v>
      </c>
      <c r="L676" s="2" t="s">
        <v>738</v>
      </c>
      <c r="M676" s="2" t="s">
        <v>3985</v>
      </c>
      <c r="N676" s="2" t="s">
        <v>686</v>
      </c>
      <c r="O676" s="2" t="s">
        <v>13</v>
      </c>
      <c r="P676" s="2" t="s">
        <v>228</v>
      </c>
      <c r="Q676" s="2" t="s">
        <v>138</v>
      </c>
      <c r="R676" s="2">
        <v>4</v>
      </c>
      <c r="S676" s="2">
        <v>20575.62</v>
      </c>
      <c r="T676" s="2">
        <v>5</v>
      </c>
      <c r="U676" s="2">
        <v>78187.360000000001</v>
      </c>
      <c r="V676" s="2">
        <v>38609.160000000003</v>
      </c>
      <c r="W676" s="2">
        <v>39578.199999999997</v>
      </c>
      <c r="X676" s="2">
        <v>50.62</v>
      </c>
      <c r="Y676" s="2">
        <v>199</v>
      </c>
      <c r="Z676" s="2" t="s">
        <v>47</v>
      </c>
      <c r="AA676" s="2" t="s">
        <v>100</v>
      </c>
      <c r="AB676" s="2" t="s">
        <v>101</v>
      </c>
      <c r="AC676" s="2">
        <v>1</v>
      </c>
    </row>
    <row r="677" spans="1:29" x14ac:dyDescent="0.3">
      <c r="A677" s="3" t="s">
        <v>3986</v>
      </c>
      <c r="B677" s="3" t="s">
        <v>3987</v>
      </c>
      <c r="C677" s="3" t="s">
        <v>1899</v>
      </c>
      <c r="D677" s="3" t="s">
        <v>3988</v>
      </c>
      <c r="E677" s="3" t="s">
        <v>18</v>
      </c>
      <c r="F677" s="3" t="s">
        <v>312</v>
      </c>
      <c r="G677" s="3" t="s">
        <v>1373</v>
      </c>
      <c r="H677" s="3" t="s">
        <v>3989</v>
      </c>
      <c r="I677" s="3">
        <v>8</v>
      </c>
      <c r="J677" s="3" t="s">
        <v>29</v>
      </c>
      <c r="K677" s="3" t="s">
        <v>834</v>
      </c>
      <c r="L677" s="3" t="s">
        <v>901</v>
      </c>
      <c r="M677" s="3" t="s">
        <v>3990</v>
      </c>
      <c r="N677" s="3" t="s">
        <v>136</v>
      </c>
      <c r="O677" s="3" t="s">
        <v>28</v>
      </c>
      <c r="P677" s="3" t="s">
        <v>137</v>
      </c>
      <c r="Q677" s="3" t="s">
        <v>246</v>
      </c>
      <c r="R677" s="3">
        <v>3</v>
      </c>
      <c r="S677" s="3">
        <v>39379.269999999997</v>
      </c>
      <c r="T677" s="3">
        <v>10</v>
      </c>
      <c r="U677" s="3">
        <v>106324.03</v>
      </c>
      <c r="V677" s="3">
        <v>66839.53</v>
      </c>
      <c r="W677" s="3">
        <v>39484.5</v>
      </c>
      <c r="X677" s="3">
        <v>37.14</v>
      </c>
      <c r="Y677" s="3">
        <v>99</v>
      </c>
      <c r="Z677" s="3" t="s">
        <v>23</v>
      </c>
      <c r="AA677" s="3" t="s">
        <v>100</v>
      </c>
      <c r="AB677" s="3" t="s">
        <v>101</v>
      </c>
      <c r="AC677" s="3"/>
    </row>
    <row r="678" spans="1:29" x14ac:dyDescent="0.3">
      <c r="A678" s="2" t="s">
        <v>3991</v>
      </c>
      <c r="B678" s="2" t="s">
        <v>3992</v>
      </c>
      <c r="C678" s="2" t="s">
        <v>1054</v>
      </c>
      <c r="D678" s="2" t="s">
        <v>3993</v>
      </c>
      <c r="E678" s="2" t="s">
        <v>26</v>
      </c>
      <c r="F678" s="2" t="s">
        <v>842</v>
      </c>
      <c r="G678" s="2" t="s">
        <v>93</v>
      </c>
      <c r="H678" s="2" t="s">
        <v>1154</v>
      </c>
      <c r="I678" s="2">
        <v>5</v>
      </c>
      <c r="J678" s="2" t="s">
        <v>22</v>
      </c>
      <c r="K678" s="2" t="s">
        <v>738</v>
      </c>
      <c r="L678" s="2" t="s">
        <v>738</v>
      </c>
      <c r="M678" s="2" t="s">
        <v>3994</v>
      </c>
      <c r="N678" s="2" t="s">
        <v>217</v>
      </c>
      <c r="O678" s="2" t="s">
        <v>21</v>
      </c>
      <c r="P678" s="2" t="s">
        <v>206</v>
      </c>
      <c r="Q678" s="2" t="s">
        <v>197</v>
      </c>
      <c r="R678" s="2">
        <v>5</v>
      </c>
      <c r="S678" s="2">
        <v>4106.7700000000004</v>
      </c>
      <c r="T678" s="2">
        <v>0</v>
      </c>
      <c r="U678" s="2">
        <v>20533.849999999999</v>
      </c>
      <c r="V678" s="2">
        <v>13483.76</v>
      </c>
      <c r="W678" s="2">
        <v>7050.09</v>
      </c>
      <c r="X678" s="2">
        <v>34.33</v>
      </c>
      <c r="Y678" s="2">
        <v>0</v>
      </c>
      <c r="Z678" s="2" t="s">
        <v>15</v>
      </c>
      <c r="AA678" s="2" t="s">
        <v>100</v>
      </c>
      <c r="AB678" s="2" t="s">
        <v>101</v>
      </c>
      <c r="AC678" s="2">
        <v>2</v>
      </c>
    </row>
    <row r="679" spans="1:29" x14ac:dyDescent="0.3">
      <c r="A679" s="3" t="s">
        <v>3995</v>
      </c>
      <c r="B679" s="3" t="s">
        <v>3996</v>
      </c>
      <c r="C679" s="3" t="s">
        <v>1196</v>
      </c>
      <c r="D679" s="3" t="s">
        <v>3997</v>
      </c>
      <c r="E679" s="3" t="s">
        <v>33</v>
      </c>
      <c r="F679" s="3" t="s">
        <v>2385</v>
      </c>
      <c r="G679" s="3" t="s">
        <v>2899</v>
      </c>
      <c r="H679" s="3" t="s">
        <v>3876</v>
      </c>
      <c r="I679" s="3">
        <v>8</v>
      </c>
      <c r="J679" s="3" t="s">
        <v>22</v>
      </c>
      <c r="K679" s="3" t="s">
        <v>283</v>
      </c>
      <c r="L679" s="3" t="s">
        <v>284</v>
      </c>
      <c r="M679" s="3" t="s">
        <v>3998</v>
      </c>
      <c r="N679" s="3" t="s">
        <v>274</v>
      </c>
      <c r="O679" s="3" t="s">
        <v>21</v>
      </c>
      <c r="P679" s="3" t="s">
        <v>126</v>
      </c>
      <c r="Q679" s="3" t="s">
        <v>127</v>
      </c>
      <c r="R679" s="3">
        <v>2</v>
      </c>
      <c r="S679" s="3">
        <v>34677.83</v>
      </c>
      <c r="T679" s="3">
        <v>10</v>
      </c>
      <c r="U679" s="3">
        <v>62420.09</v>
      </c>
      <c r="V679" s="3">
        <v>34780.46</v>
      </c>
      <c r="W679" s="3">
        <v>27639.63</v>
      </c>
      <c r="X679" s="3">
        <v>44.28</v>
      </c>
      <c r="Y679" s="3">
        <v>0</v>
      </c>
      <c r="Z679" s="3" t="s">
        <v>47</v>
      </c>
      <c r="AA679" s="3" t="s">
        <v>100</v>
      </c>
      <c r="AB679" s="3" t="s">
        <v>140</v>
      </c>
      <c r="AC679" s="3">
        <v>3</v>
      </c>
    </row>
    <row r="680" spans="1:29" x14ac:dyDescent="0.3">
      <c r="A680" s="2" t="s">
        <v>3999</v>
      </c>
      <c r="B680" s="2" t="s">
        <v>4000</v>
      </c>
      <c r="C680" s="2" t="s">
        <v>918</v>
      </c>
      <c r="D680" s="2" t="s">
        <v>4001</v>
      </c>
      <c r="E680" s="2" t="s">
        <v>18</v>
      </c>
      <c r="F680" s="2" t="s">
        <v>1249</v>
      </c>
      <c r="G680" s="2" t="s">
        <v>2204</v>
      </c>
      <c r="H680" s="2" t="s">
        <v>2205</v>
      </c>
      <c r="I680" s="2">
        <v>2</v>
      </c>
      <c r="J680" s="2" t="s">
        <v>39</v>
      </c>
      <c r="K680" s="2" t="s">
        <v>109</v>
      </c>
      <c r="L680" s="2" t="s">
        <v>344</v>
      </c>
      <c r="M680" s="2" t="s">
        <v>4002</v>
      </c>
      <c r="N680" s="2" t="s">
        <v>163</v>
      </c>
      <c r="O680" s="2" t="s">
        <v>21</v>
      </c>
      <c r="P680" s="2" t="s">
        <v>126</v>
      </c>
      <c r="Q680" s="2" t="s">
        <v>127</v>
      </c>
      <c r="R680" s="2">
        <v>5</v>
      </c>
      <c r="S680" s="2">
        <v>11515.91</v>
      </c>
      <c r="T680" s="2">
        <v>15</v>
      </c>
      <c r="U680" s="2">
        <v>48942.62</v>
      </c>
      <c r="V680" s="2">
        <v>30215.87</v>
      </c>
      <c r="W680" s="2">
        <v>18726.75</v>
      </c>
      <c r="X680" s="2">
        <v>38.26</v>
      </c>
      <c r="Y680" s="2">
        <v>99</v>
      </c>
      <c r="Z680" s="2" t="s">
        <v>15</v>
      </c>
      <c r="AA680" s="2" t="s">
        <v>100</v>
      </c>
      <c r="AB680" s="2" t="s">
        <v>101</v>
      </c>
      <c r="AC680" s="2">
        <v>1</v>
      </c>
    </row>
    <row r="681" spans="1:29" x14ac:dyDescent="0.3">
      <c r="A681" s="3" t="s">
        <v>4003</v>
      </c>
      <c r="B681" s="3" t="s">
        <v>4004</v>
      </c>
      <c r="C681" s="3" t="s">
        <v>512</v>
      </c>
      <c r="D681" s="3" t="s">
        <v>4005</v>
      </c>
      <c r="E681" s="3" t="s">
        <v>33</v>
      </c>
      <c r="F681" s="3" t="s">
        <v>3782</v>
      </c>
      <c r="G681" s="3" t="s">
        <v>810</v>
      </c>
      <c r="H681" s="3" t="s">
        <v>3331</v>
      </c>
      <c r="I681" s="3">
        <v>3</v>
      </c>
      <c r="J681" s="3" t="s">
        <v>29</v>
      </c>
      <c r="K681" s="3" t="s">
        <v>334</v>
      </c>
      <c r="L681" s="3" t="s">
        <v>1073</v>
      </c>
      <c r="M681" s="3" t="s">
        <v>4006</v>
      </c>
      <c r="N681" s="3" t="s">
        <v>274</v>
      </c>
      <c r="O681" s="3" t="s">
        <v>21</v>
      </c>
      <c r="P681" s="3" t="s">
        <v>126</v>
      </c>
      <c r="Q681" s="3" t="s">
        <v>99</v>
      </c>
      <c r="R681" s="3">
        <v>3</v>
      </c>
      <c r="S681" s="3">
        <v>41937.29</v>
      </c>
      <c r="T681" s="3">
        <v>5</v>
      </c>
      <c r="U681" s="3">
        <v>119521.28</v>
      </c>
      <c r="V681" s="3">
        <v>63078.720000000001</v>
      </c>
      <c r="W681" s="3">
        <v>56442.559999999998</v>
      </c>
      <c r="X681" s="3">
        <v>47.22</v>
      </c>
      <c r="Y681" s="3">
        <v>0</v>
      </c>
      <c r="Z681" s="3" t="s">
        <v>40</v>
      </c>
      <c r="AA681" s="3" t="s">
        <v>100</v>
      </c>
      <c r="AB681" s="3" t="s">
        <v>101</v>
      </c>
      <c r="AC681" s="3">
        <v>4</v>
      </c>
    </row>
    <row r="682" spans="1:29" x14ac:dyDescent="0.3">
      <c r="A682" s="2" t="s">
        <v>4007</v>
      </c>
      <c r="B682" s="2" t="s">
        <v>958</v>
      </c>
      <c r="C682" s="2" t="s">
        <v>200</v>
      </c>
      <c r="D682" s="2" t="s">
        <v>4008</v>
      </c>
      <c r="E682" s="2" t="s">
        <v>33</v>
      </c>
      <c r="F682" s="2" t="s">
        <v>1321</v>
      </c>
      <c r="G682" s="2" t="s">
        <v>1322</v>
      </c>
      <c r="H682" s="2" t="s">
        <v>253</v>
      </c>
      <c r="I682" s="2">
        <v>7</v>
      </c>
      <c r="J682" s="2" t="s">
        <v>14</v>
      </c>
      <c r="K682" s="2" t="s">
        <v>215</v>
      </c>
      <c r="L682" s="2" t="s">
        <v>215</v>
      </c>
      <c r="M682" s="2" t="s">
        <v>4009</v>
      </c>
      <c r="N682" s="2" t="s">
        <v>364</v>
      </c>
      <c r="O682" s="2" t="s">
        <v>19</v>
      </c>
      <c r="P682" s="2" t="s">
        <v>365</v>
      </c>
      <c r="Q682" s="2" t="s">
        <v>218</v>
      </c>
      <c r="R682" s="2">
        <v>1</v>
      </c>
      <c r="S682" s="2">
        <v>38048.49</v>
      </c>
      <c r="T682" s="2">
        <v>0</v>
      </c>
      <c r="U682" s="2">
        <v>38048.49</v>
      </c>
      <c r="V682" s="2">
        <v>22741.06</v>
      </c>
      <c r="W682" s="2">
        <v>15307.43</v>
      </c>
      <c r="X682" s="2">
        <v>40.229999999999997</v>
      </c>
      <c r="Y682" s="2">
        <v>99</v>
      </c>
      <c r="Z682" s="2" t="s">
        <v>43</v>
      </c>
      <c r="AA682" s="2" t="s">
        <v>100</v>
      </c>
      <c r="AB682" s="2" t="s">
        <v>101</v>
      </c>
      <c r="AC682" s="2"/>
    </row>
    <row r="683" spans="1:29" x14ac:dyDescent="0.3">
      <c r="A683" s="3" t="s">
        <v>4010</v>
      </c>
      <c r="B683" s="3" t="s">
        <v>4011</v>
      </c>
      <c r="C683" s="3" t="s">
        <v>155</v>
      </c>
      <c r="D683" s="3" t="s">
        <v>4012</v>
      </c>
      <c r="E683" s="3" t="s">
        <v>26</v>
      </c>
      <c r="F683" s="3" t="s">
        <v>2593</v>
      </c>
      <c r="G683" s="3" t="s">
        <v>106</v>
      </c>
      <c r="H683" s="3" t="s">
        <v>531</v>
      </c>
      <c r="I683" s="3">
        <v>7</v>
      </c>
      <c r="J683" s="3" t="s">
        <v>22</v>
      </c>
      <c r="K683" s="3" t="s">
        <v>443</v>
      </c>
      <c r="L683" s="3" t="s">
        <v>498</v>
      </c>
      <c r="M683" s="3" t="s">
        <v>4013</v>
      </c>
      <c r="N683" s="3" t="s">
        <v>205</v>
      </c>
      <c r="O683" s="3" t="s">
        <v>21</v>
      </c>
      <c r="P683" s="3" t="s">
        <v>206</v>
      </c>
      <c r="Q683" s="3" t="s">
        <v>152</v>
      </c>
      <c r="R683" s="3">
        <v>4</v>
      </c>
      <c r="S683" s="3">
        <v>42953.25</v>
      </c>
      <c r="T683" s="3">
        <v>0</v>
      </c>
      <c r="U683" s="3">
        <v>171813</v>
      </c>
      <c r="V683" s="3">
        <v>97792.02</v>
      </c>
      <c r="W683" s="3">
        <v>74020.98</v>
      </c>
      <c r="X683" s="3">
        <v>43.08</v>
      </c>
      <c r="Y683" s="3">
        <v>99</v>
      </c>
      <c r="Z683" s="3" t="s">
        <v>43</v>
      </c>
      <c r="AA683" s="3" t="s">
        <v>186</v>
      </c>
      <c r="AB683" s="3" t="s">
        <v>101</v>
      </c>
      <c r="AC683" s="3"/>
    </row>
    <row r="684" spans="1:29" x14ac:dyDescent="0.3">
      <c r="A684" s="2" t="s">
        <v>4014</v>
      </c>
      <c r="B684" s="2" t="s">
        <v>4015</v>
      </c>
      <c r="C684" s="2" t="s">
        <v>459</v>
      </c>
      <c r="D684" s="2" t="s">
        <v>3780</v>
      </c>
      <c r="E684" s="2" t="s">
        <v>33</v>
      </c>
      <c r="F684" s="2" t="s">
        <v>1689</v>
      </c>
      <c r="G684" s="2" t="s">
        <v>1242</v>
      </c>
      <c r="H684" s="2" t="s">
        <v>1726</v>
      </c>
      <c r="I684" s="2">
        <v>5</v>
      </c>
      <c r="J684" s="2" t="s">
        <v>22</v>
      </c>
      <c r="K684" s="2" t="s">
        <v>122</v>
      </c>
      <c r="L684" s="2" t="s">
        <v>812</v>
      </c>
      <c r="M684" s="2" t="s">
        <v>4016</v>
      </c>
      <c r="N684" s="2" t="s">
        <v>327</v>
      </c>
      <c r="O684" s="2" t="s">
        <v>27</v>
      </c>
      <c r="P684" s="2" t="s">
        <v>113</v>
      </c>
      <c r="Q684" s="2" t="s">
        <v>287</v>
      </c>
      <c r="R684" s="2">
        <v>5</v>
      </c>
      <c r="S684" s="2">
        <v>45935.51</v>
      </c>
      <c r="T684" s="2">
        <v>0</v>
      </c>
      <c r="U684" s="2">
        <v>229677.55</v>
      </c>
      <c r="V684" s="2">
        <v>132747.23000000001</v>
      </c>
      <c r="W684" s="2">
        <v>96930.32</v>
      </c>
      <c r="X684" s="2">
        <v>42.2</v>
      </c>
      <c r="Y684" s="2">
        <v>149</v>
      </c>
      <c r="Z684" s="2" t="s">
        <v>23</v>
      </c>
      <c r="AA684" s="2" t="s">
        <v>100</v>
      </c>
      <c r="AB684" s="2" t="s">
        <v>101</v>
      </c>
      <c r="AC684" s="2">
        <v>2</v>
      </c>
    </row>
    <row r="685" spans="1:29" x14ac:dyDescent="0.3">
      <c r="A685" s="3" t="s">
        <v>4017</v>
      </c>
      <c r="B685" s="3" t="s">
        <v>4018</v>
      </c>
      <c r="C685" s="3" t="s">
        <v>1911</v>
      </c>
      <c r="D685" s="3" t="s">
        <v>4019</v>
      </c>
      <c r="E685" s="3" t="s">
        <v>33</v>
      </c>
      <c r="F685" s="3" t="s">
        <v>388</v>
      </c>
      <c r="G685" s="3" t="s">
        <v>735</v>
      </c>
      <c r="H685" s="3" t="s">
        <v>737</v>
      </c>
      <c r="I685" s="3">
        <v>7</v>
      </c>
      <c r="J685" s="3" t="s">
        <v>14</v>
      </c>
      <c r="K685" s="3" t="s">
        <v>712</v>
      </c>
      <c r="L685" s="3" t="s">
        <v>712</v>
      </c>
      <c r="M685" s="3" t="s">
        <v>4020</v>
      </c>
      <c r="N685" s="3" t="s">
        <v>533</v>
      </c>
      <c r="O685" s="3" t="s">
        <v>19</v>
      </c>
      <c r="P685" s="3" t="s">
        <v>297</v>
      </c>
      <c r="Q685" s="3" t="s">
        <v>355</v>
      </c>
      <c r="R685" s="3">
        <v>5</v>
      </c>
      <c r="S685" s="3">
        <v>20525.740000000002</v>
      </c>
      <c r="T685" s="3">
        <v>5</v>
      </c>
      <c r="U685" s="3">
        <v>97497.26</v>
      </c>
      <c r="V685" s="3">
        <v>59720.14</v>
      </c>
      <c r="W685" s="3">
        <v>37777.120000000003</v>
      </c>
      <c r="X685" s="3">
        <v>38.75</v>
      </c>
      <c r="Y685" s="3">
        <v>99</v>
      </c>
      <c r="Z685" s="3" t="s">
        <v>43</v>
      </c>
      <c r="AA685" s="3" t="s">
        <v>139</v>
      </c>
      <c r="AB685" s="3" t="s">
        <v>140</v>
      </c>
      <c r="AC685" s="3"/>
    </row>
    <row r="686" spans="1:29" x14ac:dyDescent="0.3">
      <c r="A686" s="2" t="s">
        <v>4021</v>
      </c>
      <c r="B686" s="2" t="s">
        <v>4022</v>
      </c>
      <c r="C686" s="2" t="s">
        <v>3547</v>
      </c>
      <c r="D686" s="2" t="s">
        <v>4023</v>
      </c>
      <c r="E686" s="2" t="s">
        <v>33</v>
      </c>
      <c r="F686" s="2" t="s">
        <v>3200</v>
      </c>
      <c r="G686" s="2" t="s">
        <v>3201</v>
      </c>
      <c r="H686" s="2" t="s">
        <v>1080</v>
      </c>
      <c r="I686" s="2">
        <v>5</v>
      </c>
      <c r="J686" s="2" t="s">
        <v>14</v>
      </c>
      <c r="K686" s="2" t="s">
        <v>171</v>
      </c>
      <c r="L686" s="2" t="s">
        <v>172</v>
      </c>
      <c r="M686" s="2" t="s">
        <v>4024</v>
      </c>
      <c r="N686" s="2" t="s">
        <v>631</v>
      </c>
      <c r="O686" s="2" t="s">
        <v>19</v>
      </c>
      <c r="P686" s="2" t="s">
        <v>297</v>
      </c>
      <c r="Q686" s="2" t="s">
        <v>218</v>
      </c>
      <c r="R686" s="2">
        <v>5</v>
      </c>
      <c r="S686" s="2">
        <v>1477.45</v>
      </c>
      <c r="T686" s="2">
        <v>15</v>
      </c>
      <c r="U686" s="2">
        <v>6279.16</v>
      </c>
      <c r="V686" s="2">
        <v>2913.36</v>
      </c>
      <c r="W686" s="2">
        <v>3365.8</v>
      </c>
      <c r="X686" s="2">
        <v>53.6</v>
      </c>
      <c r="Y686" s="2">
        <v>99</v>
      </c>
      <c r="Z686" s="2" t="s">
        <v>30</v>
      </c>
      <c r="AA686" s="2" t="s">
        <v>100</v>
      </c>
      <c r="AB686" s="2" t="s">
        <v>101</v>
      </c>
      <c r="AC686" s="2">
        <v>2</v>
      </c>
    </row>
    <row r="687" spans="1:29" x14ac:dyDescent="0.3">
      <c r="A687" s="3" t="s">
        <v>4025</v>
      </c>
      <c r="B687" s="3" t="s">
        <v>4026</v>
      </c>
      <c r="C687" s="3" t="s">
        <v>619</v>
      </c>
      <c r="D687" s="3" t="s">
        <v>4027</v>
      </c>
      <c r="E687" s="3" t="s">
        <v>33</v>
      </c>
      <c r="F687" s="3" t="s">
        <v>2100</v>
      </c>
      <c r="G687" s="3" t="s">
        <v>2524</v>
      </c>
      <c r="H687" s="3" t="s">
        <v>2101</v>
      </c>
      <c r="I687" s="3">
        <v>4</v>
      </c>
      <c r="J687" s="3" t="s">
        <v>22</v>
      </c>
      <c r="K687" s="3" t="s">
        <v>738</v>
      </c>
      <c r="L687" s="3" t="s">
        <v>738</v>
      </c>
      <c r="M687" s="3" t="s">
        <v>4028</v>
      </c>
      <c r="N687" s="3" t="s">
        <v>399</v>
      </c>
      <c r="O687" s="3" t="s">
        <v>21</v>
      </c>
      <c r="P687" s="3" t="s">
        <v>196</v>
      </c>
      <c r="Q687" s="3" t="s">
        <v>466</v>
      </c>
      <c r="R687" s="3">
        <v>2</v>
      </c>
      <c r="S687" s="3">
        <v>41593.519999999997</v>
      </c>
      <c r="T687" s="3">
        <v>10</v>
      </c>
      <c r="U687" s="3">
        <v>74868.34</v>
      </c>
      <c r="V687" s="3">
        <v>40958.129999999997</v>
      </c>
      <c r="W687" s="3">
        <v>33910.21</v>
      </c>
      <c r="X687" s="3">
        <v>45.29</v>
      </c>
      <c r="Y687" s="3">
        <v>49</v>
      </c>
      <c r="Z687" s="3" t="s">
        <v>40</v>
      </c>
      <c r="AA687" s="3" t="s">
        <v>100</v>
      </c>
      <c r="AB687" s="3" t="s">
        <v>101</v>
      </c>
      <c r="AC687" s="3">
        <v>3</v>
      </c>
    </row>
    <row r="688" spans="1:29" x14ac:dyDescent="0.3">
      <c r="A688" s="2" t="s">
        <v>4029</v>
      </c>
      <c r="B688" s="2" t="s">
        <v>4030</v>
      </c>
      <c r="C688" s="2" t="s">
        <v>1419</v>
      </c>
      <c r="D688" s="2" t="s">
        <v>4031</v>
      </c>
      <c r="E688" s="2" t="s">
        <v>42</v>
      </c>
      <c r="F688" s="2" t="s">
        <v>4032</v>
      </c>
      <c r="G688" s="2" t="s">
        <v>252</v>
      </c>
      <c r="H688" s="2" t="s">
        <v>1777</v>
      </c>
      <c r="I688" s="2">
        <v>3</v>
      </c>
      <c r="J688" s="2" t="s">
        <v>22</v>
      </c>
      <c r="K688" s="2" t="s">
        <v>283</v>
      </c>
      <c r="L688" s="2" t="s">
        <v>1346</v>
      </c>
      <c r="M688" s="2" t="s">
        <v>4033</v>
      </c>
      <c r="N688" s="2" t="s">
        <v>623</v>
      </c>
      <c r="O688" s="2" t="s">
        <v>19</v>
      </c>
      <c r="P688" s="2" t="s">
        <v>297</v>
      </c>
      <c r="Q688" s="2" t="s">
        <v>400</v>
      </c>
      <c r="R688" s="2">
        <v>1</v>
      </c>
      <c r="S688" s="2">
        <v>26139.35</v>
      </c>
      <c r="T688" s="2">
        <v>25</v>
      </c>
      <c r="U688" s="2">
        <v>19604.509999999998</v>
      </c>
      <c r="V688" s="2">
        <v>8908.74</v>
      </c>
      <c r="W688" s="2">
        <v>10695.77</v>
      </c>
      <c r="X688" s="2">
        <v>54.56</v>
      </c>
      <c r="Y688" s="2">
        <v>49</v>
      </c>
      <c r="Z688" s="2" t="s">
        <v>30</v>
      </c>
      <c r="AA688" s="2" t="s">
        <v>186</v>
      </c>
      <c r="AB688" s="2" t="s">
        <v>101</v>
      </c>
      <c r="AC688" s="2"/>
    </row>
    <row r="689" spans="1:29" x14ac:dyDescent="0.3">
      <c r="A689" s="3" t="s">
        <v>4034</v>
      </c>
      <c r="B689" s="3" t="s">
        <v>4035</v>
      </c>
      <c r="C689" s="3" t="s">
        <v>1426</v>
      </c>
      <c r="D689" s="3" t="s">
        <v>4036</v>
      </c>
      <c r="E689" s="3" t="s">
        <v>42</v>
      </c>
      <c r="F689" s="3" t="s">
        <v>969</v>
      </c>
      <c r="G689" s="3" t="s">
        <v>506</v>
      </c>
      <c r="H689" s="3" t="s">
        <v>491</v>
      </c>
      <c r="I689" s="3">
        <v>8</v>
      </c>
      <c r="J689" s="3" t="s">
        <v>14</v>
      </c>
      <c r="K689" s="3" t="s">
        <v>95</v>
      </c>
      <c r="L689" s="3" t="s">
        <v>95</v>
      </c>
      <c r="M689" s="3" t="s">
        <v>4037</v>
      </c>
      <c r="N689" s="3" t="s">
        <v>174</v>
      </c>
      <c r="O689" s="3" t="s">
        <v>27</v>
      </c>
      <c r="P689" s="3" t="s">
        <v>175</v>
      </c>
      <c r="Q689" s="3" t="s">
        <v>197</v>
      </c>
      <c r="R689" s="3">
        <v>1</v>
      </c>
      <c r="S689" s="3">
        <v>35585.47</v>
      </c>
      <c r="T689" s="3">
        <v>30</v>
      </c>
      <c r="U689" s="3">
        <v>24909.83</v>
      </c>
      <c r="V689" s="3">
        <v>17360.37</v>
      </c>
      <c r="W689" s="3">
        <v>7549.46</v>
      </c>
      <c r="X689" s="3">
        <v>30.31</v>
      </c>
      <c r="Y689" s="3">
        <v>29</v>
      </c>
      <c r="Z689" s="3" t="s">
        <v>15</v>
      </c>
      <c r="AA689" s="3" t="s">
        <v>672</v>
      </c>
      <c r="AB689" s="3" t="s">
        <v>101</v>
      </c>
      <c r="AC689" s="3"/>
    </row>
    <row r="690" spans="1:29" x14ac:dyDescent="0.3">
      <c r="A690" s="2" t="s">
        <v>4038</v>
      </c>
      <c r="B690" s="2" t="s">
        <v>3482</v>
      </c>
      <c r="C690" s="2" t="s">
        <v>666</v>
      </c>
      <c r="D690" s="2" t="s">
        <v>4039</v>
      </c>
      <c r="E690" s="2" t="s">
        <v>26</v>
      </c>
      <c r="F690" s="2" t="s">
        <v>1329</v>
      </c>
      <c r="G690" s="2" t="s">
        <v>168</v>
      </c>
      <c r="H690" s="2" t="s">
        <v>1330</v>
      </c>
      <c r="I690" s="2">
        <v>3</v>
      </c>
      <c r="J690" s="2" t="s">
        <v>39</v>
      </c>
      <c r="K690" s="2" t="s">
        <v>193</v>
      </c>
      <c r="L690" s="2" t="s">
        <v>193</v>
      </c>
      <c r="M690" s="2" t="s">
        <v>4040</v>
      </c>
      <c r="N690" s="2" t="s">
        <v>195</v>
      </c>
      <c r="O690" s="2" t="s">
        <v>21</v>
      </c>
      <c r="P690" s="2" t="s">
        <v>196</v>
      </c>
      <c r="Q690" s="2" t="s">
        <v>287</v>
      </c>
      <c r="R690" s="2">
        <v>2</v>
      </c>
      <c r="S690" s="2">
        <v>8094.51</v>
      </c>
      <c r="T690" s="2">
        <v>20</v>
      </c>
      <c r="U690" s="2">
        <v>12951.22</v>
      </c>
      <c r="V690" s="2">
        <v>8658.6</v>
      </c>
      <c r="W690" s="2">
        <v>4292.62</v>
      </c>
      <c r="X690" s="2">
        <v>33.14</v>
      </c>
      <c r="Y690" s="2">
        <v>99</v>
      </c>
      <c r="Z690" s="2" t="s">
        <v>15</v>
      </c>
      <c r="AA690" s="2" t="s">
        <v>672</v>
      </c>
      <c r="AB690" s="2" t="s">
        <v>101</v>
      </c>
      <c r="AC690" s="2"/>
    </row>
    <row r="691" spans="1:29" x14ac:dyDescent="0.3">
      <c r="A691" s="3" t="s">
        <v>4041</v>
      </c>
      <c r="B691" s="3" t="s">
        <v>4042</v>
      </c>
      <c r="C691" s="3" t="s">
        <v>495</v>
      </c>
      <c r="D691" s="3" t="s">
        <v>4043</v>
      </c>
      <c r="E691" s="3" t="s">
        <v>42</v>
      </c>
      <c r="F691" s="3" t="s">
        <v>4044</v>
      </c>
      <c r="G691" s="3" t="s">
        <v>4045</v>
      </c>
      <c r="H691" s="3" t="s">
        <v>1436</v>
      </c>
      <c r="I691" s="3">
        <v>4</v>
      </c>
      <c r="J691" s="3" t="s">
        <v>22</v>
      </c>
      <c r="K691" s="3" t="s">
        <v>738</v>
      </c>
      <c r="L691" s="3" t="s">
        <v>738</v>
      </c>
      <c r="M691" s="3" t="s">
        <v>4046</v>
      </c>
      <c r="N691" s="3" t="s">
        <v>456</v>
      </c>
      <c r="O691" s="3" t="s">
        <v>21</v>
      </c>
      <c r="P691" s="3" t="s">
        <v>206</v>
      </c>
      <c r="Q691" s="3" t="s">
        <v>218</v>
      </c>
      <c r="R691" s="3">
        <v>4</v>
      </c>
      <c r="S691" s="3">
        <v>17267.53</v>
      </c>
      <c r="T691" s="3">
        <v>10</v>
      </c>
      <c r="U691" s="3">
        <v>62163.11</v>
      </c>
      <c r="V691" s="3">
        <v>40929.83</v>
      </c>
      <c r="W691" s="3">
        <v>21233.279999999999</v>
      </c>
      <c r="X691" s="3">
        <v>34.159999999999997</v>
      </c>
      <c r="Y691" s="3">
        <v>199</v>
      </c>
      <c r="Z691" s="3" t="s">
        <v>43</v>
      </c>
      <c r="AA691" s="3" t="s">
        <v>100</v>
      </c>
      <c r="AB691" s="3" t="s">
        <v>101</v>
      </c>
      <c r="AC691" s="3">
        <v>1</v>
      </c>
    </row>
    <row r="692" spans="1:29" x14ac:dyDescent="0.3">
      <c r="A692" s="2" t="s">
        <v>4047</v>
      </c>
      <c r="B692" s="2" t="s">
        <v>4048</v>
      </c>
      <c r="C692" s="2" t="s">
        <v>4049</v>
      </c>
      <c r="D692" s="2" t="s">
        <v>4050</v>
      </c>
      <c r="E692" s="2" t="s">
        <v>26</v>
      </c>
      <c r="F692" s="2" t="s">
        <v>481</v>
      </c>
      <c r="G692" s="2" t="s">
        <v>3525</v>
      </c>
      <c r="H692" s="2" t="s">
        <v>2222</v>
      </c>
      <c r="I692" s="2">
        <v>6</v>
      </c>
      <c r="J692" s="2" t="s">
        <v>22</v>
      </c>
      <c r="K692" s="2" t="s">
        <v>122</v>
      </c>
      <c r="L692" s="2" t="s">
        <v>123</v>
      </c>
      <c r="M692" s="2" t="s">
        <v>1714</v>
      </c>
      <c r="N692" s="2" t="s">
        <v>1380</v>
      </c>
      <c r="O692" s="2" t="s">
        <v>28</v>
      </c>
      <c r="P692" s="2" t="s">
        <v>137</v>
      </c>
      <c r="Q692" s="2" t="s">
        <v>608</v>
      </c>
      <c r="R692" s="2">
        <v>4</v>
      </c>
      <c r="S692" s="2">
        <v>36785.82</v>
      </c>
      <c r="T692" s="2">
        <v>20</v>
      </c>
      <c r="U692" s="2">
        <v>117714.62</v>
      </c>
      <c r="V692" s="2">
        <v>53175.73</v>
      </c>
      <c r="W692" s="2">
        <v>64538.89</v>
      </c>
      <c r="X692" s="2">
        <v>54.83</v>
      </c>
      <c r="Y692" s="2">
        <v>99</v>
      </c>
      <c r="Z692" s="2" t="s">
        <v>15</v>
      </c>
      <c r="AA692" s="2" t="s">
        <v>275</v>
      </c>
      <c r="AB692" s="2" t="s">
        <v>101</v>
      </c>
      <c r="AC692" s="2"/>
    </row>
    <row r="693" spans="1:29" x14ac:dyDescent="0.3">
      <c r="A693" s="3" t="s">
        <v>4051</v>
      </c>
      <c r="B693" s="3" t="s">
        <v>4052</v>
      </c>
      <c r="C693" s="3" t="s">
        <v>1899</v>
      </c>
      <c r="D693" s="3" t="s">
        <v>4053</v>
      </c>
      <c r="E693" s="3" t="s">
        <v>33</v>
      </c>
      <c r="F693" s="3" t="s">
        <v>1026</v>
      </c>
      <c r="G693" s="3" t="s">
        <v>1027</v>
      </c>
      <c r="H693" s="3" t="s">
        <v>132</v>
      </c>
      <c r="I693" s="3">
        <v>5</v>
      </c>
      <c r="J693" s="3" t="s">
        <v>39</v>
      </c>
      <c r="K693" s="3" t="s">
        <v>225</v>
      </c>
      <c r="L693" s="3" t="s">
        <v>225</v>
      </c>
      <c r="M693" s="3" t="s">
        <v>4054</v>
      </c>
      <c r="N693" s="3" t="s">
        <v>765</v>
      </c>
      <c r="O693" s="3" t="s">
        <v>27</v>
      </c>
      <c r="P693" s="3" t="s">
        <v>113</v>
      </c>
      <c r="Q693" s="3" t="s">
        <v>114</v>
      </c>
      <c r="R693" s="3">
        <v>4</v>
      </c>
      <c r="S693" s="3">
        <v>4022.25</v>
      </c>
      <c r="T693" s="3">
        <v>25</v>
      </c>
      <c r="U693" s="3">
        <v>12066.75</v>
      </c>
      <c r="V693" s="3">
        <v>6014.83</v>
      </c>
      <c r="W693" s="3">
        <v>6051.92</v>
      </c>
      <c r="X693" s="3">
        <v>50.15</v>
      </c>
      <c r="Y693" s="3">
        <v>99</v>
      </c>
      <c r="Z693" s="3" t="s">
        <v>43</v>
      </c>
      <c r="AA693" s="3" t="s">
        <v>275</v>
      </c>
      <c r="AB693" s="3" t="s">
        <v>101</v>
      </c>
      <c r="AC693" s="3"/>
    </row>
    <row r="694" spans="1:29" x14ac:dyDescent="0.3">
      <c r="A694" s="2" t="s">
        <v>4055</v>
      </c>
      <c r="B694" s="2" t="s">
        <v>4056</v>
      </c>
      <c r="C694" s="2" t="s">
        <v>3325</v>
      </c>
      <c r="D694" s="2" t="s">
        <v>4057</v>
      </c>
      <c r="E694" s="2" t="s">
        <v>42</v>
      </c>
      <c r="F694" s="2" t="s">
        <v>1526</v>
      </c>
      <c r="G694" s="2" t="s">
        <v>3418</v>
      </c>
      <c r="H694" s="2" t="s">
        <v>1546</v>
      </c>
      <c r="I694" s="2">
        <v>7</v>
      </c>
      <c r="J694" s="2" t="s">
        <v>29</v>
      </c>
      <c r="K694" s="2" t="s">
        <v>160</v>
      </c>
      <c r="L694" s="2" t="s">
        <v>976</v>
      </c>
      <c r="M694" s="2" t="s">
        <v>4058</v>
      </c>
      <c r="N694" s="2" t="s">
        <v>409</v>
      </c>
      <c r="O694" s="2" t="s">
        <v>21</v>
      </c>
      <c r="P694" s="2" t="s">
        <v>196</v>
      </c>
      <c r="Q694" s="2" t="s">
        <v>99</v>
      </c>
      <c r="R694" s="2">
        <v>5</v>
      </c>
      <c r="S694" s="2">
        <v>31644.23</v>
      </c>
      <c r="T694" s="2">
        <v>15</v>
      </c>
      <c r="U694" s="2">
        <v>134487.98000000001</v>
      </c>
      <c r="V694" s="2">
        <v>91624.5</v>
      </c>
      <c r="W694" s="2">
        <v>42863.48</v>
      </c>
      <c r="X694" s="2">
        <v>31.87</v>
      </c>
      <c r="Y694" s="2">
        <v>149</v>
      </c>
      <c r="Z694" s="2" t="s">
        <v>30</v>
      </c>
      <c r="AA694" s="2" t="s">
        <v>100</v>
      </c>
      <c r="AB694" s="2" t="s">
        <v>101</v>
      </c>
      <c r="AC694" s="2">
        <v>1</v>
      </c>
    </row>
    <row r="695" spans="1:29" x14ac:dyDescent="0.3">
      <c r="A695" s="3" t="s">
        <v>4059</v>
      </c>
      <c r="B695" s="3" t="s">
        <v>3493</v>
      </c>
      <c r="C695" s="3" t="s">
        <v>2067</v>
      </c>
      <c r="D695" s="3" t="s">
        <v>4060</v>
      </c>
      <c r="E695" s="3" t="s">
        <v>33</v>
      </c>
      <c r="F695" s="3" t="s">
        <v>1756</v>
      </c>
      <c r="G695" s="3" t="s">
        <v>1840</v>
      </c>
      <c r="H695" s="3" t="s">
        <v>2434</v>
      </c>
      <c r="I695" s="3">
        <v>7</v>
      </c>
      <c r="J695" s="3" t="s">
        <v>22</v>
      </c>
      <c r="K695" s="3" t="s">
        <v>122</v>
      </c>
      <c r="L695" s="3" t="s">
        <v>123</v>
      </c>
      <c r="M695" s="3" t="s">
        <v>4061</v>
      </c>
      <c r="N695" s="3" t="s">
        <v>750</v>
      </c>
      <c r="O695" s="3" t="s">
        <v>13</v>
      </c>
      <c r="P695" s="3" t="s">
        <v>419</v>
      </c>
      <c r="Q695" s="3" t="s">
        <v>197</v>
      </c>
      <c r="R695" s="3">
        <v>4</v>
      </c>
      <c r="S695" s="3">
        <v>8193.7000000000007</v>
      </c>
      <c r="T695" s="3">
        <v>10</v>
      </c>
      <c r="U695" s="3">
        <v>29497.32</v>
      </c>
      <c r="V695" s="3">
        <v>19487.36</v>
      </c>
      <c r="W695" s="3">
        <v>10009.959999999999</v>
      </c>
      <c r="X695" s="3">
        <v>33.94</v>
      </c>
      <c r="Y695" s="3">
        <v>149</v>
      </c>
      <c r="Z695" s="3" t="s">
        <v>48</v>
      </c>
      <c r="AA695" s="3" t="s">
        <v>139</v>
      </c>
      <c r="AB695" s="3" t="s">
        <v>140</v>
      </c>
      <c r="AC695" s="3"/>
    </row>
    <row r="696" spans="1:29" x14ac:dyDescent="0.3">
      <c r="A696" s="2" t="s">
        <v>4062</v>
      </c>
      <c r="B696" s="2" t="s">
        <v>4063</v>
      </c>
      <c r="C696" s="2" t="s">
        <v>3432</v>
      </c>
      <c r="D696" s="2" t="s">
        <v>4064</v>
      </c>
      <c r="E696" s="2" t="s">
        <v>26</v>
      </c>
      <c r="F696" s="2" t="s">
        <v>629</v>
      </c>
      <c r="G696" s="2" t="s">
        <v>3660</v>
      </c>
      <c r="H696" s="2" t="s">
        <v>3781</v>
      </c>
      <c r="I696" s="2">
        <v>2</v>
      </c>
      <c r="J696" s="2" t="s">
        <v>22</v>
      </c>
      <c r="K696" s="2" t="s">
        <v>443</v>
      </c>
      <c r="L696" s="2" t="s">
        <v>498</v>
      </c>
      <c r="M696" s="2" t="s">
        <v>4065</v>
      </c>
      <c r="N696" s="2" t="s">
        <v>163</v>
      </c>
      <c r="O696" s="2" t="s">
        <v>21</v>
      </c>
      <c r="P696" s="2" t="s">
        <v>126</v>
      </c>
      <c r="Q696" s="2" t="s">
        <v>207</v>
      </c>
      <c r="R696" s="2">
        <v>4</v>
      </c>
      <c r="S696" s="2">
        <v>3158.68</v>
      </c>
      <c r="T696" s="2">
        <v>10</v>
      </c>
      <c r="U696" s="2">
        <v>11371.25</v>
      </c>
      <c r="V696" s="2">
        <v>7499.1</v>
      </c>
      <c r="W696" s="2">
        <v>3872.15</v>
      </c>
      <c r="X696" s="2">
        <v>34.049999999999997</v>
      </c>
      <c r="Y696" s="2">
        <v>0</v>
      </c>
      <c r="Z696" s="2" t="s">
        <v>43</v>
      </c>
      <c r="AA696" s="2" t="s">
        <v>100</v>
      </c>
      <c r="AB696" s="2" t="s">
        <v>101</v>
      </c>
      <c r="AC696" s="2">
        <v>2</v>
      </c>
    </row>
    <row r="697" spans="1:29" x14ac:dyDescent="0.3">
      <c r="A697" s="3" t="s">
        <v>4066</v>
      </c>
      <c r="B697" s="3" t="s">
        <v>4067</v>
      </c>
      <c r="C697" s="3" t="s">
        <v>4068</v>
      </c>
      <c r="D697" s="3" t="s">
        <v>4069</v>
      </c>
      <c r="E697" s="3" t="s">
        <v>18</v>
      </c>
      <c r="F697" s="3" t="s">
        <v>2666</v>
      </c>
      <c r="G697" s="3" t="s">
        <v>893</v>
      </c>
      <c r="H697" s="3" t="s">
        <v>379</v>
      </c>
      <c r="I697" s="3">
        <v>3</v>
      </c>
      <c r="J697" s="3" t="s">
        <v>22</v>
      </c>
      <c r="K697" s="3" t="s">
        <v>738</v>
      </c>
      <c r="L697" s="3" t="s">
        <v>738</v>
      </c>
      <c r="M697" s="3" t="s">
        <v>1991</v>
      </c>
      <c r="N697" s="3" t="s">
        <v>704</v>
      </c>
      <c r="O697" s="3" t="s">
        <v>13</v>
      </c>
      <c r="P697" s="3" t="s">
        <v>419</v>
      </c>
      <c r="Q697" s="3" t="s">
        <v>287</v>
      </c>
      <c r="R697" s="3">
        <v>4</v>
      </c>
      <c r="S697" s="3">
        <v>26670.78</v>
      </c>
      <c r="T697" s="3">
        <v>25</v>
      </c>
      <c r="U697" s="3">
        <v>80012.34</v>
      </c>
      <c r="V697" s="3">
        <v>50560.97</v>
      </c>
      <c r="W697" s="3">
        <v>29451.37</v>
      </c>
      <c r="X697" s="3">
        <v>36.81</v>
      </c>
      <c r="Y697" s="3">
        <v>49</v>
      </c>
      <c r="Z697" s="3" t="s">
        <v>30</v>
      </c>
      <c r="AA697" s="3" t="s">
        <v>100</v>
      </c>
      <c r="AB697" s="3" t="s">
        <v>101</v>
      </c>
      <c r="AC697" s="3"/>
    </row>
    <row r="698" spans="1:29" x14ac:dyDescent="0.3">
      <c r="A698" s="2" t="s">
        <v>4070</v>
      </c>
      <c r="B698" s="2" t="s">
        <v>4071</v>
      </c>
      <c r="C698" s="2" t="s">
        <v>1989</v>
      </c>
      <c r="D698" s="2" t="s">
        <v>4072</v>
      </c>
      <c r="E698" s="2" t="s">
        <v>26</v>
      </c>
      <c r="F698" s="2" t="s">
        <v>2611</v>
      </c>
      <c r="G698" s="2" t="s">
        <v>3256</v>
      </c>
      <c r="H698" s="2" t="s">
        <v>1249</v>
      </c>
      <c r="I698" s="2">
        <v>4</v>
      </c>
      <c r="J698" s="2" t="s">
        <v>14</v>
      </c>
      <c r="K698" s="2" t="s">
        <v>183</v>
      </c>
      <c r="L698" s="2" t="s">
        <v>183</v>
      </c>
      <c r="M698" s="2" t="s">
        <v>4073</v>
      </c>
      <c r="N698" s="2" t="s">
        <v>1122</v>
      </c>
      <c r="O698" s="2" t="s">
        <v>27</v>
      </c>
      <c r="P698" s="2" t="s">
        <v>257</v>
      </c>
      <c r="Q698" s="2" t="s">
        <v>287</v>
      </c>
      <c r="R698" s="2">
        <v>2</v>
      </c>
      <c r="S698" s="2">
        <v>48211.65</v>
      </c>
      <c r="T698" s="2">
        <v>5</v>
      </c>
      <c r="U698" s="2">
        <v>91602.13</v>
      </c>
      <c r="V698" s="2">
        <v>60345.2</v>
      </c>
      <c r="W698" s="2">
        <v>31256.93</v>
      </c>
      <c r="X698" s="2">
        <v>34.119999999999997</v>
      </c>
      <c r="Y698" s="2">
        <v>199</v>
      </c>
      <c r="Z698" s="2" t="s">
        <v>40</v>
      </c>
      <c r="AA698" s="2" t="s">
        <v>100</v>
      </c>
      <c r="AB698" s="2" t="s">
        <v>101</v>
      </c>
      <c r="AC698" s="2"/>
    </row>
    <row r="699" spans="1:29" x14ac:dyDescent="0.3">
      <c r="A699" s="3" t="s">
        <v>4074</v>
      </c>
      <c r="B699" s="3" t="s">
        <v>4075</v>
      </c>
      <c r="C699" s="3" t="s">
        <v>967</v>
      </c>
      <c r="D699" s="3" t="s">
        <v>4076</v>
      </c>
      <c r="E699" s="3" t="s">
        <v>18</v>
      </c>
      <c r="F699" s="3" t="s">
        <v>3698</v>
      </c>
      <c r="G699" s="3" t="s">
        <v>3591</v>
      </c>
      <c r="H699" s="3" t="s">
        <v>2899</v>
      </c>
      <c r="I699" s="3">
        <v>5</v>
      </c>
      <c r="J699" s="3" t="s">
        <v>39</v>
      </c>
      <c r="K699" s="3" t="s">
        <v>193</v>
      </c>
      <c r="L699" s="3" t="s">
        <v>193</v>
      </c>
      <c r="M699" s="3" t="s">
        <v>4077</v>
      </c>
      <c r="N699" s="3" t="s">
        <v>1802</v>
      </c>
      <c r="O699" s="3" t="s">
        <v>28</v>
      </c>
      <c r="P699" s="3" t="s">
        <v>137</v>
      </c>
      <c r="Q699" s="3" t="s">
        <v>114</v>
      </c>
      <c r="R699" s="3">
        <v>5</v>
      </c>
      <c r="S699" s="3">
        <v>42267.03</v>
      </c>
      <c r="T699" s="3">
        <v>30</v>
      </c>
      <c r="U699" s="3">
        <v>147934.6</v>
      </c>
      <c r="V699" s="3">
        <v>100852.83</v>
      </c>
      <c r="W699" s="3">
        <v>47081.77</v>
      </c>
      <c r="X699" s="3">
        <v>31.83</v>
      </c>
      <c r="Y699" s="3">
        <v>49</v>
      </c>
      <c r="Z699" s="3" t="s">
        <v>43</v>
      </c>
      <c r="AA699" s="3" t="s">
        <v>100</v>
      </c>
      <c r="AB699" s="3" t="s">
        <v>140</v>
      </c>
      <c r="AC699" s="3"/>
    </row>
    <row r="700" spans="1:29" x14ac:dyDescent="0.3">
      <c r="A700" s="2" t="s">
        <v>4078</v>
      </c>
      <c r="B700" s="2" t="s">
        <v>4079</v>
      </c>
      <c r="C700" s="2" t="s">
        <v>967</v>
      </c>
      <c r="D700" s="2" t="s">
        <v>4080</v>
      </c>
      <c r="E700" s="2" t="s">
        <v>18</v>
      </c>
      <c r="F700" s="2" t="s">
        <v>4081</v>
      </c>
      <c r="G700" s="2" t="s">
        <v>4082</v>
      </c>
      <c r="H700" s="2" t="s">
        <v>472</v>
      </c>
      <c r="I700" s="2">
        <v>2</v>
      </c>
      <c r="J700" s="2" t="s">
        <v>14</v>
      </c>
      <c r="K700" s="2" t="s">
        <v>712</v>
      </c>
      <c r="L700" s="2" t="s">
        <v>712</v>
      </c>
      <c r="M700" s="2" t="s">
        <v>4083</v>
      </c>
      <c r="N700" s="2" t="s">
        <v>3017</v>
      </c>
      <c r="O700" s="2" t="s">
        <v>13</v>
      </c>
      <c r="P700" s="2" t="s">
        <v>419</v>
      </c>
      <c r="Q700" s="2" t="s">
        <v>509</v>
      </c>
      <c r="R700" s="2">
        <v>1</v>
      </c>
      <c r="S700" s="2">
        <v>2884.79</v>
      </c>
      <c r="T700" s="2">
        <v>25</v>
      </c>
      <c r="U700" s="2">
        <v>2163.59</v>
      </c>
      <c r="V700" s="2">
        <v>1312.13</v>
      </c>
      <c r="W700" s="2">
        <v>851.46</v>
      </c>
      <c r="X700" s="2">
        <v>39.35</v>
      </c>
      <c r="Y700" s="2">
        <v>0</v>
      </c>
      <c r="Z700" s="2" t="s">
        <v>30</v>
      </c>
      <c r="AA700" s="2" t="s">
        <v>100</v>
      </c>
      <c r="AB700" s="2" t="s">
        <v>101</v>
      </c>
      <c r="AC700" s="2">
        <v>2</v>
      </c>
    </row>
    <row r="701" spans="1:29" x14ac:dyDescent="0.3">
      <c r="A701" s="3" t="s">
        <v>4084</v>
      </c>
      <c r="B701" s="3" t="s">
        <v>4085</v>
      </c>
      <c r="C701" s="3" t="s">
        <v>2877</v>
      </c>
      <c r="D701" s="3" t="s">
        <v>4086</v>
      </c>
      <c r="E701" s="3" t="s">
        <v>33</v>
      </c>
      <c r="F701" s="3" t="s">
        <v>947</v>
      </c>
      <c r="G701" s="3" t="s">
        <v>566</v>
      </c>
      <c r="H701" s="3" t="s">
        <v>312</v>
      </c>
      <c r="I701" s="3">
        <v>5</v>
      </c>
      <c r="J701" s="3" t="s">
        <v>14</v>
      </c>
      <c r="K701" s="3" t="s">
        <v>183</v>
      </c>
      <c r="L701" s="3" t="s">
        <v>183</v>
      </c>
      <c r="M701" s="3" t="s">
        <v>4087</v>
      </c>
      <c r="N701" s="3" t="s">
        <v>3017</v>
      </c>
      <c r="O701" s="3" t="s">
        <v>13</v>
      </c>
      <c r="P701" s="3" t="s">
        <v>419</v>
      </c>
      <c r="Q701" s="3" t="s">
        <v>608</v>
      </c>
      <c r="R701" s="3">
        <v>2</v>
      </c>
      <c r="S701" s="3">
        <v>2111.09</v>
      </c>
      <c r="T701" s="3">
        <v>10</v>
      </c>
      <c r="U701" s="3">
        <v>3799.96</v>
      </c>
      <c r="V701" s="3">
        <v>2400.69</v>
      </c>
      <c r="W701" s="3">
        <v>1399.27</v>
      </c>
      <c r="X701" s="3">
        <v>36.82</v>
      </c>
      <c r="Y701" s="3">
        <v>29</v>
      </c>
      <c r="Z701" s="3" t="s">
        <v>15</v>
      </c>
      <c r="AA701" s="3" t="s">
        <v>100</v>
      </c>
      <c r="AB701" s="3" t="s">
        <v>101</v>
      </c>
      <c r="AC701" s="3">
        <v>1</v>
      </c>
    </row>
    <row r="702" spans="1:29" x14ac:dyDescent="0.3">
      <c r="A702" s="2" t="s">
        <v>4088</v>
      </c>
      <c r="B702" s="2" t="s">
        <v>4089</v>
      </c>
      <c r="C702" s="2" t="s">
        <v>260</v>
      </c>
      <c r="D702" s="2" t="s">
        <v>4090</v>
      </c>
      <c r="E702" s="2" t="s">
        <v>33</v>
      </c>
      <c r="F702" s="2" t="s">
        <v>1479</v>
      </c>
      <c r="G702" s="2" t="s">
        <v>414</v>
      </c>
      <c r="H702" s="2" t="s">
        <v>416</v>
      </c>
      <c r="I702" s="2">
        <v>7</v>
      </c>
      <c r="J702" s="2" t="s">
        <v>29</v>
      </c>
      <c r="K702" s="2" t="s">
        <v>148</v>
      </c>
      <c r="L702" s="2" t="s">
        <v>148</v>
      </c>
      <c r="M702" s="2" t="s">
        <v>1962</v>
      </c>
      <c r="N702" s="2" t="s">
        <v>286</v>
      </c>
      <c r="O702" s="2" t="s">
        <v>28</v>
      </c>
      <c r="P702" s="2" t="s">
        <v>137</v>
      </c>
      <c r="Q702" s="2" t="s">
        <v>138</v>
      </c>
      <c r="R702" s="2">
        <v>4</v>
      </c>
      <c r="S702" s="2">
        <v>1510.44</v>
      </c>
      <c r="T702" s="2">
        <v>25</v>
      </c>
      <c r="U702" s="2">
        <v>4531.32</v>
      </c>
      <c r="V702" s="2">
        <v>2296.0500000000002</v>
      </c>
      <c r="W702" s="2">
        <v>2235.27</v>
      </c>
      <c r="X702" s="2">
        <v>49.33</v>
      </c>
      <c r="Y702" s="2">
        <v>99</v>
      </c>
      <c r="Z702" s="2" t="s">
        <v>15</v>
      </c>
      <c r="AA702" s="2" t="s">
        <v>100</v>
      </c>
      <c r="AB702" s="2" t="s">
        <v>101</v>
      </c>
      <c r="AC702" s="2"/>
    </row>
    <row r="703" spans="1:29" x14ac:dyDescent="0.3">
      <c r="A703" s="3" t="s">
        <v>4091</v>
      </c>
      <c r="B703" s="3" t="s">
        <v>220</v>
      </c>
      <c r="C703" s="3" t="s">
        <v>1861</v>
      </c>
      <c r="D703" s="3" t="s">
        <v>4092</v>
      </c>
      <c r="E703" s="3" t="s">
        <v>18</v>
      </c>
      <c r="F703" s="3" t="s">
        <v>2276</v>
      </c>
      <c r="G703" s="3" t="s">
        <v>302</v>
      </c>
      <c r="H703" s="3" t="s">
        <v>304</v>
      </c>
      <c r="I703" s="3">
        <v>8</v>
      </c>
      <c r="J703" s="3" t="s">
        <v>29</v>
      </c>
      <c r="K703" s="3" t="s">
        <v>427</v>
      </c>
      <c r="L703" s="3" t="s">
        <v>1871</v>
      </c>
      <c r="M703" s="3" t="s">
        <v>4093</v>
      </c>
      <c r="N703" s="3" t="s">
        <v>600</v>
      </c>
      <c r="O703" s="3" t="s">
        <v>27</v>
      </c>
      <c r="P703" s="3" t="s">
        <v>175</v>
      </c>
      <c r="Q703" s="3" t="s">
        <v>246</v>
      </c>
      <c r="R703" s="3">
        <v>4</v>
      </c>
      <c r="S703" s="3">
        <v>23818.89</v>
      </c>
      <c r="T703" s="3">
        <v>10</v>
      </c>
      <c r="U703" s="3">
        <v>85748</v>
      </c>
      <c r="V703" s="3">
        <v>58641.34</v>
      </c>
      <c r="W703" s="3">
        <v>27106.66</v>
      </c>
      <c r="X703" s="3">
        <v>31.61</v>
      </c>
      <c r="Y703" s="3">
        <v>99</v>
      </c>
      <c r="Z703" s="3" t="s">
        <v>47</v>
      </c>
      <c r="AA703" s="3" t="s">
        <v>100</v>
      </c>
      <c r="AB703" s="3" t="s">
        <v>101</v>
      </c>
      <c r="AC703" s="3">
        <v>2</v>
      </c>
    </row>
    <row r="704" spans="1:29" x14ac:dyDescent="0.3">
      <c r="A704" s="2" t="s">
        <v>4094</v>
      </c>
      <c r="B704" s="2" t="s">
        <v>4095</v>
      </c>
      <c r="C704" s="2" t="s">
        <v>1091</v>
      </c>
      <c r="D704" s="2" t="s">
        <v>4096</v>
      </c>
      <c r="E704" s="2" t="s">
        <v>26</v>
      </c>
      <c r="F704" s="2" t="s">
        <v>3660</v>
      </c>
      <c r="G704" s="2" t="s">
        <v>3781</v>
      </c>
      <c r="H704" s="2" t="s">
        <v>3782</v>
      </c>
      <c r="I704" s="2">
        <v>2</v>
      </c>
      <c r="J704" s="2" t="s">
        <v>39</v>
      </c>
      <c r="K704" s="2" t="s">
        <v>225</v>
      </c>
      <c r="L704" s="2" t="s">
        <v>225</v>
      </c>
      <c r="M704" s="2" t="s">
        <v>4097</v>
      </c>
      <c r="N704" s="2" t="s">
        <v>418</v>
      </c>
      <c r="O704" s="2" t="s">
        <v>13</v>
      </c>
      <c r="P704" s="2" t="s">
        <v>419</v>
      </c>
      <c r="Q704" s="2" t="s">
        <v>207</v>
      </c>
      <c r="R704" s="2">
        <v>3</v>
      </c>
      <c r="S704" s="2">
        <v>33853.480000000003</v>
      </c>
      <c r="T704" s="2">
        <v>15</v>
      </c>
      <c r="U704" s="2">
        <v>86326.37</v>
      </c>
      <c r="V704" s="2">
        <v>50698.28</v>
      </c>
      <c r="W704" s="2">
        <v>35628.089999999997</v>
      </c>
      <c r="X704" s="2">
        <v>41.27</v>
      </c>
      <c r="Y704" s="2">
        <v>99</v>
      </c>
      <c r="Z704" s="2" t="s">
        <v>47</v>
      </c>
      <c r="AA704" s="2" t="s">
        <v>186</v>
      </c>
      <c r="AB704" s="2" t="s">
        <v>101</v>
      </c>
      <c r="AC704" s="2"/>
    </row>
    <row r="705" spans="1:29" x14ac:dyDescent="0.3">
      <c r="A705" s="3" t="s">
        <v>4098</v>
      </c>
      <c r="B705" s="3" t="s">
        <v>4099</v>
      </c>
      <c r="C705" s="3" t="s">
        <v>2136</v>
      </c>
      <c r="D705" s="3" t="s">
        <v>4100</v>
      </c>
      <c r="E705" s="3" t="s">
        <v>33</v>
      </c>
      <c r="F705" s="3" t="s">
        <v>4101</v>
      </c>
      <c r="G705" s="3" t="s">
        <v>303</v>
      </c>
      <c r="H705" s="3" t="s">
        <v>3373</v>
      </c>
      <c r="I705" s="3">
        <v>2</v>
      </c>
      <c r="J705" s="3" t="s">
        <v>29</v>
      </c>
      <c r="K705" s="3" t="s">
        <v>148</v>
      </c>
      <c r="L705" s="3" t="s">
        <v>148</v>
      </c>
      <c r="M705" s="3" t="s">
        <v>3361</v>
      </c>
      <c r="N705" s="3" t="s">
        <v>409</v>
      </c>
      <c r="O705" s="3" t="s">
        <v>21</v>
      </c>
      <c r="P705" s="3" t="s">
        <v>196</v>
      </c>
      <c r="Q705" s="3" t="s">
        <v>509</v>
      </c>
      <c r="R705" s="3">
        <v>2</v>
      </c>
      <c r="S705" s="3">
        <v>33367.94</v>
      </c>
      <c r="T705" s="3">
        <v>15</v>
      </c>
      <c r="U705" s="3">
        <v>56725.5</v>
      </c>
      <c r="V705" s="3">
        <v>39358.42</v>
      </c>
      <c r="W705" s="3">
        <v>17367.080000000002</v>
      </c>
      <c r="X705" s="3">
        <v>30.62</v>
      </c>
      <c r="Y705" s="3">
        <v>29</v>
      </c>
      <c r="Z705" s="3" t="s">
        <v>47</v>
      </c>
      <c r="AA705" s="3" t="s">
        <v>100</v>
      </c>
      <c r="AB705" s="3" t="s">
        <v>101</v>
      </c>
      <c r="AC705" s="3">
        <v>2</v>
      </c>
    </row>
    <row r="706" spans="1:29" x14ac:dyDescent="0.3">
      <c r="A706" s="2" t="s">
        <v>4102</v>
      </c>
      <c r="B706" s="2" t="s">
        <v>4103</v>
      </c>
      <c r="C706" s="2" t="s">
        <v>1792</v>
      </c>
      <c r="D706" s="2" t="s">
        <v>4104</v>
      </c>
      <c r="E706" s="2" t="s">
        <v>18</v>
      </c>
      <c r="F706" s="2" t="s">
        <v>481</v>
      </c>
      <c r="G706" s="2" t="s">
        <v>1021</v>
      </c>
      <c r="H706" s="2" t="s">
        <v>982</v>
      </c>
      <c r="I706" s="2">
        <v>6</v>
      </c>
      <c r="J706" s="2" t="s">
        <v>39</v>
      </c>
      <c r="K706" s="2" t="s">
        <v>314</v>
      </c>
      <c r="L706" s="2" t="s">
        <v>314</v>
      </c>
      <c r="M706" s="2" t="s">
        <v>3140</v>
      </c>
      <c r="N706" s="2" t="s">
        <v>639</v>
      </c>
      <c r="O706" s="2" t="s">
        <v>27</v>
      </c>
      <c r="P706" s="2" t="s">
        <v>175</v>
      </c>
      <c r="Q706" s="2" t="s">
        <v>114</v>
      </c>
      <c r="R706" s="2">
        <v>4</v>
      </c>
      <c r="S706" s="2">
        <v>32963.85</v>
      </c>
      <c r="T706" s="2">
        <v>0</v>
      </c>
      <c r="U706" s="2">
        <v>131855.4</v>
      </c>
      <c r="V706" s="2">
        <v>90783.08</v>
      </c>
      <c r="W706" s="2">
        <v>41072.32</v>
      </c>
      <c r="X706" s="2">
        <v>31.15</v>
      </c>
      <c r="Y706" s="2">
        <v>0</v>
      </c>
      <c r="Z706" s="2" t="s">
        <v>47</v>
      </c>
      <c r="AA706" s="2" t="s">
        <v>100</v>
      </c>
      <c r="AB706" s="2" t="s">
        <v>101</v>
      </c>
      <c r="AC706" s="2">
        <v>3</v>
      </c>
    </row>
    <row r="707" spans="1:29" x14ac:dyDescent="0.3">
      <c r="A707" s="3" t="s">
        <v>4105</v>
      </c>
      <c r="B707" s="3" t="s">
        <v>4106</v>
      </c>
      <c r="C707" s="3" t="s">
        <v>1273</v>
      </c>
      <c r="D707" s="3" t="s">
        <v>4107</v>
      </c>
      <c r="E707" s="3" t="s">
        <v>42</v>
      </c>
      <c r="F707" s="3" t="s">
        <v>628</v>
      </c>
      <c r="G707" s="3" t="s">
        <v>4108</v>
      </c>
      <c r="H707" s="3" t="s">
        <v>629</v>
      </c>
      <c r="I707" s="3">
        <v>3</v>
      </c>
      <c r="J707" s="3" t="s">
        <v>39</v>
      </c>
      <c r="K707" s="3" t="s">
        <v>314</v>
      </c>
      <c r="L707" s="3" t="s">
        <v>314</v>
      </c>
      <c r="M707" s="3" t="s">
        <v>3787</v>
      </c>
      <c r="N707" s="3" t="s">
        <v>390</v>
      </c>
      <c r="O707" s="3" t="s">
        <v>19</v>
      </c>
      <c r="P707" s="3" t="s">
        <v>297</v>
      </c>
      <c r="Q707" s="3" t="s">
        <v>608</v>
      </c>
      <c r="R707" s="3">
        <v>1</v>
      </c>
      <c r="S707" s="3">
        <v>33250.720000000001</v>
      </c>
      <c r="T707" s="3">
        <v>30</v>
      </c>
      <c r="U707" s="3">
        <v>23275.5</v>
      </c>
      <c r="V707" s="3">
        <v>12361.66</v>
      </c>
      <c r="W707" s="3">
        <v>10913.84</v>
      </c>
      <c r="X707" s="3">
        <v>46.89</v>
      </c>
      <c r="Y707" s="3">
        <v>149</v>
      </c>
      <c r="Z707" s="3" t="s">
        <v>30</v>
      </c>
      <c r="AA707" s="3" t="s">
        <v>100</v>
      </c>
      <c r="AB707" s="3" t="s">
        <v>101</v>
      </c>
      <c r="AC707" s="3">
        <v>3</v>
      </c>
    </row>
    <row r="708" spans="1:29" x14ac:dyDescent="0.3">
      <c r="A708" s="2" t="s">
        <v>4109</v>
      </c>
      <c r="B708" s="2" t="s">
        <v>4110</v>
      </c>
      <c r="C708" s="2" t="s">
        <v>2291</v>
      </c>
      <c r="D708" s="2" t="s">
        <v>4111</v>
      </c>
      <c r="E708" s="2" t="s">
        <v>18</v>
      </c>
      <c r="F708" s="2" t="s">
        <v>975</v>
      </c>
      <c r="G708" s="2" t="s">
        <v>435</v>
      </c>
      <c r="H708" s="2" t="s">
        <v>2582</v>
      </c>
      <c r="I708" s="2">
        <v>8</v>
      </c>
      <c r="J708" s="2" t="s">
        <v>22</v>
      </c>
      <c r="K708" s="2" t="s">
        <v>738</v>
      </c>
      <c r="L708" s="2" t="s">
        <v>738</v>
      </c>
      <c r="M708" s="2" t="s">
        <v>4112</v>
      </c>
      <c r="N708" s="2" t="s">
        <v>205</v>
      </c>
      <c r="O708" s="2" t="s">
        <v>21</v>
      </c>
      <c r="P708" s="2" t="s">
        <v>206</v>
      </c>
      <c r="Q708" s="2" t="s">
        <v>287</v>
      </c>
      <c r="R708" s="2">
        <v>1</v>
      </c>
      <c r="S708" s="2">
        <v>33849.050000000003</v>
      </c>
      <c r="T708" s="2">
        <v>5</v>
      </c>
      <c r="U708" s="2">
        <v>32156.6</v>
      </c>
      <c r="V708" s="2">
        <v>20196.7</v>
      </c>
      <c r="W708" s="2">
        <v>11959.9</v>
      </c>
      <c r="X708" s="2">
        <v>37.19</v>
      </c>
      <c r="Y708" s="2">
        <v>29</v>
      </c>
      <c r="Z708" s="2" t="s">
        <v>43</v>
      </c>
      <c r="AA708" s="2" t="s">
        <v>100</v>
      </c>
      <c r="AB708" s="2" t="s">
        <v>140</v>
      </c>
      <c r="AC708" s="2">
        <v>3</v>
      </c>
    </row>
    <row r="709" spans="1:29" x14ac:dyDescent="0.3">
      <c r="A709" s="3" t="s">
        <v>4113</v>
      </c>
      <c r="B709" s="3" t="s">
        <v>1292</v>
      </c>
      <c r="C709" s="3" t="s">
        <v>973</v>
      </c>
      <c r="D709" s="3" t="s">
        <v>4114</v>
      </c>
      <c r="E709" s="3" t="s">
        <v>26</v>
      </c>
      <c r="F709" s="3" t="s">
        <v>106</v>
      </c>
      <c r="G709" s="3" t="s">
        <v>107</v>
      </c>
      <c r="H709" s="3" t="s">
        <v>531</v>
      </c>
      <c r="I709" s="3">
        <v>4</v>
      </c>
      <c r="J709" s="3" t="s">
        <v>14</v>
      </c>
      <c r="K709" s="3" t="s">
        <v>712</v>
      </c>
      <c r="L709" s="3" t="s">
        <v>712</v>
      </c>
      <c r="M709" s="3" t="s">
        <v>4115</v>
      </c>
      <c r="N709" s="3" t="s">
        <v>456</v>
      </c>
      <c r="O709" s="3" t="s">
        <v>21</v>
      </c>
      <c r="P709" s="3" t="s">
        <v>206</v>
      </c>
      <c r="Q709" s="3" t="s">
        <v>400</v>
      </c>
      <c r="R709" s="3">
        <v>3</v>
      </c>
      <c r="S709" s="3">
        <v>28355.3</v>
      </c>
      <c r="T709" s="3">
        <v>20</v>
      </c>
      <c r="U709" s="3">
        <v>68052.72</v>
      </c>
      <c r="V709" s="3">
        <v>37680.5</v>
      </c>
      <c r="W709" s="3">
        <v>30372.22</v>
      </c>
      <c r="X709" s="3">
        <v>44.63</v>
      </c>
      <c r="Y709" s="3">
        <v>0</v>
      </c>
      <c r="Z709" s="3" t="s">
        <v>47</v>
      </c>
      <c r="AA709" s="3" t="s">
        <v>100</v>
      </c>
      <c r="AB709" s="3" t="s">
        <v>101</v>
      </c>
      <c r="AC709" s="3">
        <v>2</v>
      </c>
    </row>
    <row r="710" spans="1:29" x14ac:dyDescent="0.3">
      <c r="A710" s="2" t="s">
        <v>4116</v>
      </c>
      <c r="B710" s="2" t="s">
        <v>4117</v>
      </c>
      <c r="C710" s="2" t="s">
        <v>1683</v>
      </c>
      <c r="D710" s="2" t="s">
        <v>4118</v>
      </c>
      <c r="E710" s="2" t="s">
        <v>26</v>
      </c>
      <c r="F710" s="2" t="s">
        <v>3919</v>
      </c>
      <c r="G710" s="2" t="s">
        <v>1926</v>
      </c>
      <c r="H710" s="2" t="s">
        <v>3232</v>
      </c>
      <c r="I710" s="2">
        <v>3</v>
      </c>
      <c r="J710" s="2" t="s">
        <v>14</v>
      </c>
      <c r="K710" s="2" t="s">
        <v>183</v>
      </c>
      <c r="L710" s="2" t="s">
        <v>183</v>
      </c>
      <c r="M710" s="2" t="s">
        <v>4119</v>
      </c>
      <c r="N710" s="2" t="s">
        <v>150</v>
      </c>
      <c r="O710" s="2" t="s">
        <v>28</v>
      </c>
      <c r="P710" s="2" t="s">
        <v>151</v>
      </c>
      <c r="Q710" s="2" t="s">
        <v>207</v>
      </c>
      <c r="R710" s="2">
        <v>4</v>
      </c>
      <c r="S710" s="2">
        <v>48301.57</v>
      </c>
      <c r="T710" s="2">
        <v>5</v>
      </c>
      <c r="U710" s="2">
        <v>183545.97</v>
      </c>
      <c r="V710" s="2">
        <v>124792.21</v>
      </c>
      <c r="W710" s="2">
        <v>58753.760000000002</v>
      </c>
      <c r="X710" s="2">
        <v>32.01</v>
      </c>
      <c r="Y710" s="2">
        <v>0</v>
      </c>
      <c r="Z710" s="2" t="s">
        <v>48</v>
      </c>
      <c r="AA710" s="2" t="s">
        <v>100</v>
      </c>
      <c r="AB710" s="2" t="s">
        <v>101</v>
      </c>
      <c r="AC710" s="2">
        <v>3</v>
      </c>
    </row>
    <row r="711" spans="1:29" x14ac:dyDescent="0.3">
      <c r="A711" s="3" t="s">
        <v>4120</v>
      </c>
      <c r="B711" s="3" t="s">
        <v>4121</v>
      </c>
      <c r="C711" s="3" t="s">
        <v>1395</v>
      </c>
      <c r="D711" s="3" t="s">
        <v>4122</v>
      </c>
      <c r="E711" s="3" t="s">
        <v>33</v>
      </c>
      <c r="F711" s="3" t="s">
        <v>2629</v>
      </c>
      <c r="G711" s="3" t="s">
        <v>1519</v>
      </c>
      <c r="H711" s="3" t="s">
        <v>2509</v>
      </c>
      <c r="I711" s="3">
        <v>7</v>
      </c>
      <c r="J711" s="3" t="s">
        <v>22</v>
      </c>
      <c r="K711" s="3" t="s">
        <v>283</v>
      </c>
      <c r="L711" s="3" t="s">
        <v>1346</v>
      </c>
      <c r="M711" s="3" t="s">
        <v>4123</v>
      </c>
      <c r="N711" s="3" t="s">
        <v>740</v>
      </c>
      <c r="O711" s="3" t="s">
        <v>21</v>
      </c>
      <c r="P711" s="3" t="s">
        <v>126</v>
      </c>
      <c r="Q711" s="3" t="s">
        <v>114</v>
      </c>
      <c r="R711" s="3">
        <v>5</v>
      </c>
      <c r="S711" s="3">
        <v>2622.2</v>
      </c>
      <c r="T711" s="3">
        <v>25</v>
      </c>
      <c r="U711" s="3">
        <v>9833.25</v>
      </c>
      <c r="V711" s="3">
        <v>6305.04</v>
      </c>
      <c r="W711" s="3">
        <v>3528.21</v>
      </c>
      <c r="X711" s="3">
        <v>35.880000000000003</v>
      </c>
      <c r="Y711" s="3">
        <v>149</v>
      </c>
      <c r="Z711" s="3" t="s">
        <v>43</v>
      </c>
      <c r="AA711" s="3" t="s">
        <v>100</v>
      </c>
      <c r="AB711" s="3" t="s">
        <v>101</v>
      </c>
      <c r="AC711" s="3">
        <v>5</v>
      </c>
    </row>
    <row r="712" spans="1:29" x14ac:dyDescent="0.3">
      <c r="A712" s="2" t="s">
        <v>4124</v>
      </c>
      <c r="B712" s="2" t="s">
        <v>4125</v>
      </c>
      <c r="C712" s="2" t="s">
        <v>521</v>
      </c>
      <c r="D712" s="2" t="s">
        <v>4126</v>
      </c>
      <c r="E712" s="2" t="s">
        <v>18</v>
      </c>
      <c r="F712" s="2" t="s">
        <v>1940</v>
      </c>
      <c r="G712" s="2" t="s">
        <v>920</v>
      </c>
      <c r="H712" s="2" t="s">
        <v>4127</v>
      </c>
      <c r="I712" s="2">
        <v>5</v>
      </c>
      <c r="J712" s="2" t="s">
        <v>29</v>
      </c>
      <c r="K712" s="2" t="s">
        <v>427</v>
      </c>
      <c r="L712" s="2" t="s">
        <v>1081</v>
      </c>
      <c r="M712" s="2" t="s">
        <v>4128</v>
      </c>
      <c r="N712" s="2" t="s">
        <v>296</v>
      </c>
      <c r="O712" s="2" t="s">
        <v>19</v>
      </c>
      <c r="P712" s="2" t="s">
        <v>297</v>
      </c>
      <c r="Q712" s="2" t="s">
        <v>466</v>
      </c>
      <c r="R712" s="2">
        <v>2</v>
      </c>
      <c r="S712" s="2">
        <v>6413.34</v>
      </c>
      <c r="T712" s="2">
        <v>25</v>
      </c>
      <c r="U712" s="2">
        <v>9620.01</v>
      </c>
      <c r="V712" s="2">
        <v>6027.25</v>
      </c>
      <c r="W712" s="2">
        <v>3592.76</v>
      </c>
      <c r="X712" s="2">
        <v>37.35</v>
      </c>
      <c r="Y712" s="2">
        <v>0</v>
      </c>
      <c r="Z712" s="2" t="s">
        <v>30</v>
      </c>
      <c r="AA712" s="2" t="s">
        <v>100</v>
      </c>
      <c r="AB712" s="2" t="s">
        <v>101</v>
      </c>
      <c r="AC712" s="2">
        <v>4</v>
      </c>
    </row>
    <row r="713" spans="1:29" x14ac:dyDescent="0.3">
      <c r="A713" s="3" t="s">
        <v>4129</v>
      </c>
      <c r="B713" s="3" t="s">
        <v>4130</v>
      </c>
      <c r="C713" s="3" t="s">
        <v>952</v>
      </c>
      <c r="D713" s="3" t="s">
        <v>4131</v>
      </c>
      <c r="E713" s="3" t="s">
        <v>33</v>
      </c>
      <c r="F713" s="3" t="s">
        <v>4132</v>
      </c>
      <c r="G713" s="3" t="s">
        <v>1080</v>
      </c>
      <c r="H713" s="3" t="s">
        <v>710</v>
      </c>
      <c r="I713" s="3">
        <v>5</v>
      </c>
      <c r="J713" s="3" t="s">
        <v>39</v>
      </c>
      <c r="K713" s="3" t="s">
        <v>193</v>
      </c>
      <c r="L713" s="3" t="s">
        <v>193</v>
      </c>
      <c r="M713" s="3" t="s">
        <v>4133</v>
      </c>
      <c r="N713" s="3" t="s">
        <v>296</v>
      </c>
      <c r="O713" s="3" t="s">
        <v>19</v>
      </c>
      <c r="P713" s="3" t="s">
        <v>297</v>
      </c>
      <c r="Q713" s="3" t="s">
        <v>355</v>
      </c>
      <c r="R713" s="3">
        <v>4</v>
      </c>
      <c r="S713" s="3">
        <v>44633.05</v>
      </c>
      <c r="T713" s="3">
        <v>20</v>
      </c>
      <c r="U713" s="3">
        <v>142825.76</v>
      </c>
      <c r="V713" s="3">
        <v>74015.05</v>
      </c>
      <c r="W713" s="3">
        <v>68810.710000000006</v>
      </c>
      <c r="X713" s="3">
        <v>48.18</v>
      </c>
      <c r="Y713" s="3">
        <v>49</v>
      </c>
      <c r="Z713" s="3" t="s">
        <v>40</v>
      </c>
      <c r="AA713" s="3" t="s">
        <v>100</v>
      </c>
      <c r="AB713" s="3" t="s">
        <v>101</v>
      </c>
      <c r="AC713" s="3">
        <v>5</v>
      </c>
    </row>
    <row r="714" spans="1:29" x14ac:dyDescent="0.3">
      <c r="A714" s="2" t="s">
        <v>4134</v>
      </c>
      <c r="B714" s="2" t="s">
        <v>4135</v>
      </c>
      <c r="C714" s="2" t="s">
        <v>651</v>
      </c>
      <c r="D714" s="2" t="s">
        <v>4136</v>
      </c>
      <c r="E714" s="2" t="s">
        <v>33</v>
      </c>
      <c r="F714" s="2" t="s">
        <v>1265</v>
      </c>
      <c r="G714" s="2" t="s">
        <v>1338</v>
      </c>
      <c r="H714" s="2" t="s">
        <v>3510</v>
      </c>
      <c r="I714" s="2">
        <v>8</v>
      </c>
      <c r="J714" s="2" t="s">
        <v>14</v>
      </c>
      <c r="K714" s="2" t="s">
        <v>183</v>
      </c>
      <c r="L714" s="2" t="s">
        <v>183</v>
      </c>
      <c r="M714" s="2" t="s">
        <v>96</v>
      </c>
      <c r="N714" s="2" t="s">
        <v>316</v>
      </c>
      <c r="O714" s="2" t="s">
        <v>28</v>
      </c>
      <c r="P714" s="2" t="s">
        <v>137</v>
      </c>
      <c r="Q714" s="2" t="s">
        <v>246</v>
      </c>
      <c r="R714" s="2">
        <v>1</v>
      </c>
      <c r="S714" s="2">
        <v>28704.78</v>
      </c>
      <c r="T714" s="2">
        <v>15</v>
      </c>
      <c r="U714" s="2">
        <v>24399.06</v>
      </c>
      <c r="V714" s="2">
        <v>14178.65</v>
      </c>
      <c r="W714" s="2">
        <v>10220.41</v>
      </c>
      <c r="X714" s="2">
        <v>41.89</v>
      </c>
      <c r="Y714" s="2">
        <v>0</v>
      </c>
      <c r="Z714" s="2" t="s">
        <v>40</v>
      </c>
      <c r="AA714" s="2" t="s">
        <v>100</v>
      </c>
      <c r="AB714" s="2" t="s">
        <v>101</v>
      </c>
      <c r="AC714" s="2">
        <v>4</v>
      </c>
    </row>
    <row r="715" spans="1:29" x14ac:dyDescent="0.3">
      <c r="A715" s="3" t="s">
        <v>4137</v>
      </c>
      <c r="B715" s="3" t="s">
        <v>4138</v>
      </c>
      <c r="C715" s="3" t="s">
        <v>1517</v>
      </c>
      <c r="D715" s="3" t="s">
        <v>4139</v>
      </c>
      <c r="E715" s="3" t="s">
        <v>18</v>
      </c>
      <c r="F715" s="3" t="s">
        <v>362</v>
      </c>
      <c r="G715" s="3" t="s">
        <v>2181</v>
      </c>
      <c r="H715" s="3" t="s">
        <v>762</v>
      </c>
      <c r="I715" s="3">
        <v>4</v>
      </c>
      <c r="J715" s="3" t="s">
        <v>14</v>
      </c>
      <c r="K715" s="3" t="s">
        <v>712</v>
      </c>
      <c r="L715" s="3" t="s">
        <v>712</v>
      </c>
      <c r="M715" s="3" t="s">
        <v>4140</v>
      </c>
      <c r="N715" s="3" t="s">
        <v>217</v>
      </c>
      <c r="O715" s="3" t="s">
        <v>21</v>
      </c>
      <c r="P715" s="3" t="s">
        <v>206</v>
      </c>
      <c r="Q715" s="3" t="s">
        <v>608</v>
      </c>
      <c r="R715" s="3">
        <v>3</v>
      </c>
      <c r="S715" s="3">
        <v>39844.720000000001</v>
      </c>
      <c r="T715" s="3">
        <v>25</v>
      </c>
      <c r="U715" s="3">
        <v>89650.62</v>
      </c>
      <c r="V715" s="3">
        <v>61161.45</v>
      </c>
      <c r="W715" s="3">
        <v>28489.17</v>
      </c>
      <c r="X715" s="3">
        <v>31.78</v>
      </c>
      <c r="Y715" s="3">
        <v>149</v>
      </c>
      <c r="Z715" s="3" t="s">
        <v>23</v>
      </c>
      <c r="AA715" s="3" t="s">
        <v>100</v>
      </c>
      <c r="AB715" s="3" t="s">
        <v>101</v>
      </c>
      <c r="AC715" s="3">
        <v>4</v>
      </c>
    </row>
    <row r="716" spans="1:29" x14ac:dyDescent="0.3">
      <c r="A716" s="2" t="s">
        <v>4141</v>
      </c>
      <c r="B716" s="2" t="s">
        <v>4142</v>
      </c>
      <c r="C716" s="2" t="s">
        <v>2147</v>
      </c>
      <c r="D716" s="2" t="s">
        <v>4143</v>
      </c>
      <c r="E716" s="2" t="s">
        <v>18</v>
      </c>
      <c r="F716" s="2" t="s">
        <v>4144</v>
      </c>
      <c r="G716" s="2" t="s">
        <v>2920</v>
      </c>
      <c r="H716" s="2" t="s">
        <v>4145</v>
      </c>
      <c r="I716" s="2">
        <v>4</v>
      </c>
      <c r="J716" s="2" t="s">
        <v>22</v>
      </c>
      <c r="K716" s="2" t="s">
        <v>443</v>
      </c>
      <c r="L716" s="2" t="s">
        <v>444</v>
      </c>
      <c r="M716" s="2" t="s">
        <v>4146</v>
      </c>
      <c r="N716" s="2" t="s">
        <v>1535</v>
      </c>
      <c r="O716" s="2" t="s">
        <v>13</v>
      </c>
      <c r="P716" s="2" t="s">
        <v>98</v>
      </c>
      <c r="Q716" s="2" t="s">
        <v>509</v>
      </c>
      <c r="R716" s="2">
        <v>5</v>
      </c>
      <c r="S716" s="2">
        <v>17730.09</v>
      </c>
      <c r="T716" s="2">
        <v>5</v>
      </c>
      <c r="U716" s="2">
        <v>84217.93</v>
      </c>
      <c r="V716" s="2">
        <v>45967.87</v>
      </c>
      <c r="W716" s="2">
        <v>38250.06</v>
      </c>
      <c r="X716" s="2">
        <v>45.42</v>
      </c>
      <c r="Y716" s="2">
        <v>49</v>
      </c>
      <c r="Z716" s="2" t="s">
        <v>40</v>
      </c>
      <c r="AA716" s="2" t="s">
        <v>672</v>
      </c>
      <c r="AB716" s="2" t="s">
        <v>101</v>
      </c>
      <c r="AC716" s="2"/>
    </row>
    <row r="717" spans="1:29" x14ac:dyDescent="0.3">
      <c r="A717" s="3" t="s">
        <v>4147</v>
      </c>
      <c r="B717" s="3" t="s">
        <v>4148</v>
      </c>
      <c r="C717" s="3" t="s">
        <v>1426</v>
      </c>
      <c r="D717" s="3" t="s">
        <v>4149</v>
      </c>
      <c r="E717" s="3" t="s">
        <v>42</v>
      </c>
      <c r="F717" s="3" t="s">
        <v>1679</v>
      </c>
      <c r="G717" s="3" t="s">
        <v>746</v>
      </c>
      <c r="H717" s="3" t="s">
        <v>3717</v>
      </c>
      <c r="I717" s="3">
        <v>3</v>
      </c>
      <c r="J717" s="3" t="s">
        <v>39</v>
      </c>
      <c r="K717" s="3" t="s">
        <v>314</v>
      </c>
      <c r="L717" s="3" t="s">
        <v>314</v>
      </c>
      <c r="M717" s="3" t="s">
        <v>4150</v>
      </c>
      <c r="N717" s="3" t="s">
        <v>924</v>
      </c>
      <c r="O717" s="3" t="s">
        <v>13</v>
      </c>
      <c r="P717" s="3" t="s">
        <v>228</v>
      </c>
      <c r="Q717" s="3" t="s">
        <v>400</v>
      </c>
      <c r="R717" s="3">
        <v>1</v>
      </c>
      <c r="S717" s="3">
        <v>10321.82</v>
      </c>
      <c r="T717" s="3">
        <v>5</v>
      </c>
      <c r="U717" s="3">
        <v>9805.73</v>
      </c>
      <c r="V717" s="3">
        <v>6775.72</v>
      </c>
      <c r="W717" s="3">
        <v>3030.01</v>
      </c>
      <c r="X717" s="3">
        <v>30.9</v>
      </c>
      <c r="Y717" s="3">
        <v>99</v>
      </c>
      <c r="Z717" s="3" t="s">
        <v>30</v>
      </c>
      <c r="AA717" s="3" t="s">
        <v>100</v>
      </c>
      <c r="AB717" s="3" t="s">
        <v>101</v>
      </c>
      <c r="AC717" s="3">
        <v>1</v>
      </c>
    </row>
    <row r="718" spans="1:29" x14ac:dyDescent="0.3">
      <c r="A718" s="2" t="s">
        <v>4151</v>
      </c>
      <c r="B718" s="2" t="s">
        <v>3557</v>
      </c>
      <c r="C718" s="2" t="s">
        <v>571</v>
      </c>
      <c r="D718" s="2" t="s">
        <v>4152</v>
      </c>
      <c r="E718" s="2" t="s">
        <v>33</v>
      </c>
      <c r="F718" s="2" t="s">
        <v>1818</v>
      </c>
      <c r="G718" s="2" t="s">
        <v>452</v>
      </c>
      <c r="H718" s="2" t="s">
        <v>670</v>
      </c>
      <c r="I718" s="2">
        <v>3</v>
      </c>
      <c r="J718" s="2" t="s">
        <v>14</v>
      </c>
      <c r="K718" s="2" t="s">
        <v>712</v>
      </c>
      <c r="L718" s="2" t="s">
        <v>712</v>
      </c>
      <c r="M718" s="2" t="s">
        <v>4153</v>
      </c>
      <c r="N718" s="2" t="s">
        <v>631</v>
      </c>
      <c r="O718" s="2" t="s">
        <v>19</v>
      </c>
      <c r="P718" s="2" t="s">
        <v>297</v>
      </c>
      <c r="Q718" s="2" t="s">
        <v>127</v>
      </c>
      <c r="R718" s="2">
        <v>2</v>
      </c>
      <c r="S718" s="2">
        <v>7059.36</v>
      </c>
      <c r="T718" s="2">
        <v>5</v>
      </c>
      <c r="U718" s="2">
        <v>13412.78</v>
      </c>
      <c r="V718" s="2">
        <v>7862.43</v>
      </c>
      <c r="W718" s="2">
        <v>5550.35</v>
      </c>
      <c r="X718" s="2">
        <v>41.38</v>
      </c>
      <c r="Y718" s="2">
        <v>199</v>
      </c>
      <c r="Z718" s="2" t="s">
        <v>23</v>
      </c>
      <c r="AA718" s="2" t="s">
        <v>100</v>
      </c>
      <c r="AB718" s="2" t="s">
        <v>101</v>
      </c>
      <c r="AC718" s="2"/>
    </row>
    <row r="719" spans="1:29" x14ac:dyDescent="0.3">
      <c r="A719" s="3" t="s">
        <v>4154</v>
      </c>
      <c r="B719" s="3" t="s">
        <v>4155</v>
      </c>
      <c r="C719" s="3" t="s">
        <v>1597</v>
      </c>
      <c r="D719" s="3" t="s">
        <v>4156</v>
      </c>
      <c r="E719" s="3" t="s">
        <v>26</v>
      </c>
      <c r="F719" s="3" t="s">
        <v>497</v>
      </c>
      <c r="G719" s="3" t="s">
        <v>540</v>
      </c>
      <c r="H719" s="3" t="s">
        <v>3957</v>
      </c>
      <c r="I719" s="3">
        <v>7</v>
      </c>
      <c r="J719" s="3" t="s">
        <v>22</v>
      </c>
      <c r="K719" s="3" t="s">
        <v>122</v>
      </c>
      <c r="L719" s="3" t="s">
        <v>123</v>
      </c>
      <c r="M719" s="3" t="s">
        <v>4157</v>
      </c>
      <c r="N719" s="3" t="s">
        <v>931</v>
      </c>
      <c r="O719" s="3" t="s">
        <v>13</v>
      </c>
      <c r="P719" s="3" t="s">
        <v>419</v>
      </c>
      <c r="Q719" s="3" t="s">
        <v>114</v>
      </c>
      <c r="R719" s="3">
        <v>4</v>
      </c>
      <c r="S719" s="3">
        <v>27299.09</v>
      </c>
      <c r="T719" s="3">
        <v>5</v>
      </c>
      <c r="U719" s="3">
        <v>103736.54</v>
      </c>
      <c r="V719" s="3">
        <v>53720.88</v>
      </c>
      <c r="W719" s="3">
        <v>50015.66</v>
      </c>
      <c r="X719" s="3">
        <v>48.21</v>
      </c>
      <c r="Y719" s="3">
        <v>0</v>
      </c>
      <c r="Z719" s="3" t="s">
        <v>15</v>
      </c>
      <c r="AA719" s="3" t="s">
        <v>275</v>
      </c>
      <c r="AB719" s="3" t="s">
        <v>101</v>
      </c>
      <c r="AC719" s="3"/>
    </row>
    <row r="720" spans="1:29" x14ac:dyDescent="0.3">
      <c r="A720" s="2" t="s">
        <v>4158</v>
      </c>
      <c r="B720" s="2" t="s">
        <v>4159</v>
      </c>
      <c r="C720" s="2" t="s">
        <v>1419</v>
      </c>
      <c r="D720" s="2" t="s">
        <v>4160</v>
      </c>
      <c r="E720" s="2" t="s">
        <v>33</v>
      </c>
      <c r="F720" s="2" t="s">
        <v>1437</v>
      </c>
      <c r="G720" s="2" t="s">
        <v>2477</v>
      </c>
      <c r="H720" s="2" t="s">
        <v>2300</v>
      </c>
      <c r="I720" s="2">
        <v>5</v>
      </c>
      <c r="J720" s="2" t="s">
        <v>29</v>
      </c>
      <c r="K720" s="2" t="s">
        <v>427</v>
      </c>
      <c r="L720" s="2" t="s">
        <v>1871</v>
      </c>
      <c r="M720" s="2" t="s">
        <v>4161</v>
      </c>
      <c r="N720" s="2" t="s">
        <v>1188</v>
      </c>
      <c r="O720" s="2" t="s">
        <v>27</v>
      </c>
      <c r="P720" s="2" t="s">
        <v>257</v>
      </c>
      <c r="Q720" s="2" t="s">
        <v>287</v>
      </c>
      <c r="R720" s="2">
        <v>1</v>
      </c>
      <c r="S720" s="2">
        <v>6423.95</v>
      </c>
      <c r="T720" s="2">
        <v>30</v>
      </c>
      <c r="U720" s="2">
        <v>4496.76</v>
      </c>
      <c r="V720" s="2">
        <v>2887.33</v>
      </c>
      <c r="W720" s="2">
        <v>1609.43</v>
      </c>
      <c r="X720" s="2">
        <v>35.79</v>
      </c>
      <c r="Y720" s="2">
        <v>99</v>
      </c>
      <c r="Z720" s="2" t="s">
        <v>43</v>
      </c>
      <c r="AA720" s="2" t="s">
        <v>100</v>
      </c>
      <c r="AB720" s="2" t="s">
        <v>101</v>
      </c>
      <c r="AC720" s="2">
        <v>5</v>
      </c>
    </row>
    <row r="721" spans="1:29" x14ac:dyDescent="0.3">
      <c r="A721" s="3" t="s">
        <v>4162</v>
      </c>
      <c r="B721" s="3" t="s">
        <v>3960</v>
      </c>
      <c r="C721" s="3" t="s">
        <v>2345</v>
      </c>
      <c r="D721" s="3" t="s">
        <v>4163</v>
      </c>
      <c r="E721" s="3" t="s">
        <v>33</v>
      </c>
      <c r="F721" s="3" t="s">
        <v>192</v>
      </c>
      <c r="G721" s="3" t="s">
        <v>1265</v>
      </c>
      <c r="H721" s="3" t="s">
        <v>2153</v>
      </c>
      <c r="I721" s="3">
        <v>8</v>
      </c>
      <c r="J721" s="3" t="s">
        <v>14</v>
      </c>
      <c r="K721" s="3" t="s">
        <v>183</v>
      </c>
      <c r="L721" s="3" t="s">
        <v>183</v>
      </c>
      <c r="M721" s="3" t="s">
        <v>4164</v>
      </c>
      <c r="N721" s="3" t="s">
        <v>484</v>
      </c>
      <c r="O721" s="3" t="s">
        <v>13</v>
      </c>
      <c r="P721" s="3" t="s">
        <v>98</v>
      </c>
      <c r="Q721" s="3" t="s">
        <v>152</v>
      </c>
      <c r="R721" s="3">
        <v>1</v>
      </c>
      <c r="S721" s="3">
        <v>5200.0200000000004</v>
      </c>
      <c r="T721" s="3">
        <v>30</v>
      </c>
      <c r="U721" s="3">
        <v>3640.01</v>
      </c>
      <c r="V721" s="3">
        <v>1738.26</v>
      </c>
      <c r="W721" s="3">
        <v>1901.75</v>
      </c>
      <c r="X721" s="3">
        <v>52.25</v>
      </c>
      <c r="Y721" s="3">
        <v>199</v>
      </c>
      <c r="Z721" s="3" t="s">
        <v>15</v>
      </c>
      <c r="AA721" s="3" t="s">
        <v>100</v>
      </c>
      <c r="AB721" s="3" t="s">
        <v>101</v>
      </c>
      <c r="AC721" s="3">
        <v>2</v>
      </c>
    </row>
    <row r="722" spans="1:29" x14ac:dyDescent="0.3">
      <c r="A722" s="2" t="s">
        <v>4165</v>
      </c>
      <c r="B722" s="2" t="s">
        <v>4166</v>
      </c>
      <c r="C722" s="2" t="s">
        <v>2298</v>
      </c>
      <c r="D722" s="2" t="s">
        <v>4167</v>
      </c>
      <c r="E722" s="2" t="s">
        <v>26</v>
      </c>
      <c r="F722" s="2" t="s">
        <v>4168</v>
      </c>
      <c r="G722" s="2" t="s">
        <v>4169</v>
      </c>
      <c r="H722" s="2" t="s">
        <v>3383</v>
      </c>
      <c r="I722" s="2">
        <v>8</v>
      </c>
      <c r="J722" s="2" t="s">
        <v>39</v>
      </c>
      <c r="K722" s="2" t="s">
        <v>324</v>
      </c>
      <c r="L722" s="2" t="s">
        <v>325</v>
      </c>
      <c r="M722" s="2" t="s">
        <v>1852</v>
      </c>
      <c r="N722" s="2" t="s">
        <v>931</v>
      </c>
      <c r="O722" s="2" t="s">
        <v>13</v>
      </c>
      <c r="P722" s="2" t="s">
        <v>419</v>
      </c>
      <c r="Q722" s="2" t="s">
        <v>287</v>
      </c>
      <c r="R722" s="2">
        <v>3</v>
      </c>
      <c r="S722" s="2">
        <v>25701.78</v>
      </c>
      <c r="T722" s="2">
        <v>25</v>
      </c>
      <c r="U722" s="2">
        <v>57829</v>
      </c>
      <c r="V722" s="2">
        <v>27462.21</v>
      </c>
      <c r="W722" s="2">
        <v>30366.79</v>
      </c>
      <c r="X722" s="2">
        <v>52.51</v>
      </c>
      <c r="Y722" s="2">
        <v>0</v>
      </c>
      <c r="Z722" s="2" t="s">
        <v>40</v>
      </c>
      <c r="AA722" s="2" t="s">
        <v>100</v>
      </c>
      <c r="AB722" s="2" t="s">
        <v>101</v>
      </c>
      <c r="AC722" s="2">
        <v>1</v>
      </c>
    </row>
    <row r="723" spans="1:29" x14ac:dyDescent="0.3">
      <c r="A723" s="3" t="s">
        <v>4170</v>
      </c>
      <c r="B723" s="3" t="s">
        <v>1643</v>
      </c>
      <c r="C723" s="3" t="s">
        <v>4171</v>
      </c>
      <c r="D723" s="3" t="s">
        <v>4172</v>
      </c>
      <c r="E723" s="3" t="s">
        <v>26</v>
      </c>
      <c r="F723" s="3" t="s">
        <v>2860</v>
      </c>
      <c r="G723" s="3" t="s">
        <v>2181</v>
      </c>
      <c r="H723" s="3" t="s">
        <v>3144</v>
      </c>
      <c r="I723" s="3">
        <v>6</v>
      </c>
      <c r="J723" s="3" t="s">
        <v>39</v>
      </c>
      <c r="K723" s="3" t="s">
        <v>225</v>
      </c>
      <c r="L723" s="3" t="s">
        <v>225</v>
      </c>
      <c r="M723" s="3" t="s">
        <v>4173</v>
      </c>
      <c r="N723" s="3" t="s">
        <v>508</v>
      </c>
      <c r="O723" s="3" t="s">
        <v>19</v>
      </c>
      <c r="P723" s="3" t="s">
        <v>365</v>
      </c>
      <c r="Q723" s="3" t="s">
        <v>114</v>
      </c>
      <c r="R723" s="3">
        <v>2</v>
      </c>
      <c r="S723" s="3">
        <v>19474.009999999998</v>
      </c>
      <c r="T723" s="3">
        <v>5</v>
      </c>
      <c r="U723" s="3">
        <v>37000.620000000003</v>
      </c>
      <c r="V723" s="3">
        <v>17671.900000000001</v>
      </c>
      <c r="W723" s="3">
        <v>19328.72</v>
      </c>
      <c r="X723" s="3">
        <v>52.24</v>
      </c>
      <c r="Y723" s="3">
        <v>0</v>
      </c>
      <c r="Z723" s="3" t="s">
        <v>47</v>
      </c>
      <c r="AA723" s="3" t="s">
        <v>186</v>
      </c>
      <c r="AB723" s="3" t="s">
        <v>101</v>
      </c>
      <c r="AC723" s="3"/>
    </row>
    <row r="724" spans="1:29" x14ac:dyDescent="0.3">
      <c r="A724" s="2" t="s">
        <v>4174</v>
      </c>
      <c r="B724" s="2" t="s">
        <v>4175</v>
      </c>
      <c r="C724" s="2" t="s">
        <v>2460</v>
      </c>
      <c r="D724" s="2" t="s">
        <v>4176</v>
      </c>
      <c r="E724" s="2" t="s">
        <v>42</v>
      </c>
      <c r="F724" s="2" t="s">
        <v>728</v>
      </c>
      <c r="G724" s="2" t="s">
        <v>1957</v>
      </c>
      <c r="H724" s="2" t="s">
        <v>2639</v>
      </c>
      <c r="I724" s="2">
        <v>8</v>
      </c>
      <c r="J724" s="2" t="s">
        <v>14</v>
      </c>
      <c r="K724" s="2" t="s">
        <v>215</v>
      </c>
      <c r="L724" s="2" t="s">
        <v>215</v>
      </c>
      <c r="M724" s="2" t="s">
        <v>4177</v>
      </c>
      <c r="N724" s="2" t="s">
        <v>374</v>
      </c>
      <c r="O724" s="2" t="s">
        <v>21</v>
      </c>
      <c r="P724" s="2" t="s">
        <v>196</v>
      </c>
      <c r="Q724" s="2" t="s">
        <v>127</v>
      </c>
      <c r="R724" s="2">
        <v>3</v>
      </c>
      <c r="S724" s="2">
        <v>28961.59</v>
      </c>
      <c r="T724" s="2">
        <v>20</v>
      </c>
      <c r="U724" s="2">
        <v>69507.820000000007</v>
      </c>
      <c r="V724" s="2">
        <v>31324.42</v>
      </c>
      <c r="W724" s="2">
        <v>38183.4</v>
      </c>
      <c r="X724" s="2">
        <v>54.93</v>
      </c>
      <c r="Y724" s="2">
        <v>199</v>
      </c>
      <c r="Z724" s="2" t="s">
        <v>23</v>
      </c>
      <c r="AA724" s="2" t="s">
        <v>100</v>
      </c>
      <c r="AB724" s="2" t="s">
        <v>101</v>
      </c>
      <c r="AC724" s="2">
        <v>5</v>
      </c>
    </row>
    <row r="725" spans="1:29" x14ac:dyDescent="0.3">
      <c r="A725" s="3" t="s">
        <v>4178</v>
      </c>
      <c r="B725" s="3" t="s">
        <v>4179</v>
      </c>
      <c r="C725" s="3" t="s">
        <v>870</v>
      </c>
      <c r="D725" s="3" t="s">
        <v>4180</v>
      </c>
      <c r="E725" s="3" t="s">
        <v>26</v>
      </c>
      <c r="F725" s="3" t="s">
        <v>4181</v>
      </c>
      <c r="G725" s="3" t="s">
        <v>3721</v>
      </c>
      <c r="H725" s="3" t="s">
        <v>1249</v>
      </c>
      <c r="I725" s="3">
        <v>8</v>
      </c>
      <c r="J725" s="3" t="s">
        <v>14</v>
      </c>
      <c r="K725" s="3" t="s">
        <v>171</v>
      </c>
      <c r="L725" s="3" t="s">
        <v>407</v>
      </c>
      <c r="M725" s="3" t="s">
        <v>4182</v>
      </c>
      <c r="N725" s="3" t="s">
        <v>205</v>
      </c>
      <c r="O725" s="3" t="s">
        <v>21</v>
      </c>
      <c r="P725" s="3" t="s">
        <v>206</v>
      </c>
      <c r="Q725" s="3" t="s">
        <v>218</v>
      </c>
      <c r="R725" s="3">
        <v>5</v>
      </c>
      <c r="S725" s="3">
        <v>23605.94</v>
      </c>
      <c r="T725" s="3">
        <v>25</v>
      </c>
      <c r="U725" s="3">
        <v>88522.27</v>
      </c>
      <c r="V725" s="3">
        <v>40812.15</v>
      </c>
      <c r="W725" s="3">
        <v>47710.12</v>
      </c>
      <c r="X725" s="3">
        <v>53.9</v>
      </c>
      <c r="Y725" s="3">
        <v>0</v>
      </c>
      <c r="Z725" s="3" t="s">
        <v>15</v>
      </c>
      <c r="AA725" s="3" t="s">
        <v>100</v>
      </c>
      <c r="AB725" s="3" t="s">
        <v>101</v>
      </c>
      <c r="AC725" s="3">
        <v>1</v>
      </c>
    </row>
    <row r="726" spans="1:29" x14ac:dyDescent="0.3">
      <c r="A726" s="2" t="s">
        <v>4183</v>
      </c>
      <c r="B726" s="2" t="s">
        <v>4184</v>
      </c>
      <c r="C726" s="2" t="s">
        <v>1253</v>
      </c>
      <c r="D726" s="2" t="s">
        <v>4185</v>
      </c>
      <c r="E726" s="2" t="s">
        <v>33</v>
      </c>
      <c r="F726" s="2" t="s">
        <v>3973</v>
      </c>
      <c r="G726" s="2" t="s">
        <v>728</v>
      </c>
      <c r="H726" s="2" t="s">
        <v>4186</v>
      </c>
      <c r="I726" s="2">
        <v>8</v>
      </c>
      <c r="J726" s="2" t="s">
        <v>29</v>
      </c>
      <c r="K726" s="2" t="s">
        <v>148</v>
      </c>
      <c r="L726" s="2" t="s">
        <v>148</v>
      </c>
      <c r="M726" s="2" t="s">
        <v>4187</v>
      </c>
      <c r="N726" s="2" t="s">
        <v>327</v>
      </c>
      <c r="O726" s="2" t="s">
        <v>27</v>
      </c>
      <c r="P726" s="2" t="s">
        <v>113</v>
      </c>
      <c r="Q726" s="2" t="s">
        <v>114</v>
      </c>
      <c r="R726" s="2">
        <v>5</v>
      </c>
      <c r="S726" s="2">
        <v>1564.49</v>
      </c>
      <c r="T726" s="2">
        <v>15</v>
      </c>
      <c r="U726" s="2">
        <v>6649.08</v>
      </c>
      <c r="V726" s="2">
        <v>3628.69</v>
      </c>
      <c r="W726" s="2">
        <v>3020.39</v>
      </c>
      <c r="X726" s="2">
        <v>45.43</v>
      </c>
      <c r="Y726" s="2">
        <v>99</v>
      </c>
      <c r="Z726" s="2" t="s">
        <v>15</v>
      </c>
      <c r="AA726" s="2" t="s">
        <v>100</v>
      </c>
      <c r="AB726" s="2" t="s">
        <v>101</v>
      </c>
      <c r="AC726" s="2">
        <v>2</v>
      </c>
    </row>
    <row r="727" spans="1:29" x14ac:dyDescent="0.3">
      <c r="A727" s="3" t="s">
        <v>4188</v>
      </c>
      <c r="B727" s="3" t="s">
        <v>4189</v>
      </c>
      <c r="C727" s="3" t="s">
        <v>1085</v>
      </c>
      <c r="D727" s="3" t="s">
        <v>4190</v>
      </c>
      <c r="E727" s="3" t="s">
        <v>26</v>
      </c>
      <c r="F727" s="3" t="s">
        <v>253</v>
      </c>
      <c r="G727" s="3" t="s">
        <v>4191</v>
      </c>
      <c r="H727" s="3" t="s">
        <v>4192</v>
      </c>
      <c r="I727" s="3">
        <v>7</v>
      </c>
      <c r="J727" s="3" t="s">
        <v>22</v>
      </c>
      <c r="K727" s="3" t="s">
        <v>283</v>
      </c>
      <c r="L727" s="3" t="s">
        <v>284</v>
      </c>
      <c r="M727" s="3" t="s">
        <v>4193</v>
      </c>
      <c r="N727" s="3" t="s">
        <v>583</v>
      </c>
      <c r="O727" s="3" t="s">
        <v>19</v>
      </c>
      <c r="P727" s="3" t="s">
        <v>447</v>
      </c>
      <c r="Q727" s="3" t="s">
        <v>355</v>
      </c>
      <c r="R727" s="3">
        <v>4</v>
      </c>
      <c r="S727" s="3">
        <v>20964.78</v>
      </c>
      <c r="T727" s="3">
        <v>0</v>
      </c>
      <c r="U727" s="3">
        <v>83859.12</v>
      </c>
      <c r="V727" s="3">
        <v>53171.27</v>
      </c>
      <c r="W727" s="3">
        <v>30687.85</v>
      </c>
      <c r="X727" s="3">
        <v>36.590000000000003</v>
      </c>
      <c r="Y727" s="3">
        <v>149</v>
      </c>
      <c r="Z727" s="3" t="s">
        <v>47</v>
      </c>
      <c r="AA727" s="3" t="s">
        <v>100</v>
      </c>
      <c r="AB727" s="3" t="s">
        <v>101</v>
      </c>
      <c r="AC727" s="3">
        <v>1</v>
      </c>
    </row>
    <row r="728" spans="1:29" x14ac:dyDescent="0.3">
      <c r="A728" s="2" t="s">
        <v>4194</v>
      </c>
      <c r="B728" s="2" t="s">
        <v>4195</v>
      </c>
      <c r="C728" s="2" t="s">
        <v>319</v>
      </c>
      <c r="D728" s="2" t="s">
        <v>4196</v>
      </c>
      <c r="E728" s="2" t="s">
        <v>18</v>
      </c>
      <c r="F728" s="2" t="s">
        <v>1408</v>
      </c>
      <c r="G728" s="2" t="s">
        <v>2822</v>
      </c>
      <c r="H728" s="2" t="s">
        <v>786</v>
      </c>
      <c r="I728" s="2">
        <v>5</v>
      </c>
      <c r="J728" s="2" t="s">
        <v>22</v>
      </c>
      <c r="K728" s="2" t="s">
        <v>443</v>
      </c>
      <c r="L728" s="2" t="s">
        <v>567</v>
      </c>
      <c r="M728" s="2" t="s">
        <v>4197</v>
      </c>
      <c r="N728" s="2" t="s">
        <v>616</v>
      </c>
      <c r="O728" s="2" t="s">
        <v>21</v>
      </c>
      <c r="P728" s="2" t="s">
        <v>206</v>
      </c>
      <c r="Q728" s="2" t="s">
        <v>218</v>
      </c>
      <c r="R728" s="2">
        <v>3</v>
      </c>
      <c r="S728" s="2">
        <v>829.72</v>
      </c>
      <c r="T728" s="2">
        <v>30</v>
      </c>
      <c r="U728" s="2">
        <v>1742.41</v>
      </c>
      <c r="V728" s="2">
        <v>1205.43</v>
      </c>
      <c r="W728" s="2">
        <v>536.98</v>
      </c>
      <c r="X728" s="2">
        <v>30.82</v>
      </c>
      <c r="Y728" s="2">
        <v>29</v>
      </c>
      <c r="Z728" s="2" t="s">
        <v>47</v>
      </c>
      <c r="AA728" s="2" t="s">
        <v>186</v>
      </c>
      <c r="AB728" s="2" t="s">
        <v>101</v>
      </c>
      <c r="AC728" s="2"/>
    </row>
    <row r="729" spans="1:29" x14ac:dyDescent="0.3">
      <c r="A729" s="3" t="s">
        <v>4198</v>
      </c>
      <c r="B729" s="3" t="s">
        <v>4199</v>
      </c>
      <c r="C729" s="3" t="s">
        <v>1261</v>
      </c>
      <c r="D729" s="3" t="s">
        <v>4200</v>
      </c>
      <c r="E729" s="3" t="s">
        <v>18</v>
      </c>
      <c r="F729" s="3" t="s">
        <v>2629</v>
      </c>
      <c r="G729" s="3" t="s">
        <v>1519</v>
      </c>
      <c r="H729" s="3" t="s">
        <v>2112</v>
      </c>
      <c r="I729" s="3">
        <v>6</v>
      </c>
      <c r="J729" s="3" t="s">
        <v>14</v>
      </c>
      <c r="K729" s="3" t="s">
        <v>183</v>
      </c>
      <c r="L729" s="3" t="s">
        <v>183</v>
      </c>
      <c r="M729" s="3" t="s">
        <v>4201</v>
      </c>
      <c r="N729" s="3" t="s">
        <v>931</v>
      </c>
      <c r="O729" s="3" t="s">
        <v>13</v>
      </c>
      <c r="P729" s="3" t="s">
        <v>419</v>
      </c>
      <c r="Q729" s="3" t="s">
        <v>246</v>
      </c>
      <c r="R729" s="3">
        <v>4</v>
      </c>
      <c r="S729" s="3">
        <v>23367.11</v>
      </c>
      <c r="T729" s="3">
        <v>30</v>
      </c>
      <c r="U729" s="3">
        <v>65427.91</v>
      </c>
      <c r="V729" s="3">
        <v>39837.06</v>
      </c>
      <c r="W729" s="3">
        <v>25590.85</v>
      </c>
      <c r="X729" s="3">
        <v>39.11</v>
      </c>
      <c r="Y729" s="3">
        <v>199</v>
      </c>
      <c r="Z729" s="3" t="s">
        <v>40</v>
      </c>
      <c r="AA729" s="3" t="s">
        <v>275</v>
      </c>
      <c r="AB729" s="3" t="s">
        <v>101</v>
      </c>
      <c r="AC729" s="3"/>
    </row>
    <row r="730" spans="1:29" x14ac:dyDescent="0.3">
      <c r="A730" s="2" t="s">
        <v>4202</v>
      </c>
      <c r="B730" s="2" t="s">
        <v>4203</v>
      </c>
      <c r="C730" s="2" t="s">
        <v>1152</v>
      </c>
      <c r="D730" s="2" t="s">
        <v>4204</v>
      </c>
      <c r="E730" s="2" t="s">
        <v>26</v>
      </c>
      <c r="F730" s="2" t="s">
        <v>3452</v>
      </c>
      <c r="G730" s="2" t="s">
        <v>920</v>
      </c>
      <c r="H730" s="2" t="s">
        <v>234</v>
      </c>
      <c r="I730" s="2">
        <v>8</v>
      </c>
      <c r="J730" s="2" t="s">
        <v>22</v>
      </c>
      <c r="K730" s="2" t="s">
        <v>283</v>
      </c>
      <c r="L730" s="2" t="s">
        <v>1346</v>
      </c>
      <c r="M730" s="2" t="s">
        <v>4205</v>
      </c>
      <c r="N730" s="2" t="s">
        <v>639</v>
      </c>
      <c r="O730" s="2" t="s">
        <v>27</v>
      </c>
      <c r="P730" s="2" t="s">
        <v>175</v>
      </c>
      <c r="Q730" s="2" t="s">
        <v>152</v>
      </c>
      <c r="R730" s="2">
        <v>5</v>
      </c>
      <c r="S730" s="2">
        <v>13597.48</v>
      </c>
      <c r="T730" s="2">
        <v>25</v>
      </c>
      <c r="U730" s="2">
        <v>50990.55</v>
      </c>
      <c r="V730" s="2">
        <v>24190.18</v>
      </c>
      <c r="W730" s="2">
        <v>26800.37</v>
      </c>
      <c r="X730" s="2">
        <v>52.56</v>
      </c>
      <c r="Y730" s="2">
        <v>99</v>
      </c>
      <c r="Z730" s="2" t="s">
        <v>47</v>
      </c>
      <c r="AA730" s="2" t="s">
        <v>100</v>
      </c>
      <c r="AB730" s="2" t="s">
        <v>101</v>
      </c>
      <c r="AC730" s="2">
        <v>5</v>
      </c>
    </row>
    <row r="731" spans="1:29" x14ac:dyDescent="0.3">
      <c r="A731" s="3" t="s">
        <v>4206</v>
      </c>
      <c r="B731" s="3" t="s">
        <v>4207</v>
      </c>
      <c r="C731" s="3" t="s">
        <v>393</v>
      </c>
      <c r="D731" s="3" t="s">
        <v>4208</v>
      </c>
      <c r="E731" s="3" t="s">
        <v>18</v>
      </c>
      <c r="F731" s="3" t="s">
        <v>4209</v>
      </c>
      <c r="G731" s="3" t="s">
        <v>214</v>
      </c>
      <c r="H731" s="3" t="s">
        <v>947</v>
      </c>
      <c r="I731" s="3">
        <v>4</v>
      </c>
      <c r="J731" s="3" t="s">
        <v>39</v>
      </c>
      <c r="K731" s="3" t="s">
        <v>324</v>
      </c>
      <c r="L731" s="3" t="s">
        <v>325</v>
      </c>
      <c r="M731" s="3" t="s">
        <v>4210</v>
      </c>
      <c r="N731" s="3" t="s">
        <v>533</v>
      </c>
      <c r="O731" s="3" t="s">
        <v>19</v>
      </c>
      <c r="P731" s="3" t="s">
        <v>297</v>
      </c>
      <c r="Q731" s="3" t="s">
        <v>287</v>
      </c>
      <c r="R731" s="3">
        <v>3</v>
      </c>
      <c r="S731" s="3">
        <v>2267.9499999999998</v>
      </c>
      <c r="T731" s="3">
        <v>10</v>
      </c>
      <c r="U731" s="3">
        <v>6123.46</v>
      </c>
      <c r="V731" s="3">
        <v>3177.99</v>
      </c>
      <c r="W731" s="3">
        <v>2945.47</v>
      </c>
      <c r="X731" s="3">
        <v>48.1</v>
      </c>
      <c r="Y731" s="3">
        <v>99</v>
      </c>
      <c r="Z731" s="3" t="s">
        <v>30</v>
      </c>
      <c r="AA731" s="3" t="s">
        <v>100</v>
      </c>
      <c r="AB731" s="3" t="s">
        <v>101</v>
      </c>
      <c r="AC731" s="3"/>
    </row>
    <row r="732" spans="1:29" x14ac:dyDescent="0.3">
      <c r="A732" s="2" t="s">
        <v>4211</v>
      </c>
      <c r="B732" s="2" t="s">
        <v>4212</v>
      </c>
      <c r="C732" s="2" t="s">
        <v>1311</v>
      </c>
      <c r="D732" s="2" t="s">
        <v>4213</v>
      </c>
      <c r="E732" s="2" t="s">
        <v>26</v>
      </c>
      <c r="F732" s="2" t="s">
        <v>809</v>
      </c>
      <c r="G732" s="2" t="s">
        <v>3914</v>
      </c>
      <c r="H732" s="2" t="s">
        <v>818</v>
      </c>
      <c r="I732" s="2">
        <v>7</v>
      </c>
      <c r="J732" s="2" t="s">
        <v>22</v>
      </c>
      <c r="K732" s="2" t="s">
        <v>283</v>
      </c>
      <c r="L732" s="2" t="s">
        <v>748</v>
      </c>
      <c r="M732" s="2" t="s">
        <v>4214</v>
      </c>
      <c r="N732" s="2" t="s">
        <v>112</v>
      </c>
      <c r="O732" s="2" t="s">
        <v>27</v>
      </c>
      <c r="P732" s="2" t="s">
        <v>113</v>
      </c>
      <c r="Q732" s="2" t="s">
        <v>152</v>
      </c>
      <c r="R732" s="2">
        <v>5</v>
      </c>
      <c r="S732" s="2">
        <v>37620.25</v>
      </c>
      <c r="T732" s="2">
        <v>20</v>
      </c>
      <c r="U732" s="2">
        <v>150481</v>
      </c>
      <c r="V732" s="2">
        <v>75814.080000000002</v>
      </c>
      <c r="W732" s="2">
        <v>74666.92</v>
      </c>
      <c r="X732" s="2">
        <v>49.62</v>
      </c>
      <c r="Y732" s="2">
        <v>29</v>
      </c>
      <c r="Z732" s="2" t="s">
        <v>30</v>
      </c>
      <c r="AA732" s="2" t="s">
        <v>100</v>
      </c>
      <c r="AB732" s="2" t="s">
        <v>101</v>
      </c>
      <c r="AC732" s="2">
        <v>4</v>
      </c>
    </row>
    <row r="733" spans="1:29" x14ac:dyDescent="0.3">
      <c r="A733" s="3" t="s">
        <v>4215</v>
      </c>
      <c r="B733" s="3" t="s">
        <v>4216</v>
      </c>
      <c r="C733" s="3" t="s">
        <v>1253</v>
      </c>
      <c r="D733" s="3" t="s">
        <v>4217</v>
      </c>
      <c r="E733" s="3" t="s">
        <v>18</v>
      </c>
      <c r="F733" s="3" t="s">
        <v>1579</v>
      </c>
      <c r="G733" s="3" t="s">
        <v>4218</v>
      </c>
      <c r="H733" s="3" t="s">
        <v>4219</v>
      </c>
      <c r="I733" s="3">
        <v>6</v>
      </c>
      <c r="J733" s="3" t="s">
        <v>14</v>
      </c>
      <c r="K733" s="3" t="s">
        <v>183</v>
      </c>
      <c r="L733" s="3" t="s">
        <v>183</v>
      </c>
      <c r="M733" s="3" t="s">
        <v>4220</v>
      </c>
      <c r="N733" s="3" t="s">
        <v>306</v>
      </c>
      <c r="O733" s="3" t="s">
        <v>21</v>
      </c>
      <c r="P733" s="3" t="s">
        <v>126</v>
      </c>
      <c r="Q733" s="3" t="s">
        <v>197</v>
      </c>
      <c r="R733" s="3">
        <v>4</v>
      </c>
      <c r="S733" s="3">
        <v>38627.57</v>
      </c>
      <c r="T733" s="3">
        <v>15</v>
      </c>
      <c r="U733" s="3">
        <v>131333.74</v>
      </c>
      <c r="V733" s="3">
        <v>69885.78</v>
      </c>
      <c r="W733" s="3">
        <v>61447.96</v>
      </c>
      <c r="X733" s="3">
        <v>46.79</v>
      </c>
      <c r="Y733" s="3">
        <v>199</v>
      </c>
      <c r="Z733" s="3" t="s">
        <v>43</v>
      </c>
      <c r="AA733" s="3" t="s">
        <v>275</v>
      </c>
      <c r="AB733" s="3" t="s">
        <v>101</v>
      </c>
      <c r="AC733" s="3"/>
    </row>
    <row r="734" spans="1:29" x14ac:dyDescent="0.3">
      <c r="A734" s="2" t="s">
        <v>4221</v>
      </c>
      <c r="B734" s="2" t="s">
        <v>4222</v>
      </c>
      <c r="C734" s="2" t="s">
        <v>642</v>
      </c>
      <c r="D734" s="2" t="s">
        <v>4223</v>
      </c>
      <c r="E734" s="2" t="s">
        <v>33</v>
      </c>
      <c r="F734" s="2" t="s">
        <v>514</v>
      </c>
      <c r="G734" s="2" t="s">
        <v>2518</v>
      </c>
      <c r="H734" s="2" t="s">
        <v>3614</v>
      </c>
      <c r="I734" s="2">
        <v>7</v>
      </c>
      <c r="J734" s="2" t="s">
        <v>14</v>
      </c>
      <c r="K734" s="2" t="s">
        <v>183</v>
      </c>
      <c r="L734" s="2" t="s">
        <v>183</v>
      </c>
      <c r="M734" s="2" t="s">
        <v>4224</v>
      </c>
      <c r="N734" s="2" t="s">
        <v>837</v>
      </c>
      <c r="O734" s="2" t="s">
        <v>27</v>
      </c>
      <c r="P734" s="2" t="s">
        <v>257</v>
      </c>
      <c r="Q734" s="2" t="s">
        <v>400</v>
      </c>
      <c r="R734" s="2">
        <v>1</v>
      </c>
      <c r="S734" s="2">
        <v>33397.86</v>
      </c>
      <c r="T734" s="2">
        <v>25</v>
      </c>
      <c r="U734" s="2">
        <v>25048.400000000001</v>
      </c>
      <c r="V734" s="2">
        <v>14663.79</v>
      </c>
      <c r="W734" s="2">
        <v>10384.61</v>
      </c>
      <c r="X734" s="2">
        <v>41.46</v>
      </c>
      <c r="Y734" s="2">
        <v>29</v>
      </c>
      <c r="Z734" s="2" t="s">
        <v>15</v>
      </c>
      <c r="AA734" s="2" t="s">
        <v>139</v>
      </c>
      <c r="AB734" s="2" t="s">
        <v>140</v>
      </c>
      <c r="AC734" s="2"/>
    </row>
    <row r="735" spans="1:29" x14ac:dyDescent="0.3">
      <c r="A735" s="3" t="s">
        <v>4225</v>
      </c>
      <c r="B735" s="3" t="s">
        <v>4226</v>
      </c>
      <c r="C735" s="3" t="s">
        <v>1045</v>
      </c>
      <c r="D735" s="3" t="s">
        <v>4227</v>
      </c>
      <c r="E735" s="3" t="s">
        <v>26</v>
      </c>
      <c r="F735" s="3" t="s">
        <v>2307</v>
      </c>
      <c r="G735" s="3" t="s">
        <v>1133</v>
      </c>
      <c r="H735" s="3" t="s">
        <v>2629</v>
      </c>
      <c r="I735" s="3">
        <v>8</v>
      </c>
      <c r="J735" s="3" t="s">
        <v>29</v>
      </c>
      <c r="K735" s="3" t="s">
        <v>427</v>
      </c>
      <c r="L735" s="3" t="s">
        <v>428</v>
      </c>
      <c r="M735" s="3" t="s">
        <v>4228</v>
      </c>
      <c r="N735" s="3" t="s">
        <v>3017</v>
      </c>
      <c r="O735" s="3" t="s">
        <v>13</v>
      </c>
      <c r="P735" s="3" t="s">
        <v>419</v>
      </c>
      <c r="Q735" s="3" t="s">
        <v>400</v>
      </c>
      <c r="R735" s="3">
        <v>1</v>
      </c>
      <c r="S735" s="3">
        <v>23523.31</v>
      </c>
      <c r="T735" s="3">
        <v>30</v>
      </c>
      <c r="U735" s="3">
        <v>16466.32</v>
      </c>
      <c r="V735" s="3">
        <v>11358.69</v>
      </c>
      <c r="W735" s="3">
        <v>5107.63</v>
      </c>
      <c r="X735" s="3">
        <v>31.02</v>
      </c>
      <c r="Y735" s="3">
        <v>99</v>
      </c>
      <c r="Z735" s="3" t="s">
        <v>48</v>
      </c>
      <c r="AA735" s="3" t="s">
        <v>275</v>
      </c>
      <c r="AB735" s="3" t="s">
        <v>101</v>
      </c>
      <c r="AC735" s="3"/>
    </row>
    <row r="736" spans="1:29" x14ac:dyDescent="0.3">
      <c r="A736" s="2" t="s">
        <v>4229</v>
      </c>
      <c r="B736" s="2" t="s">
        <v>4230</v>
      </c>
      <c r="C736" s="2" t="s">
        <v>1505</v>
      </c>
      <c r="D736" s="2" t="s">
        <v>4231</v>
      </c>
      <c r="E736" s="2" t="s">
        <v>18</v>
      </c>
      <c r="F736" s="2" t="s">
        <v>1459</v>
      </c>
      <c r="G736" s="2" t="s">
        <v>575</v>
      </c>
      <c r="H736" s="2" t="s">
        <v>4232</v>
      </c>
      <c r="I736" s="2">
        <v>7</v>
      </c>
      <c r="J736" s="2" t="s">
        <v>14</v>
      </c>
      <c r="K736" s="2" t="s">
        <v>183</v>
      </c>
      <c r="L736" s="2" t="s">
        <v>183</v>
      </c>
      <c r="M736" s="2" t="s">
        <v>4233</v>
      </c>
      <c r="N736" s="2" t="s">
        <v>456</v>
      </c>
      <c r="O736" s="2" t="s">
        <v>21</v>
      </c>
      <c r="P736" s="2" t="s">
        <v>206</v>
      </c>
      <c r="Q736" s="2" t="s">
        <v>114</v>
      </c>
      <c r="R736" s="2">
        <v>2</v>
      </c>
      <c r="S736" s="2">
        <v>3996.75</v>
      </c>
      <c r="T736" s="2">
        <v>0</v>
      </c>
      <c r="U736" s="2">
        <v>7993.5</v>
      </c>
      <c r="V736" s="2">
        <v>4664.21</v>
      </c>
      <c r="W736" s="2">
        <v>3329.29</v>
      </c>
      <c r="X736" s="2">
        <v>41.65</v>
      </c>
      <c r="Y736" s="2">
        <v>99</v>
      </c>
      <c r="Z736" s="2" t="s">
        <v>48</v>
      </c>
      <c r="AA736" s="2" t="s">
        <v>100</v>
      </c>
      <c r="AB736" s="2" t="s">
        <v>101</v>
      </c>
      <c r="AC736" s="2">
        <v>5</v>
      </c>
    </row>
    <row r="737" spans="1:29" x14ac:dyDescent="0.3">
      <c r="A737" s="3" t="s">
        <v>4234</v>
      </c>
      <c r="B737" s="3" t="s">
        <v>4235</v>
      </c>
      <c r="C737" s="3" t="s">
        <v>1797</v>
      </c>
      <c r="D737" s="3" t="s">
        <v>4236</v>
      </c>
      <c r="E737" s="3" t="s">
        <v>33</v>
      </c>
      <c r="F737" s="3" t="s">
        <v>2888</v>
      </c>
      <c r="G737" s="3" t="s">
        <v>1168</v>
      </c>
      <c r="H737" s="3" t="s">
        <v>490</v>
      </c>
      <c r="I737" s="3">
        <v>6</v>
      </c>
      <c r="J737" s="3" t="s">
        <v>39</v>
      </c>
      <c r="K737" s="3" t="s">
        <v>193</v>
      </c>
      <c r="L737" s="3" t="s">
        <v>193</v>
      </c>
      <c r="M737" s="3" t="s">
        <v>4237</v>
      </c>
      <c r="N737" s="3" t="s">
        <v>740</v>
      </c>
      <c r="O737" s="3" t="s">
        <v>21</v>
      </c>
      <c r="P737" s="3" t="s">
        <v>126</v>
      </c>
      <c r="Q737" s="3" t="s">
        <v>246</v>
      </c>
      <c r="R737" s="3">
        <v>4</v>
      </c>
      <c r="S737" s="3">
        <v>43199.71</v>
      </c>
      <c r="T737" s="3">
        <v>0</v>
      </c>
      <c r="U737" s="3">
        <v>172798.84</v>
      </c>
      <c r="V737" s="3">
        <v>81429.02</v>
      </c>
      <c r="W737" s="3">
        <v>91369.82</v>
      </c>
      <c r="X737" s="3">
        <v>52.88</v>
      </c>
      <c r="Y737" s="3">
        <v>199</v>
      </c>
      <c r="Z737" s="3" t="s">
        <v>30</v>
      </c>
      <c r="AA737" s="3" t="s">
        <v>100</v>
      </c>
      <c r="AB737" s="3" t="s">
        <v>101</v>
      </c>
      <c r="AC737" s="3">
        <v>2</v>
      </c>
    </row>
    <row r="738" spans="1:29" x14ac:dyDescent="0.3">
      <c r="A738" s="2" t="s">
        <v>4238</v>
      </c>
      <c r="B738" s="2" t="s">
        <v>4239</v>
      </c>
      <c r="C738" s="2" t="s">
        <v>1644</v>
      </c>
      <c r="D738" s="2" t="s">
        <v>4240</v>
      </c>
      <c r="E738" s="2" t="s">
        <v>42</v>
      </c>
      <c r="F738" s="2" t="s">
        <v>975</v>
      </c>
      <c r="G738" s="2" t="s">
        <v>435</v>
      </c>
      <c r="H738" s="2" t="s">
        <v>4241</v>
      </c>
      <c r="I738" s="2">
        <v>6</v>
      </c>
      <c r="J738" s="2" t="s">
        <v>29</v>
      </c>
      <c r="K738" s="2" t="s">
        <v>334</v>
      </c>
      <c r="L738" s="2" t="s">
        <v>614</v>
      </c>
      <c r="M738" s="2" t="s">
        <v>4242</v>
      </c>
      <c r="N738" s="2" t="s">
        <v>639</v>
      </c>
      <c r="O738" s="2" t="s">
        <v>27</v>
      </c>
      <c r="P738" s="2" t="s">
        <v>175</v>
      </c>
      <c r="Q738" s="2" t="s">
        <v>138</v>
      </c>
      <c r="R738" s="2">
        <v>4</v>
      </c>
      <c r="S738" s="2">
        <v>9951.49</v>
      </c>
      <c r="T738" s="2">
        <v>10</v>
      </c>
      <c r="U738" s="2">
        <v>35825.360000000001</v>
      </c>
      <c r="V738" s="2">
        <v>21300.45</v>
      </c>
      <c r="W738" s="2">
        <v>14524.91</v>
      </c>
      <c r="X738" s="2">
        <v>40.54</v>
      </c>
      <c r="Y738" s="2">
        <v>29</v>
      </c>
      <c r="Z738" s="2" t="s">
        <v>47</v>
      </c>
      <c r="AA738" s="2" t="s">
        <v>100</v>
      </c>
      <c r="AB738" s="2" t="s">
        <v>101</v>
      </c>
      <c r="AC738" s="2"/>
    </row>
    <row r="739" spans="1:29" x14ac:dyDescent="0.3">
      <c r="A739" s="3" t="s">
        <v>4243</v>
      </c>
      <c r="B739" s="3" t="s">
        <v>4244</v>
      </c>
      <c r="C739" s="3" t="s">
        <v>422</v>
      </c>
      <c r="D739" s="3" t="s">
        <v>4245</v>
      </c>
      <c r="E739" s="3" t="s">
        <v>18</v>
      </c>
      <c r="F739" s="3" t="s">
        <v>735</v>
      </c>
      <c r="G739" s="3" t="s">
        <v>736</v>
      </c>
      <c r="H739" s="3" t="s">
        <v>2393</v>
      </c>
      <c r="I739" s="3">
        <v>8</v>
      </c>
      <c r="J739" s="3" t="s">
        <v>29</v>
      </c>
      <c r="K739" s="3" t="s">
        <v>834</v>
      </c>
      <c r="L739" s="3" t="s">
        <v>901</v>
      </c>
      <c r="M739" s="3" t="s">
        <v>4246</v>
      </c>
      <c r="N739" s="3" t="s">
        <v>97</v>
      </c>
      <c r="O739" s="3" t="s">
        <v>13</v>
      </c>
      <c r="P739" s="3" t="s">
        <v>98</v>
      </c>
      <c r="Q739" s="3" t="s">
        <v>218</v>
      </c>
      <c r="R739" s="3">
        <v>3</v>
      </c>
      <c r="S739" s="3">
        <v>33391.800000000003</v>
      </c>
      <c r="T739" s="3">
        <v>5</v>
      </c>
      <c r="U739" s="3">
        <v>95166.63</v>
      </c>
      <c r="V739" s="3">
        <v>46930.07</v>
      </c>
      <c r="W739" s="3">
        <v>48236.56</v>
      </c>
      <c r="X739" s="3">
        <v>50.69</v>
      </c>
      <c r="Y739" s="3">
        <v>99</v>
      </c>
      <c r="Z739" s="3" t="s">
        <v>43</v>
      </c>
      <c r="AA739" s="3" t="s">
        <v>100</v>
      </c>
      <c r="AB739" s="3" t="s">
        <v>101</v>
      </c>
      <c r="AC739" s="3">
        <v>1</v>
      </c>
    </row>
    <row r="740" spans="1:29" x14ac:dyDescent="0.3">
      <c r="A740" s="2" t="s">
        <v>4247</v>
      </c>
      <c r="B740" s="2" t="s">
        <v>4248</v>
      </c>
      <c r="C740" s="2" t="s">
        <v>2779</v>
      </c>
      <c r="D740" s="2" t="s">
        <v>4249</v>
      </c>
      <c r="E740" s="2" t="s">
        <v>26</v>
      </c>
      <c r="F740" s="2" t="s">
        <v>653</v>
      </c>
      <c r="G740" s="2" t="s">
        <v>654</v>
      </c>
      <c r="H740" s="2" t="s">
        <v>2041</v>
      </c>
      <c r="I740" s="2">
        <v>4</v>
      </c>
      <c r="J740" s="2" t="s">
        <v>39</v>
      </c>
      <c r="K740" s="2" t="s">
        <v>225</v>
      </c>
      <c r="L740" s="2" t="s">
        <v>225</v>
      </c>
      <c r="M740" s="2" t="s">
        <v>398</v>
      </c>
      <c r="N740" s="2" t="s">
        <v>1603</v>
      </c>
      <c r="O740" s="2" t="s">
        <v>19</v>
      </c>
      <c r="P740" s="2" t="s">
        <v>365</v>
      </c>
      <c r="Q740" s="2" t="s">
        <v>114</v>
      </c>
      <c r="R740" s="2">
        <v>1</v>
      </c>
      <c r="S740" s="2">
        <v>35965.730000000003</v>
      </c>
      <c r="T740" s="2">
        <v>30</v>
      </c>
      <c r="U740" s="2">
        <v>25176.01</v>
      </c>
      <c r="V740" s="2">
        <v>11575.85</v>
      </c>
      <c r="W740" s="2">
        <v>13600.16</v>
      </c>
      <c r="X740" s="2">
        <v>54.02</v>
      </c>
      <c r="Y740" s="2">
        <v>149</v>
      </c>
      <c r="Z740" s="2" t="s">
        <v>43</v>
      </c>
      <c r="AA740" s="2" t="s">
        <v>139</v>
      </c>
      <c r="AB740" s="2" t="s">
        <v>140</v>
      </c>
      <c r="AC740" s="2"/>
    </row>
    <row r="741" spans="1:29" x14ac:dyDescent="0.3">
      <c r="A741" s="3" t="s">
        <v>4250</v>
      </c>
      <c r="B741" s="3" t="s">
        <v>4251</v>
      </c>
      <c r="C741" s="3" t="s">
        <v>2339</v>
      </c>
      <c r="D741" s="3" t="s">
        <v>4252</v>
      </c>
      <c r="E741" s="3" t="s">
        <v>18</v>
      </c>
      <c r="F741" s="3" t="s">
        <v>540</v>
      </c>
      <c r="G741" s="3" t="s">
        <v>3885</v>
      </c>
      <c r="H741" s="3" t="s">
        <v>4253</v>
      </c>
      <c r="I741" s="3">
        <v>2</v>
      </c>
      <c r="J741" s="3" t="s">
        <v>29</v>
      </c>
      <c r="K741" s="3" t="s">
        <v>160</v>
      </c>
      <c r="L741" s="3" t="s">
        <v>559</v>
      </c>
      <c r="M741" s="3" t="s">
        <v>4254</v>
      </c>
      <c r="N741" s="3" t="s">
        <v>286</v>
      </c>
      <c r="O741" s="3" t="s">
        <v>28</v>
      </c>
      <c r="P741" s="3" t="s">
        <v>137</v>
      </c>
      <c r="Q741" s="3" t="s">
        <v>400</v>
      </c>
      <c r="R741" s="3">
        <v>4</v>
      </c>
      <c r="S741" s="3">
        <v>29168.13</v>
      </c>
      <c r="T741" s="3">
        <v>25</v>
      </c>
      <c r="U741" s="3">
        <v>87504.39</v>
      </c>
      <c r="V741" s="3">
        <v>53078.19</v>
      </c>
      <c r="W741" s="3">
        <v>34426.199999999997</v>
      </c>
      <c r="X741" s="3">
        <v>39.340000000000003</v>
      </c>
      <c r="Y741" s="3">
        <v>29</v>
      </c>
      <c r="Z741" s="3" t="s">
        <v>48</v>
      </c>
      <c r="AA741" s="3" t="s">
        <v>275</v>
      </c>
      <c r="AB741" s="3" t="s">
        <v>101</v>
      </c>
      <c r="AC741" s="3"/>
    </row>
    <row r="742" spans="1:29" x14ac:dyDescent="0.3">
      <c r="A742" s="2" t="s">
        <v>4255</v>
      </c>
      <c r="B742" s="2" t="s">
        <v>4256</v>
      </c>
      <c r="C742" s="2" t="s">
        <v>689</v>
      </c>
      <c r="D742" s="2" t="s">
        <v>4257</v>
      </c>
      <c r="E742" s="2" t="s">
        <v>18</v>
      </c>
      <c r="F742" s="2" t="s">
        <v>4258</v>
      </c>
      <c r="G742" s="2" t="s">
        <v>1833</v>
      </c>
      <c r="H742" s="2" t="s">
        <v>549</v>
      </c>
      <c r="I742" s="2">
        <v>5</v>
      </c>
      <c r="J742" s="2" t="s">
        <v>29</v>
      </c>
      <c r="K742" s="2" t="s">
        <v>834</v>
      </c>
      <c r="L742" s="2" t="s">
        <v>1000</v>
      </c>
      <c r="M742" s="2" t="s">
        <v>4259</v>
      </c>
      <c r="N742" s="2" t="s">
        <v>623</v>
      </c>
      <c r="O742" s="2" t="s">
        <v>19</v>
      </c>
      <c r="P742" s="2" t="s">
        <v>297</v>
      </c>
      <c r="Q742" s="2" t="s">
        <v>127</v>
      </c>
      <c r="R742" s="2">
        <v>2</v>
      </c>
      <c r="S742" s="2">
        <v>21865.85</v>
      </c>
      <c r="T742" s="2">
        <v>15</v>
      </c>
      <c r="U742" s="2">
        <v>37171.94</v>
      </c>
      <c r="V742" s="2">
        <v>19616.59</v>
      </c>
      <c r="W742" s="2">
        <v>17555.349999999999</v>
      </c>
      <c r="X742" s="2">
        <v>47.23</v>
      </c>
      <c r="Y742" s="2">
        <v>99</v>
      </c>
      <c r="Z742" s="2" t="s">
        <v>40</v>
      </c>
      <c r="AA742" s="2" t="s">
        <v>100</v>
      </c>
      <c r="AB742" s="2" t="s">
        <v>101</v>
      </c>
      <c r="AC742" s="2"/>
    </row>
    <row r="743" spans="1:29" x14ac:dyDescent="0.3">
      <c r="A743" s="3" t="s">
        <v>4260</v>
      </c>
      <c r="B743" s="3" t="s">
        <v>4261</v>
      </c>
      <c r="C743" s="3" t="s">
        <v>221</v>
      </c>
      <c r="D743" s="3" t="s">
        <v>4262</v>
      </c>
      <c r="E743" s="3" t="s">
        <v>18</v>
      </c>
      <c r="F743" s="3" t="s">
        <v>4263</v>
      </c>
      <c r="G743" s="3" t="s">
        <v>1275</v>
      </c>
      <c r="H743" s="3" t="s">
        <v>4264</v>
      </c>
      <c r="I743" s="3">
        <v>2</v>
      </c>
      <c r="J743" s="3" t="s">
        <v>22</v>
      </c>
      <c r="K743" s="3" t="s">
        <v>283</v>
      </c>
      <c r="L743" s="3" t="s">
        <v>1346</v>
      </c>
      <c r="M743" s="3" t="s">
        <v>111</v>
      </c>
      <c r="N743" s="3" t="s">
        <v>533</v>
      </c>
      <c r="O743" s="3" t="s">
        <v>19</v>
      </c>
      <c r="P743" s="3" t="s">
        <v>297</v>
      </c>
      <c r="Q743" s="3" t="s">
        <v>99</v>
      </c>
      <c r="R743" s="3">
        <v>1</v>
      </c>
      <c r="S743" s="3">
        <v>13850.51</v>
      </c>
      <c r="T743" s="3">
        <v>20</v>
      </c>
      <c r="U743" s="3">
        <v>11080.41</v>
      </c>
      <c r="V743" s="3">
        <v>6617.13</v>
      </c>
      <c r="W743" s="3">
        <v>4463.28</v>
      </c>
      <c r="X743" s="3">
        <v>40.28</v>
      </c>
      <c r="Y743" s="3">
        <v>49</v>
      </c>
      <c r="Z743" s="3" t="s">
        <v>23</v>
      </c>
      <c r="AA743" s="3" t="s">
        <v>186</v>
      </c>
      <c r="AB743" s="3" t="s">
        <v>101</v>
      </c>
      <c r="AC743" s="3"/>
    </row>
    <row r="744" spans="1:29" x14ac:dyDescent="0.3">
      <c r="A744" s="2" t="s">
        <v>4265</v>
      </c>
      <c r="B744" s="2" t="s">
        <v>4266</v>
      </c>
      <c r="C744" s="2" t="s">
        <v>863</v>
      </c>
      <c r="D744" s="2" t="s">
        <v>4267</v>
      </c>
      <c r="E744" s="2" t="s">
        <v>26</v>
      </c>
      <c r="F744" s="2" t="s">
        <v>2271</v>
      </c>
      <c r="G744" s="2" t="s">
        <v>4268</v>
      </c>
      <c r="H744" s="2" t="s">
        <v>2172</v>
      </c>
      <c r="I744" s="2">
        <v>7</v>
      </c>
      <c r="J744" s="2" t="s">
        <v>39</v>
      </c>
      <c r="K744" s="2" t="s">
        <v>314</v>
      </c>
      <c r="L744" s="2" t="s">
        <v>314</v>
      </c>
      <c r="M744" s="2" t="s">
        <v>3915</v>
      </c>
      <c r="N744" s="2" t="s">
        <v>704</v>
      </c>
      <c r="O744" s="2" t="s">
        <v>13</v>
      </c>
      <c r="P744" s="2" t="s">
        <v>419</v>
      </c>
      <c r="Q744" s="2" t="s">
        <v>608</v>
      </c>
      <c r="R744" s="2">
        <v>4</v>
      </c>
      <c r="S744" s="2">
        <v>35548.449999999997</v>
      </c>
      <c r="T744" s="2">
        <v>10</v>
      </c>
      <c r="U744" s="2">
        <v>127974.42</v>
      </c>
      <c r="V744" s="2">
        <v>67900.14</v>
      </c>
      <c r="W744" s="2">
        <v>60074.28</v>
      </c>
      <c r="X744" s="2">
        <v>46.94</v>
      </c>
      <c r="Y744" s="2">
        <v>0</v>
      </c>
      <c r="Z744" s="2" t="s">
        <v>47</v>
      </c>
      <c r="AA744" s="2" t="s">
        <v>275</v>
      </c>
      <c r="AB744" s="2" t="s">
        <v>101</v>
      </c>
      <c r="AC744" s="2"/>
    </row>
    <row r="745" spans="1:29" x14ac:dyDescent="0.3">
      <c r="A745" s="3" t="s">
        <v>4269</v>
      </c>
      <c r="B745" s="3" t="s">
        <v>4270</v>
      </c>
      <c r="C745" s="3" t="s">
        <v>995</v>
      </c>
      <c r="D745" s="3" t="s">
        <v>4271</v>
      </c>
      <c r="E745" s="3" t="s">
        <v>26</v>
      </c>
      <c r="F745" s="3" t="s">
        <v>729</v>
      </c>
      <c r="G745" s="3" t="s">
        <v>1812</v>
      </c>
      <c r="H745" s="3" t="s">
        <v>3252</v>
      </c>
      <c r="I745" s="3">
        <v>3</v>
      </c>
      <c r="J745" s="3" t="s">
        <v>14</v>
      </c>
      <c r="K745" s="3" t="s">
        <v>215</v>
      </c>
      <c r="L745" s="3" t="s">
        <v>215</v>
      </c>
      <c r="M745" s="3" t="s">
        <v>4272</v>
      </c>
      <c r="N745" s="3" t="s">
        <v>750</v>
      </c>
      <c r="O745" s="3" t="s">
        <v>13</v>
      </c>
      <c r="P745" s="3" t="s">
        <v>419</v>
      </c>
      <c r="Q745" s="3" t="s">
        <v>218</v>
      </c>
      <c r="R745" s="3">
        <v>5</v>
      </c>
      <c r="S745" s="3">
        <v>5258.15</v>
      </c>
      <c r="T745" s="3">
        <v>20</v>
      </c>
      <c r="U745" s="3">
        <v>21032.6</v>
      </c>
      <c r="V745" s="3">
        <v>11890.71</v>
      </c>
      <c r="W745" s="3">
        <v>9141.89</v>
      </c>
      <c r="X745" s="3">
        <v>43.47</v>
      </c>
      <c r="Y745" s="3">
        <v>199</v>
      </c>
      <c r="Z745" s="3" t="s">
        <v>43</v>
      </c>
      <c r="AA745" s="3" t="s">
        <v>100</v>
      </c>
      <c r="AB745" s="3" t="s">
        <v>101</v>
      </c>
      <c r="AC745" s="3">
        <v>1</v>
      </c>
    </row>
    <row r="746" spans="1:29" x14ac:dyDescent="0.3">
      <c r="A746" s="2" t="s">
        <v>4273</v>
      </c>
      <c r="B746" s="2" t="s">
        <v>4026</v>
      </c>
      <c r="C746" s="2" t="s">
        <v>143</v>
      </c>
      <c r="D746" s="2" t="s">
        <v>4274</v>
      </c>
      <c r="E746" s="2" t="s">
        <v>42</v>
      </c>
      <c r="F746" s="2" t="s">
        <v>426</v>
      </c>
      <c r="G746" s="2" t="s">
        <v>1219</v>
      </c>
      <c r="H746" s="2" t="s">
        <v>1221</v>
      </c>
      <c r="I746" s="2">
        <v>6</v>
      </c>
      <c r="J746" s="2" t="s">
        <v>39</v>
      </c>
      <c r="K746" s="2" t="s">
        <v>225</v>
      </c>
      <c r="L746" s="2" t="s">
        <v>225</v>
      </c>
      <c r="M746" s="2" t="s">
        <v>4275</v>
      </c>
      <c r="N746" s="2" t="s">
        <v>306</v>
      </c>
      <c r="O746" s="2" t="s">
        <v>21</v>
      </c>
      <c r="P746" s="2" t="s">
        <v>126</v>
      </c>
      <c r="Q746" s="2" t="s">
        <v>207</v>
      </c>
      <c r="R746" s="2">
        <v>5</v>
      </c>
      <c r="S746" s="2">
        <v>18961.080000000002</v>
      </c>
      <c r="T746" s="2">
        <v>0</v>
      </c>
      <c r="U746" s="2">
        <v>94805.4</v>
      </c>
      <c r="V746" s="2">
        <v>45876.72</v>
      </c>
      <c r="W746" s="2">
        <v>48928.68</v>
      </c>
      <c r="X746" s="2">
        <v>51.61</v>
      </c>
      <c r="Y746" s="2">
        <v>99</v>
      </c>
      <c r="Z746" s="2" t="s">
        <v>48</v>
      </c>
      <c r="AA746" s="2" t="s">
        <v>100</v>
      </c>
      <c r="AB746" s="2" t="s">
        <v>101</v>
      </c>
      <c r="AC746" s="2">
        <v>1</v>
      </c>
    </row>
    <row r="747" spans="1:29" x14ac:dyDescent="0.3">
      <c r="A747" s="3" t="s">
        <v>4276</v>
      </c>
      <c r="B747" s="3" t="s">
        <v>4277</v>
      </c>
      <c r="C747" s="3" t="s">
        <v>2325</v>
      </c>
      <c r="D747" s="3" t="s">
        <v>4278</v>
      </c>
      <c r="E747" s="3" t="s">
        <v>18</v>
      </c>
      <c r="F747" s="3" t="s">
        <v>331</v>
      </c>
      <c r="G747" s="3" t="s">
        <v>880</v>
      </c>
      <c r="H747" s="3" t="s">
        <v>1984</v>
      </c>
      <c r="I747" s="3">
        <v>5</v>
      </c>
      <c r="J747" s="3" t="s">
        <v>39</v>
      </c>
      <c r="K747" s="3" t="s">
        <v>314</v>
      </c>
      <c r="L747" s="3" t="s">
        <v>314</v>
      </c>
      <c r="M747" s="3" t="s">
        <v>4279</v>
      </c>
      <c r="N747" s="3" t="s">
        <v>852</v>
      </c>
      <c r="O747" s="3" t="s">
        <v>27</v>
      </c>
      <c r="P747" s="3" t="s">
        <v>175</v>
      </c>
      <c r="Q747" s="3" t="s">
        <v>99</v>
      </c>
      <c r="R747" s="3">
        <v>4</v>
      </c>
      <c r="S747" s="3">
        <v>18589.3</v>
      </c>
      <c r="T747" s="3">
        <v>20</v>
      </c>
      <c r="U747" s="3">
        <v>59485.760000000002</v>
      </c>
      <c r="V747" s="3">
        <v>33459.54</v>
      </c>
      <c r="W747" s="3">
        <v>26026.22</v>
      </c>
      <c r="X747" s="3">
        <v>43.75</v>
      </c>
      <c r="Y747" s="3">
        <v>199</v>
      </c>
      <c r="Z747" s="3" t="s">
        <v>40</v>
      </c>
      <c r="AA747" s="3" t="s">
        <v>100</v>
      </c>
      <c r="AB747" s="3" t="s">
        <v>101</v>
      </c>
      <c r="AC747" s="3"/>
    </row>
    <row r="748" spans="1:29" x14ac:dyDescent="0.3">
      <c r="A748" s="2" t="s">
        <v>4280</v>
      </c>
      <c r="B748" s="2" t="s">
        <v>4281</v>
      </c>
      <c r="C748" s="2" t="s">
        <v>973</v>
      </c>
      <c r="D748" s="2" t="s">
        <v>4282</v>
      </c>
      <c r="E748" s="2" t="s">
        <v>33</v>
      </c>
      <c r="F748" s="2" t="s">
        <v>1402</v>
      </c>
      <c r="G748" s="2" t="s">
        <v>3560</v>
      </c>
      <c r="H748" s="2" t="s">
        <v>720</v>
      </c>
      <c r="I748" s="2">
        <v>7</v>
      </c>
      <c r="J748" s="2" t="s">
        <v>39</v>
      </c>
      <c r="K748" s="2" t="s">
        <v>193</v>
      </c>
      <c r="L748" s="2" t="s">
        <v>193</v>
      </c>
      <c r="M748" s="2" t="s">
        <v>4283</v>
      </c>
      <c r="N748" s="2" t="s">
        <v>465</v>
      </c>
      <c r="O748" s="2" t="s">
        <v>19</v>
      </c>
      <c r="P748" s="2" t="s">
        <v>447</v>
      </c>
      <c r="Q748" s="2" t="s">
        <v>355</v>
      </c>
      <c r="R748" s="2">
        <v>4</v>
      </c>
      <c r="S748" s="2">
        <v>11788.36</v>
      </c>
      <c r="T748" s="2">
        <v>5</v>
      </c>
      <c r="U748" s="2">
        <v>44795.77</v>
      </c>
      <c r="V748" s="2">
        <v>26495.94</v>
      </c>
      <c r="W748" s="2">
        <v>18299.830000000002</v>
      </c>
      <c r="X748" s="2">
        <v>40.85</v>
      </c>
      <c r="Y748" s="2">
        <v>49</v>
      </c>
      <c r="Z748" s="2" t="s">
        <v>48</v>
      </c>
      <c r="AA748" s="2" t="s">
        <v>100</v>
      </c>
      <c r="AB748" s="2" t="s">
        <v>101</v>
      </c>
      <c r="AC748" s="2">
        <v>3</v>
      </c>
    </row>
    <row r="749" spans="1:29" x14ac:dyDescent="0.3">
      <c r="A749" s="3" t="s">
        <v>4284</v>
      </c>
      <c r="B749" s="3" t="s">
        <v>4285</v>
      </c>
      <c r="C749" s="3" t="s">
        <v>1492</v>
      </c>
      <c r="D749" s="3" t="s">
        <v>4286</v>
      </c>
      <c r="E749" s="3" t="s">
        <v>26</v>
      </c>
      <c r="F749" s="3" t="s">
        <v>2433</v>
      </c>
      <c r="G749" s="3" t="s">
        <v>3495</v>
      </c>
      <c r="H749" s="3" t="s">
        <v>1841</v>
      </c>
      <c r="I749" s="3">
        <v>3</v>
      </c>
      <c r="J749" s="3" t="s">
        <v>39</v>
      </c>
      <c r="K749" s="3" t="s">
        <v>324</v>
      </c>
      <c r="L749" s="3" t="s">
        <v>325</v>
      </c>
      <c r="M749" s="3" t="s">
        <v>1088</v>
      </c>
      <c r="N749" s="3" t="s">
        <v>1051</v>
      </c>
      <c r="O749" s="3" t="s">
        <v>28</v>
      </c>
      <c r="P749" s="3" t="s">
        <v>151</v>
      </c>
      <c r="Q749" s="3" t="s">
        <v>127</v>
      </c>
      <c r="R749" s="3">
        <v>4</v>
      </c>
      <c r="S749" s="3">
        <v>200.88</v>
      </c>
      <c r="T749" s="3">
        <v>25</v>
      </c>
      <c r="U749" s="3">
        <v>602.64</v>
      </c>
      <c r="V749" s="3">
        <v>384.98</v>
      </c>
      <c r="W749" s="3">
        <v>217.66</v>
      </c>
      <c r="X749" s="3">
        <v>36.119999999999997</v>
      </c>
      <c r="Y749" s="3">
        <v>29</v>
      </c>
      <c r="Z749" s="3" t="s">
        <v>43</v>
      </c>
      <c r="AA749" s="3" t="s">
        <v>100</v>
      </c>
      <c r="AB749" s="3" t="s">
        <v>101</v>
      </c>
      <c r="AC749" s="3">
        <v>4</v>
      </c>
    </row>
    <row r="750" spans="1:29" x14ac:dyDescent="0.3">
      <c r="A750" s="2" t="s">
        <v>4287</v>
      </c>
      <c r="B750" s="2" t="s">
        <v>4288</v>
      </c>
      <c r="C750" s="2" t="s">
        <v>1451</v>
      </c>
      <c r="D750" s="2" t="s">
        <v>4289</v>
      </c>
      <c r="E750" s="2" t="s">
        <v>18</v>
      </c>
      <c r="F750" s="2" t="s">
        <v>2172</v>
      </c>
      <c r="G750" s="2" t="s">
        <v>1751</v>
      </c>
      <c r="H750" s="2" t="s">
        <v>1320</v>
      </c>
      <c r="I750" s="2">
        <v>3</v>
      </c>
      <c r="J750" s="2" t="s">
        <v>22</v>
      </c>
      <c r="K750" s="2" t="s">
        <v>443</v>
      </c>
      <c r="L750" s="2" t="s">
        <v>498</v>
      </c>
      <c r="M750" s="2" t="s">
        <v>4290</v>
      </c>
      <c r="N750" s="2" t="s">
        <v>1223</v>
      </c>
      <c r="O750" s="2" t="s">
        <v>19</v>
      </c>
      <c r="P750" s="2" t="s">
        <v>447</v>
      </c>
      <c r="Q750" s="2" t="s">
        <v>197</v>
      </c>
      <c r="R750" s="2">
        <v>4</v>
      </c>
      <c r="S750" s="2">
        <v>19947.63</v>
      </c>
      <c r="T750" s="2">
        <v>30</v>
      </c>
      <c r="U750" s="2">
        <v>55853.36</v>
      </c>
      <c r="V750" s="2">
        <v>28177.91</v>
      </c>
      <c r="W750" s="2">
        <v>27675.45</v>
      </c>
      <c r="X750" s="2">
        <v>49.55</v>
      </c>
      <c r="Y750" s="2">
        <v>149</v>
      </c>
      <c r="Z750" s="2" t="s">
        <v>23</v>
      </c>
      <c r="AA750" s="2" t="s">
        <v>100</v>
      </c>
      <c r="AB750" s="2" t="s">
        <v>101</v>
      </c>
      <c r="AC750" s="2">
        <v>5</v>
      </c>
    </row>
    <row r="751" spans="1:29" x14ac:dyDescent="0.3">
      <c r="A751" s="3" t="s">
        <v>4291</v>
      </c>
      <c r="B751" s="3" t="s">
        <v>4292</v>
      </c>
      <c r="C751" s="3" t="s">
        <v>1861</v>
      </c>
      <c r="D751" s="3" t="s">
        <v>4293</v>
      </c>
      <c r="E751" s="3" t="s">
        <v>18</v>
      </c>
      <c r="F751" s="3" t="s">
        <v>342</v>
      </c>
      <c r="G751" s="3" t="s">
        <v>343</v>
      </c>
      <c r="H751" s="3" t="s">
        <v>2440</v>
      </c>
      <c r="I751" s="3">
        <v>6</v>
      </c>
      <c r="J751" s="3" t="s">
        <v>29</v>
      </c>
      <c r="K751" s="3" t="s">
        <v>334</v>
      </c>
      <c r="L751" s="3" t="s">
        <v>335</v>
      </c>
      <c r="M751" s="3" t="s">
        <v>445</v>
      </c>
      <c r="N751" s="3" t="s">
        <v>438</v>
      </c>
      <c r="O751" s="3" t="s">
        <v>13</v>
      </c>
      <c r="P751" s="3" t="s">
        <v>228</v>
      </c>
      <c r="Q751" s="3" t="s">
        <v>287</v>
      </c>
      <c r="R751" s="3">
        <v>5</v>
      </c>
      <c r="S751" s="3">
        <v>3982.86</v>
      </c>
      <c r="T751" s="3">
        <v>30</v>
      </c>
      <c r="U751" s="3">
        <v>13940.01</v>
      </c>
      <c r="V751" s="3">
        <v>7987.85</v>
      </c>
      <c r="W751" s="3">
        <v>5952.16</v>
      </c>
      <c r="X751" s="3">
        <v>42.7</v>
      </c>
      <c r="Y751" s="3">
        <v>99</v>
      </c>
      <c r="Z751" s="3" t="s">
        <v>43</v>
      </c>
      <c r="AA751" s="3" t="s">
        <v>139</v>
      </c>
      <c r="AB751" s="3" t="s">
        <v>140</v>
      </c>
      <c r="AC751" s="3"/>
    </row>
    <row r="752" spans="1:29" x14ac:dyDescent="0.3">
      <c r="A752" s="2" t="s">
        <v>4294</v>
      </c>
      <c r="B752" s="2" t="s">
        <v>4295</v>
      </c>
      <c r="C752" s="2" t="s">
        <v>1700</v>
      </c>
      <c r="D752" s="2" t="s">
        <v>4296</v>
      </c>
      <c r="E752" s="2" t="s">
        <v>42</v>
      </c>
      <c r="F752" s="2" t="s">
        <v>2725</v>
      </c>
      <c r="G752" s="2" t="s">
        <v>1072</v>
      </c>
      <c r="H752" s="2" t="s">
        <v>2206</v>
      </c>
      <c r="I752" s="2">
        <v>4</v>
      </c>
      <c r="J752" s="2" t="s">
        <v>39</v>
      </c>
      <c r="K752" s="2" t="s">
        <v>324</v>
      </c>
      <c r="L752" s="2" t="s">
        <v>1028</v>
      </c>
      <c r="M752" s="2" t="s">
        <v>4297</v>
      </c>
      <c r="N752" s="2" t="s">
        <v>185</v>
      </c>
      <c r="O752" s="2" t="s">
        <v>28</v>
      </c>
      <c r="P752" s="2" t="s">
        <v>151</v>
      </c>
      <c r="Q752" s="2" t="s">
        <v>246</v>
      </c>
      <c r="R752" s="2">
        <v>2</v>
      </c>
      <c r="S752" s="2">
        <v>12842.16</v>
      </c>
      <c r="T752" s="2">
        <v>15</v>
      </c>
      <c r="U752" s="2">
        <v>21831.67</v>
      </c>
      <c r="V752" s="2">
        <v>11863.65</v>
      </c>
      <c r="W752" s="2">
        <v>9968.02</v>
      </c>
      <c r="X752" s="2">
        <v>45.66</v>
      </c>
      <c r="Y752" s="2">
        <v>199</v>
      </c>
      <c r="Z752" s="2" t="s">
        <v>15</v>
      </c>
      <c r="AA752" s="2" t="s">
        <v>100</v>
      </c>
      <c r="AB752" s="2" t="s">
        <v>101</v>
      </c>
      <c r="AC752" s="2">
        <v>1</v>
      </c>
    </row>
    <row r="753" spans="1:29" x14ac:dyDescent="0.3">
      <c r="A753" s="3" t="s">
        <v>4298</v>
      </c>
      <c r="B753" s="3" t="s">
        <v>4299</v>
      </c>
      <c r="C753" s="3" t="s">
        <v>3325</v>
      </c>
      <c r="D753" s="3" t="s">
        <v>4300</v>
      </c>
      <c r="E753" s="3" t="s">
        <v>18</v>
      </c>
      <c r="F753" s="3" t="s">
        <v>2774</v>
      </c>
      <c r="G753" s="3" t="s">
        <v>2775</v>
      </c>
      <c r="H753" s="3" t="s">
        <v>1756</v>
      </c>
      <c r="I753" s="3">
        <v>5</v>
      </c>
      <c r="J753" s="3" t="s">
        <v>39</v>
      </c>
      <c r="K753" s="3" t="s">
        <v>109</v>
      </c>
      <c r="L753" s="3" t="s">
        <v>110</v>
      </c>
      <c r="M753" s="3" t="s">
        <v>4301</v>
      </c>
      <c r="N753" s="3" t="s">
        <v>631</v>
      </c>
      <c r="O753" s="3" t="s">
        <v>19</v>
      </c>
      <c r="P753" s="3" t="s">
        <v>297</v>
      </c>
      <c r="Q753" s="3" t="s">
        <v>197</v>
      </c>
      <c r="R753" s="3">
        <v>4</v>
      </c>
      <c r="S753" s="3">
        <v>21221.119999999999</v>
      </c>
      <c r="T753" s="3">
        <v>0</v>
      </c>
      <c r="U753" s="3">
        <v>84884.479999999996</v>
      </c>
      <c r="V753" s="3">
        <v>39535.46</v>
      </c>
      <c r="W753" s="3">
        <v>45349.02</v>
      </c>
      <c r="X753" s="3">
        <v>53.42</v>
      </c>
      <c r="Y753" s="3">
        <v>149</v>
      </c>
      <c r="Z753" s="3" t="s">
        <v>40</v>
      </c>
      <c r="AA753" s="3" t="s">
        <v>100</v>
      </c>
      <c r="AB753" s="3" t="s">
        <v>101</v>
      </c>
      <c r="AC753" s="3">
        <v>5</v>
      </c>
    </row>
    <row r="754" spans="1:29" x14ac:dyDescent="0.3">
      <c r="A754" s="2" t="s">
        <v>4302</v>
      </c>
      <c r="B754" s="2" t="s">
        <v>4303</v>
      </c>
      <c r="C754" s="2" t="s">
        <v>782</v>
      </c>
      <c r="D754" s="2" t="s">
        <v>4304</v>
      </c>
      <c r="E754" s="2" t="s">
        <v>18</v>
      </c>
      <c r="F754" s="2" t="s">
        <v>4305</v>
      </c>
      <c r="G754" s="2" t="s">
        <v>2921</v>
      </c>
      <c r="H754" s="2" t="s">
        <v>1654</v>
      </c>
      <c r="I754" s="2">
        <v>2</v>
      </c>
      <c r="J754" s="2" t="s">
        <v>22</v>
      </c>
      <c r="K754" s="2" t="s">
        <v>122</v>
      </c>
      <c r="L754" s="2" t="s">
        <v>812</v>
      </c>
      <c r="M754" s="2" t="s">
        <v>4306</v>
      </c>
      <c r="N754" s="2" t="s">
        <v>1380</v>
      </c>
      <c r="O754" s="2" t="s">
        <v>28</v>
      </c>
      <c r="P754" s="2" t="s">
        <v>137</v>
      </c>
      <c r="Q754" s="2" t="s">
        <v>509</v>
      </c>
      <c r="R754" s="2">
        <v>1</v>
      </c>
      <c r="S754" s="2">
        <v>12152.6</v>
      </c>
      <c r="T754" s="2">
        <v>20</v>
      </c>
      <c r="U754" s="2">
        <v>9722.08</v>
      </c>
      <c r="V754" s="2">
        <v>5791.01</v>
      </c>
      <c r="W754" s="2">
        <v>3931.07</v>
      </c>
      <c r="X754" s="2">
        <v>40.43</v>
      </c>
      <c r="Y754" s="2">
        <v>99</v>
      </c>
      <c r="Z754" s="2" t="s">
        <v>47</v>
      </c>
      <c r="AA754" s="2" t="s">
        <v>100</v>
      </c>
      <c r="AB754" s="2" t="s">
        <v>101</v>
      </c>
      <c r="AC754" s="2">
        <v>3</v>
      </c>
    </row>
    <row r="755" spans="1:29" x14ac:dyDescent="0.3">
      <c r="A755" s="3" t="s">
        <v>4307</v>
      </c>
      <c r="B755" s="3" t="s">
        <v>4308</v>
      </c>
      <c r="C755" s="3" t="s">
        <v>1068</v>
      </c>
      <c r="D755" s="3" t="s">
        <v>4309</v>
      </c>
      <c r="E755" s="3" t="s">
        <v>42</v>
      </c>
      <c r="F755" s="3" t="s">
        <v>1632</v>
      </c>
      <c r="G755" s="3" t="s">
        <v>2979</v>
      </c>
      <c r="H755" s="3" t="s">
        <v>1345</v>
      </c>
      <c r="I755" s="3">
        <v>6</v>
      </c>
      <c r="J755" s="3" t="s">
        <v>14</v>
      </c>
      <c r="K755" s="3" t="s">
        <v>171</v>
      </c>
      <c r="L755" s="3" t="s">
        <v>172</v>
      </c>
      <c r="M755" s="3" t="s">
        <v>2377</v>
      </c>
      <c r="N755" s="3" t="s">
        <v>600</v>
      </c>
      <c r="O755" s="3" t="s">
        <v>27</v>
      </c>
      <c r="P755" s="3" t="s">
        <v>175</v>
      </c>
      <c r="Q755" s="3" t="s">
        <v>287</v>
      </c>
      <c r="R755" s="3">
        <v>3</v>
      </c>
      <c r="S755" s="3">
        <v>4340.26</v>
      </c>
      <c r="T755" s="3">
        <v>5</v>
      </c>
      <c r="U755" s="3">
        <v>12369.74</v>
      </c>
      <c r="V755" s="3">
        <v>8529.9699999999993</v>
      </c>
      <c r="W755" s="3">
        <v>3839.77</v>
      </c>
      <c r="X755" s="3">
        <v>31.04</v>
      </c>
      <c r="Y755" s="3">
        <v>29</v>
      </c>
      <c r="Z755" s="3" t="s">
        <v>23</v>
      </c>
      <c r="AA755" s="3" t="s">
        <v>100</v>
      </c>
      <c r="AB755" s="3" t="s">
        <v>101</v>
      </c>
      <c r="AC755" s="3"/>
    </row>
    <row r="756" spans="1:29" x14ac:dyDescent="0.3">
      <c r="A756" s="2" t="s">
        <v>4310</v>
      </c>
      <c r="B756" s="2" t="s">
        <v>4311</v>
      </c>
      <c r="C756" s="2" t="s">
        <v>495</v>
      </c>
      <c r="D756" s="2" t="s">
        <v>4312</v>
      </c>
      <c r="E756" s="2" t="s">
        <v>33</v>
      </c>
      <c r="F756" s="2" t="s">
        <v>3041</v>
      </c>
      <c r="G756" s="2" t="s">
        <v>3237</v>
      </c>
      <c r="H756" s="2" t="s">
        <v>4108</v>
      </c>
      <c r="I756" s="2">
        <v>3</v>
      </c>
      <c r="J756" s="2" t="s">
        <v>22</v>
      </c>
      <c r="K756" s="2" t="s">
        <v>443</v>
      </c>
      <c r="L756" s="2" t="s">
        <v>567</v>
      </c>
      <c r="M756" s="2" t="s">
        <v>4313</v>
      </c>
      <c r="N756" s="2" t="s">
        <v>296</v>
      </c>
      <c r="O756" s="2" t="s">
        <v>19</v>
      </c>
      <c r="P756" s="2" t="s">
        <v>297</v>
      </c>
      <c r="Q756" s="2" t="s">
        <v>246</v>
      </c>
      <c r="R756" s="2">
        <v>3</v>
      </c>
      <c r="S756" s="2">
        <v>25473.13</v>
      </c>
      <c r="T756" s="2">
        <v>10</v>
      </c>
      <c r="U756" s="2">
        <v>68777.45</v>
      </c>
      <c r="V756" s="2">
        <v>31277.86</v>
      </c>
      <c r="W756" s="2">
        <v>37499.589999999997</v>
      </c>
      <c r="X756" s="2">
        <v>54.52</v>
      </c>
      <c r="Y756" s="2">
        <v>99</v>
      </c>
      <c r="Z756" s="2" t="s">
        <v>47</v>
      </c>
      <c r="AA756" s="2" t="s">
        <v>100</v>
      </c>
      <c r="AB756" s="2" t="s">
        <v>101</v>
      </c>
      <c r="AC756" s="2"/>
    </row>
    <row r="757" spans="1:29" x14ac:dyDescent="0.3">
      <c r="A757" s="3" t="s">
        <v>4314</v>
      </c>
      <c r="B757" s="3" t="s">
        <v>4315</v>
      </c>
      <c r="C757" s="3" t="s">
        <v>2882</v>
      </c>
      <c r="D757" s="3" t="s">
        <v>4316</v>
      </c>
      <c r="E757" s="3" t="s">
        <v>33</v>
      </c>
      <c r="F757" s="3" t="s">
        <v>3010</v>
      </c>
      <c r="G757" s="3" t="s">
        <v>2022</v>
      </c>
      <c r="H757" s="3" t="s">
        <v>1041</v>
      </c>
      <c r="I757" s="3">
        <v>7</v>
      </c>
      <c r="J757" s="3" t="s">
        <v>14</v>
      </c>
      <c r="K757" s="3" t="s">
        <v>712</v>
      </c>
      <c r="L757" s="3" t="s">
        <v>712</v>
      </c>
      <c r="M757" s="3" t="s">
        <v>4317</v>
      </c>
      <c r="N757" s="3" t="s">
        <v>889</v>
      </c>
      <c r="O757" s="3" t="s">
        <v>27</v>
      </c>
      <c r="P757" s="3" t="s">
        <v>257</v>
      </c>
      <c r="Q757" s="3" t="s">
        <v>114</v>
      </c>
      <c r="R757" s="3">
        <v>4</v>
      </c>
      <c r="S757" s="3">
        <v>42216.52</v>
      </c>
      <c r="T757" s="3">
        <v>25</v>
      </c>
      <c r="U757" s="3">
        <v>126649.56</v>
      </c>
      <c r="V757" s="3">
        <v>81680.61</v>
      </c>
      <c r="W757" s="3">
        <v>44968.95</v>
      </c>
      <c r="X757" s="3">
        <v>35.51</v>
      </c>
      <c r="Y757" s="3">
        <v>99</v>
      </c>
      <c r="Z757" s="3" t="s">
        <v>40</v>
      </c>
      <c r="AA757" s="3" t="s">
        <v>100</v>
      </c>
      <c r="AB757" s="3" t="s">
        <v>101</v>
      </c>
      <c r="AC757" s="3">
        <v>2</v>
      </c>
    </row>
    <row r="758" spans="1:29" x14ac:dyDescent="0.3">
      <c r="A758" s="2" t="s">
        <v>4318</v>
      </c>
      <c r="B758" s="2" t="s">
        <v>4319</v>
      </c>
      <c r="C758" s="2" t="s">
        <v>1426</v>
      </c>
      <c r="D758" s="2" t="s">
        <v>4320</v>
      </c>
      <c r="E758" s="2" t="s">
        <v>42</v>
      </c>
      <c r="F758" s="2" t="s">
        <v>2955</v>
      </c>
      <c r="G758" s="2" t="s">
        <v>1015</v>
      </c>
      <c r="H758" s="2" t="s">
        <v>1205</v>
      </c>
      <c r="I758" s="2">
        <v>4</v>
      </c>
      <c r="J758" s="2" t="s">
        <v>14</v>
      </c>
      <c r="K758" s="2" t="s">
        <v>215</v>
      </c>
      <c r="L758" s="2" t="s">
        <v>215</v>
      </c>
      <c r="M758" s="2" t="s">
        <v>4321</v>
      </c>
      <c r="N758" s="2" t="s">
        <v>1535</v>
      </c>
      <c r="O758" s="2" t="s">
        <v>13</v>
      </c>
      <c r="P758" s="2" t="s">
        <v>98</v>
      </c>
      <c r="Q758" s="2" t="s">
        <v>608</v>
      </c>
      <c r="R758" s="2">
        <v>3</v>
      </c>
      <c r="S758" s="2">
        <v>10842.83</v>
      </c>
      <c r="T758" s="2">
        <v>0</v>
      </c>
      <c r="U758" s="2">
        <v>32528.49</v>
      </c>
      <c r="V758" s="2">
        <v>19279.150000000001</v>
      </c>
      <c r="W758" s="2">
        <v>13249.34</v>
      </c>
      <c r="X758" s="2">
        <v>40.729999999999997</v>
      </c>
      <c r="Y758" s="2">
        <v>199</v>
      </c>
      <c r="Z758" s="2" t="s">
        <v>23</v>
      </c>
      <c r="AA758" s="2" t="s">
        <v>186</v>
      </c>
      <c r="AB758" s="2" t="s">
        <v>101</v>
      </c>
      <c r="AC758" s="2"/>
    </row>
    <row r="759" spans="1:29" x14ac:dyDescent="0.3">
      <c r="A759" s="3" t="s">
        <v>4322</v>
      </c>
      <c r="B759" s="3" t="s">
        <v>4323</v>
      </c>
      <c r="C759" s="3" t="s">
        <v>1742</v>
      </c>
      <c r="D759" s="3" t="s">
        <v>4324</v>
      </c>
      <c r="E759" s="3" t="s">
        <v>42</v>
      </c>
      <c r="F759" s="3" t="s">
        <v>3660</v>
      </c>
      <c r="G759" s="3" t="s">
        <v>4325</v>
      </c>
      <c r="H759" s="3" t="s">
        <v>3331</v>
      </c>
      <c r="I759" s="3">
        <v>7</v>
      </c>
      <c r="J759" s="3" t="s">
        <v>29</v>
      </c>
      <c r="K759" s="3" t="s">
        <v>148</v>
      </c>
      <c r="L759" s="3" t="s">
        <v>148</v>
      </c>
      <c r="M759" s="3" t="s">
        <v>4326</v>
      </c>
      <c r="N759" s="3" t="s">
        <v>174</v>
      </c>
      <c r="O759" s="3" t="s">
        <v>27</v>
      </c>
      <c r="P759" s="3" t="s">
        <v>175</v>
      </c>
      <c r="Q759" s="3" t="s">
        <v>355</v>
      </c>
      <c r="R759" s="3">
        <v>2</v>
      </c>
      <c r="S759" s="3">
        <v>7281.85</v>
      </c>
      <c r="T759" s="3">
        <v>15</v>
      </c>
      <c r="U759" s="3">
        <v>12379.15</v>
      </c>
      <c r="V759" s="3">
        <v>5836.14</v>
      </c>
      <c r="W759" s="3">
        <v>6543.01</v>
      </c>
      <c r="X759" s="3">
        <v>52.86</v>
      </c>
      <c r="Y759" s="3">
        <v>0</v>
      </c>
      <c r="Z759" s="3" t="s">
        <v>48</v>
      </c>
      <c r="AA759" s="3" t="s">
        <v>100</v>
      </c>
      <c r="AB759" s="3" t="s">
        <v>101</v>
      </c>
      <c r="AC759" s="3">
        <v>1</v>
      </c>
    </row>
    <row r="760" spans="1:29" x14ac:dyDescent="0.3">
      <c r="A760" s="2" t="s">
        <v>4327</v>
      </c>
      <c r="B760" s="2" t="s">
        <v>4328</v>
      </c>
      <c r="C760" s="2" t="s">
        <v>1152</v>
      </c>
      <c r="D760" s="2" t="s">
        <v>4329</v>
      </c>
      <c r="E760" s="2" t="s">
        <v>42</v>
      </c>
      <c r="F760" s="2" t="s">
        <v>181</v>
      </c>
      <c r="G760" s="2" t="s">
        <v>735</v>
      </c>
      <c r="H760" s="2" t="s">
        <v>182</v>
      </c>
      <c r="I760" s="2">
        <v>3</v>
      </c>
      <c r="J760" s="2" t="s">
        <v>22</v>
      </c>
      <c r="K760" s="2" t="s">
        <v>122</v>
      </c>
      <c r="L760" s="2" t="s">
        <v>236</v>
      </c>
      <c r="M760" s="2" t="s">
        <v>4330</v>
      </c>
      <c r="N760" s="2" t="s">
        <v>354</v>
      </c>
      <c r="O760" s="2" t="s">
        <v>21</v>
      </c>
      <c r="P760" s="2" t="s">
        <v>196</v>
      </c>
      <c r="Q760" s="2" t="s">
        <v>218</v>
      </c>
      <c r="R760" s="2">
        <v>5</v>
      </c>
      <c r="S760" s="2">
        <v>4798.49</v>
      </c>
      <c r="T760" s="2">
        <v>15</v>
      </c>
      <c r="U760" s="2">
        <v>20393.580000000002</v>
      </c>
      <c r="V760" s="2">
        <v>13555.73</v>
      </c>
      <c r="W760" s="2">
        <v>6837.85</v>
      </c>
      <c r="X760" s="2">
        <v>33.53</v>
      </c>
      <c r="Y760" s="2">
        <v>29</v>
      </c>
      <c r="Z760" s="2" t="s">
        <v>47</v>
      </c>
      <c r="AA760" s="2" t="s">
        <v>672</v>
      </c>
      <c r="AB760" s="2" t="s">
        <v>101</v>
      </c>
      <c r="AC760" s="2"/>
    </row>
    <row r="761" spans="1:29" x14ac:dyDescent="0.3">
      <c r="A761" s="3" t="s">
        <v>4331</v>
      </c>
      <c r="B761" s="3" t="s">
        <v>4063</v>
      </c>
      <c r="C761" s="3" t="s">
        <v>4332</v>
      </c>
      <c r="D761" s="3" t="s">
        <v>4333</v>
      </c>
      <c r="E761" s="3" t="s">
        <v>26</v>
      </c>
      <c r="F761" s="3" t="s">
        <v>4334</v>
      </c>
      <c r="G761" s="3" t="s">
        <v>342</v>
      </c>
      <c r="H761" s="3" t="s">
        <v>2439</v>
      </c>
      <c r="I761" s="3">
        <v>5</v>
      </c>
      <c r="J761" s="3" t="s">
        <v>22</v>
      </c>
      <c r="K761" s="3" t="s">
        <v>283</v>
      </c>
      <c r="L761" s="3" t="s">
        <v>748</v>
      </c>
      <c r="M761" s="3" t="s">
        <v>4335</v>
      </c>
      <c r="N761" s="3" t="s">
        <v>286</v>
      </c>
      <c r="O761" s="3" t="s">
        <v>28</v>
      </c>
      <c r="P761" s="3" t="s">
        <v>137</v>
      </c>
      <c r="Q761" s="3" t="s">
        <v>114</v>
      </c>
      <c r="R761" s="3">
        <v>1</v>
      </c>
      <c r="S761" s="3">
        <v>7042.9</v>
      </c>
      <c r="T761" s="3">
        <v>30</v>
      </c>
      <c r="U761" s="3">
        <v>4930.03</v>
      </c>
      <c r="V761" s="3">
        <v>3135.48</v>
      </c>
      <c r="W761" s="3">
        <v>1794.55</v>
      </c>
      <c r="X761" s="3">
        <v>36.4</v>
      </c>
      <c r="Y761" s="3">
        <v>29</v>
      </c>
      <c r="Z761" s="3" t="s">
        <v>30</v>
      </c>
      <c r="AA761" s="3" t="s">
        <v>100</v>
      </c>
      <c r="AB761" s="3" t="s">
        <v>101</v>
      </c>
      <c r="AC761" s="3">
        <v>4</v>
      </c>
    </row>
    <row r="762" spans="1:29" x14ac:dyDescent="0.3">
      <c r="A762" s="2" t="s">
        <v>4336</v>
      </c>
      <c r="B762" s="2" t="s">
        <v>4337</v>
      </c>
      <c r="C762" s="2" t="s">
        <v>1544</v>
      </c>
      <c r="D762" s="2" t="s">
        <v>4338</v>
      </c>
      <c r="E762" s="2" t="s">
        <v>33</v>
      </c>
      <c r="F762" s="2" t="s">
        <v>776</v>
      </c>
      <c r="G762" s="2" t="s">
        <v>213</v>
      </c>
      <c r="H762" s="2" t="s">
        <v>947</v>
      </c>
      <c r="I762" s="2">
        <v>8</v>
      </c>
      <c r="J762" s="2" t="s">
        <v>22</v>
      </c>
      <c r="K762" s="2" t="s">
        <v>254</v>
      </c>
      <c r="L762" s="2" t="s">
        <v>254</v>
      </c>
      <c r="M762" s="2" t="s">
        <v>4339</v>
      </c>
      <c r="N762" s="2" t="s">
        <v>316</v>
      </c>
      <c r="O762" s="2" t="s">
        <v>28</v>
      </c>
      <c r="P762" s="2" t="s">
        <v>137</v>
      </c>
      <c r="Q762" s="2" t="s">
        <v>152</v>
      </c>
      <c r="R762" s="2">
        <v>4</v>
      </c>
      <c r="S762" s="2">
        <v>6161.15</v>
      </c>
      <c r="T762" s="2">
        <v>25</v>
      </c>
      <c r="U762" s="2">
        <v>18483.45</v>
      </c>
      <c r="V762" s="2">
        <v>10965.71</v>
      </c>
      <c r="W762" s="2">
        <v>7517.74</v>
      </c>
      <c r="X762" s="2">
        <v>40.67</v>
      </c>
      <c r="Y762" s="2">
        <v>0</v>
      </c>
      <c r="Z762" s="2" t="s">
        <v>48</v>
      </c>
      <c r="AA762" s="2" t="s">
        <v>100</v>
      </c>
      <c r="AB762" s="2" t="s">
        <v>101</v>
      </c>
      <c r="AC762" s="2">
        <v>1</v>
      </c>
    </row>
    <row r="763" spans="1:29" x14ac:dyDescent="0.3">
      <c r="A763" s="3" t="s">
        <v>4340</v>
      </c>
      <c r="B763" s="3" t="s">
        <v>4341</v>
      </c>
      <c r="C763" s="3" t="s">
        <v>4342</v>
      </c>
      <c r="D763" s="3" t="s">
        <v>4343</v>
      </c>
      <c r="E763" s="3" t="s">
        <v>33</v>
      </c>
      <c r="F763" s="3" t="s">
        <v>540</v>
      </c>
      <c r="G763" s="3" t="s">
        <v>3885</v>
      </c>
      <c r="H763" s="3" t="s">
        <v>3957</v>
      </c>
      <c r="I763" s="3">
        <v>4</v>
      </c>
      <c r="J763" s="3" t="s">
        <v>29</v>
      </c>
      <c r="K763" s="3" t="s">
        <v>427</v>
      </c>
      <c r="L763" s="3" t="s">
        <v>428</v>
      </c>
      <c r="M763" s="3" t="s">
        <v>4344</v>
      </c>
      <c r="N763" s="3" t="s">
        <v>390</v>
      </c>
      <c r="O763" s="3" t="s">
        <v>19</v>
      </c>
      <c r="P763" s="3" t="s">
        <v>297</v>
      </c>
      <c r="Q763" s="3" t="s">
        <v>138</v>
      </c>
      <c r="R763" s="3">
        <v>3</v>
      </c>
      <c r="S763" s="3">
        <v>21616.94</v>
      </c>
      <c r="T763" s="3">
        <v>25</v>
      </c>
      <c r="U763" s="3">
        <v>48638.11</v>
      </c>
      <c r="V763" s="3">
        <v>31060.18</v>
      </c>
      <c r="W763" s="3">
        <v>17577.93</v>
      </c>
      <c r="X763" s="3">
        <v>36.14</v>
      </c>
      <c r="Y763" s="3">
        <v>99</v>
      </c>
      <c r="Z763" s="3" t="s">
        <v>30</v>
      </c>
      <c r="AA763" s="3" t="s">
        <v>139</v>
      </c>
      <c r="AB763" s="3" t="s">
        <v>140</v>
      </c>
      <c r="AC763" s="3"/>
    </row>
    <row r="764" spans="1:29" x14ac:dyDescent="0.3">
      <c r="A764" s="2" t="s">
        <v>4345</v>
      </c>
      <c r="B764" s="2" t="s">
        <v>4346</v>
      </c>
      <c r="C764" s="2" t="s">
        <v>716</v>
      </c>
      <c r="D764" s="2" t="s">
        <v>4347</v>
      </c>
      <c r="E764" s="2" t="s">
        <v>42</v>
      </c>
      <c r="F764" s="2" t="s">
        <v>2007</v>
      </c>
      <c r="G764" s="2" t="s">
        <v>2423</v>
      </c>
      <c r="H764" s="2" t="s">
        <v>3356</v>
      </c>
      <c r="I764" s="2">
        <v>5</v>
      </c>
      <c r="J764" s="2" t="s">
        <v>39</v>
      </c>
      <c r="K764" s="2" t="s">
        <v>314</v>
      </c>
      <c r="L764" s="2" t="s">
        <v>314</v>
      </c>
      <c r="M764" s="2" t="s">
        <v>4348</v>
      </c>
      <c r="N764" s="2" t="s">
        <v>256</v>
      </c>
      <c r="O764" s="2" t="s">
        <v>27</v>
      </c>
      <c r="P764" s="2" t="s">
        <v>257</v>
      </c>
      <c r="Q764" s="2" t="s">
        <v>207</v>
      </c>
      <c r="R764" s="2">
        <v>5</v>
      </c>
      <c r="S764" s="2">
        <v>26936.080000000002</v>
      </c>
      <c r="T764" s="2">
        <v>0</v>
      </c>
      <c r="U764" s="2">
        <v>134680.4</v>
      </c>
      <c r="V764" s="2">
        <v>78658.84</v>
      </c>
      <c r="W764" s="2">
        <v>56021.56</v>
      </c>
      <c r="X764" s="2">
        <v>41.6</v>
      </c>
      <c r="Y764" s="2">
        <v>29</v>
      </c>
      <c r="Z764" s="2" t="s">
        <v>23</v>
      </c>
      <c r="AA764" s="2" t="s">
        <v>100</v>
      </c>
      <c r="AB764" s="2" t="s">
        <v>101</v>
      </c>
      <c r="AC764" s="2">
        <v>1</v>
      </c>
    </row>
    <row r="765" spans="1:29" x14ac:dyDescent="0.3">
      <c r="A765" s="3" t="s">
        <v>4349</v>
      </c>
      <c r="B765" s="3" t="s">
        <v>3532</v>
      </c>
      <c r="C765" s="3" t="s">
        <v>563</v>
      </c>
      <c r="D765" s="3" t="s">
        <v>4350</v>
      </c>
      <c r="E765" s="3" t="s">
        <v>18</v>
      </c>
      <c r="F765" s="3" t="s">
        <v>984</v>
      </c>
      <c r="G765" s="3" t="s">
        <v>2943</v>
      </c>
      <c r="H765" s="3" t="s">
        <v>4351</v>
      </c>
      <c r="I765" s="3">
        <v>8</v>
      </c>
      <c r="J765" s="3" t="s">
        <v>39</v>
      </c>
      <c r="K765" s="3" t="s">
        <v>225</v>
      </c>
      <c r="L765" s="3" t="s">
        <v>225</v>
      </c>
      <c r="M765" s="3" t="s">
        <v>4352</v>
      </c>
      <c r="N765" s="3" t="s">
        <v>533</v>
      </c>
      <c r="O765" s="3" t="s">
        <v>19</v>
      </c>
      <c r="P765" s="3" t="s">
        <v>297</v>
      </c>
      <c r="Q765" s="3" t="s">
        <v>138</v>
      </c>
      <c r="R765" s="3">
        <v>2</v>
      </c>
      <c r="S765" s="3">
        <v>47902.21</v>
      </c>
      <c r="T765" s="3">
        <v>10</v>
      </c>
      <c r="U765" s="3">
        <v>86223.98</v>
      </c>
      <c r="V765" s="3">
        <v>42222.1</v>
      </c>
      <c r="W765" s="3">
        <v>44001.88</v>
      </c>
      <c r="X765" s="3">
        <v>51.03</v>
      </c>
      <c r="Y765" s="3">
        <v>99</v>
      </c>
      <c r="Z765" s="3" t="s">
        <v>30</v>
      </c>
      <c r="AA765" s="3" t="s">
        <v>100</v>
      </c>
      <c r="AB765" s="3" t="s">
        <v>101</v>
      </c>
      <c r="AC765" s="3">
        <v>1</v>
      </c>
    </row>
    <row r="766" spans="1:29" x14ac:dyDescent="0.3">
      <c r="A766" s="2" t="s">
        <v>4353</v>
      </c>
      <c r="B766" s="2" t="s">
        <v>4354</v>
      </c>
      <c r="C766" s="2" t="s">
        <v>1045</v>
      </c>
      <c r="D766" s="2" t="s">
        <v>4355</v>
      </c>
      <c r="E766" s="2" t="s">
        <v>33</v>
      </c>
      <c r="F766" s="2" t="s">
        <v>2618</v>
      </c>
      <c r="G766" s="2" t="s">
        <v>4356</v>
      </c>
      <c r="H766" s="2" t="s">
        <v>92</v>
      </c>
      <c r="I766" s="2">
        <v>5</v>
      </c>
      <c r="J766" s="2" t="s">
        <v>29</v>
      </c>
      <c r="K766" s="2" t="s">
        <v>148</v>
      </c>
      <c r="L766" s="2" t="s">
        <v>148</v>
      </c>
      <c r="M766" s="2" t="s">
        <v>4357</v>
      </c>
      <c r="N766" s="2" t="s">
        <v>150</v>
      </c>
      <c r="O766" s="2" t="s">
        <v>28</v>
      </c>
      <c r="P766" s="2" t="s">
        <v>151</v>
      </c>
      <c r="Q766" s="2" t="s">
        <v>197</v>
      </c>
      <c r="R766" s="2">
        <v>5</v>
      </c>
      <c r="S766" s="2">
        <v>420.93</v>
      </c>
      <c r="T766" s="2">
        <v>10</v>
      </c>
      <c r="U766" s="2">
        <v>1894.19</v>
      </c>
      <c r="V766" s="2">
        <v>1072.8699999999999</v>
      </c>
      <c r="W766" s="2">
        <v>821.32</v>
      </c>
      <c r="X766" s="2">
        <v>43.36</v>
      </c>
      <c r="Y766" s="2">
        <v>199</v>
      </c>
      <c r="Z766" s="2" t="s">
        <v>43</v>
      </c>
      <c r="AA766" s="2" t="s">
        <v>100</v>
      </c>
      <c r="AB766" s="2" t="s">
        <v>101</v>
      </c>
      <c r="AC766" s="2">
        <v>2</v>
      </c>
    </row>
    <row r="767" spans="1:29" x14ac:dyDescent="0.3">
      <c r="A767" s="3" t="s">
        <v>4358</v>
      </c>
      <c r="B767" s="3" t="s">
        <v>2089</v>
      </c>
      <c r="C767" s="3" t="s">
        <v>967</v>
      </c>
      <c r="D767" s="3" t="s">
        <v>595</v>
      </c>
      <c r="E767" s="3" t="s">
        <v>42</v>
      </c>
      <c r="F767" s="3" t="s">
        <v>1568</v>
      </c>
      <c r="G767" s="3" t="s">
        <v>2402</v>
      </c>
      <c r="H767" s="3" t="s">
        <v>1141</v>
      </c>
      <c r="I767" s="3">
        <v>7</v>
      </c>
      <c r="J767" s="3" t="s">
        <v>22</v>
      </c>
      <c r="K767" s="3" t="s">
        <v>254</v>
      </c>
      <c r="L767" s="3" t="s">
        <v>254</v>
      </c>
      <c r="M767" s="3" t="s">
        <v>135</v>
      </c>
      <c r="N767" s="3" t="s">
        <v>1611</v>
      </c>
      <c r="O767" s="3" t="s">
        <v>19</v>
      </c>
      <c r="P767" s="3" t="s">
        <v>365</v>
      </c>
      <c r="Q767" s="3" t="s">
        <v>509</v>
      </c>
      <c r="R767" s="3">
        <v>5</v>
      </c>
      <c r="S767" s="3">
        <v>12373.82</v>
      </c>
      <c r="T767" s="3">
        <v>5</v>
      </c>
      <c r="U767" s="3">
        <v>58775.64</v>
      </c>
      <c r="V767" s="3">
        <v>30388.25</v>
      </c>
      <c r="W767" s="3">
        <v>28387.39</v>
      </c>
      <c r="X767" s="3">
        <v>48.3</v>
      </c>
      <c r="Y767" s="3">
        <v>49</v>
      </c>
      <c r="Z767" s="3" t="s">
        <v>30</v>
      </c>
      <c r="AA767" s="3" t="s">
        <v>100</v>
      </c>
      <c r="AB767" s="3" t="s">
        <v>101</v>
      </c>
      <c r="AC767" s="3">
        <v>2</v>
      </c>
    </row>
    <row r="768" spans="1:29" x14ac:dyDescent="0.3">
      <c r="A768" s="2" t="s">
        <v>4359</v>
      </c>
      <c r="B768" s="2" t="s">
        <v>4360</v>
      </c>
      <c r="C768" s="2" t="s">
        <v>4342</v>
      </c>
      <c r="D768" s="2" t="s">
        <v>4361</v>
      </c>
      <c r="E768" s="2" t="s">
        <v>18</v>
      </c>
      <c r="F768" s="2" t="s">
        <v>4362</v>
      </c>
      <c r="G768" s="2" t="s">
        <v>3036</v>
      </c>
      <c r="H768" s="2" t="s">
        <v>343</v>
      </c>
      <c r="I768" s="2">
        <v>7</v>
      </c>
      <c r="J768" s="2" t="s">
        <v>14</v>
      </c>
      <c r="K768" s="2" t="s">
        <v>712</v>
      </c>
      <c r="L768" s="2" t="s">
        <v>712</v>
      </c>
      <c r="M768" s="2" t="s">
        <v>4363</v>
      </c>
      <c r="N768" s="2" t="s">
        <v>286</v>
      </c>
      <c r="O768" s="2" t="s">
        <v>28</v>
      </c>
      <c r="P768" s="2" t="s">
        <v>137</v>
      </c>
      <c r="Q768" s="2" t="s">
        <v>608</v>
      </c>
      <c r="R768" s="2">
        <v>4</v>
      </c>
      <c r="S768" s="2">
        <v>1428.06</v>
      </c>
      <c r="T768" s="2">
        <v>15</v>
      </c>
      <c r="U768" s="2">
        <v>4855.3999999999996</v>
      </c>
      <c r="V768" s="2">
        <v>2699.02</v>
      </c>
      <c r="W768" s="2">
        <v>2156.38</v>
      </c>
      <c r="X768" s="2">
        <v>44.41</v>
      </c>
      <c r="Y768" s="2">
        <v>49</v>
      </c>
      <c r="Z768" s="2" t="s">
        <v>15</v>
      </c>
      <c r="AA768" s="2" t="s">
        <v>100</v>
      </c>
      <c r="AB768" s="2" t="s">
        <v>101</v>
      </c>
      <c r="AC768" s="2">
        <v>1</v>
      </c>
    </row>
    <row r="769" spans="1:29" x14ac:dyDescent="0.3">
      <c r="A769" s="3" t="s">
        <v>4364</v>
      </c>
      <c r="B769" s="3" t="s">
        <v>4365</v>
      </c>
      <c r="C769" s="3" t="s">
        <v>2291</v>
      </c>
      <c r="D769" s="3" t="s">
        <v>4366</v>
      </c>
      <c r="E769" s="3" t="s">
        <v>18</v>
      </c>
      <c r="F769" s="3" t="s">
        <v>1100</v>
      </c>
      <c r="G769" s="3" t="s">
        <v>2341</v>
      </c>
      <c r="H769" s="3" t="s">
        <v>1488</v>
      </c>
      <c r="I769" s="3">
        <v>7</v>
      </c>
      <c r="J769" s="3" t="s">
        <v>14</v>
      </c>
      <c r="K769" s="3" t="s">
        <v>215</v>
      </c>
      <c r="L769" s="3" t="s">
        <v>215</v>
      </c>
      <c r="M769" s="3" t="s">
        <v>4367</v>
      </c>
      <c r="N769" s="3" t="s">
        <v>364</v>
      </c>
      <c r="O769" s="3" t="s">
        <v>19</v>
      </c>
      <c r="P769" s="3" t="s">
        <v>365</v>
      </c>
      <c r="Q769" s="3" t="s">
        <v>287</v>
      </c>
      <c r="R769" s="3">
        <v>5</v>
      </c>
      <c r="S769" s="3">
        <v>48331.77</v>
      </c>
      <c r="T769" s="3">
        <v>15</v>
      </c>
      <c r="U769" s="3">
        <v>205410.02</v>
      </c>
      <c r="V769" s="3">
        <v>98450.52</v>
      </c>
      <c r="W769" s="3">
        <v>106959.5</v>
      </c>
      <c r="X769" s="3">
        <v>52.07</v>
      </c>
      <c r="Y769" s="3">
        <v>29</v>
      </c>
      <c r="Z769" s="3" t="s">
        <v>23</v>
      </c>
      <c r="AA769" s="3" t="s">
        <v>100</v>
      </c>
      <c r="AB769" s="3" t="s">
        <v>101</v>
      </c>
      <c r="AC769" s="3">
        <v>1</v>
      </c>
    </row>
    <row r="770" spans="1:29" x14ac:dyDescent="0.3">
      <c r="A770" s="2" t="s">
        <v>4368</v>
      </c>
      <c r="B770" s="2" t="s">
        <v>4369</v>
      </c>
      <c r="C770" s="2" t="s">
        <v>1484</v>
      </c>
      <c r="D770" s="2" t="s">
        <v>4370</v>
      </c>
      <c r="E770" s="2" t="s">
        <v>33</v>
      </c>
      <c r="F770" s="2" t="s">
        <v>1920</v>
      </c>
      <c r="G770" s="2" t="s">
        <v>2439</v>
      </c>
      <c r="H770" s="2" t="s">
        <v>1276</v>
      </c>
      <c r="I770" s="2">
        <v>7</v>
      </c>
      <c r="J770" s="2" t="s">
        <v>22</v>
      </c>
      <c r="K770" s="2" t="s">
        <v>254</v>
      </c>
      <c r="L770" s="2" t="s">
        <v>254</v>
      </c>
      <c r="M770" s="2" t="s">
        <v>4371</v>
      </c>
      <c r="N770" s="2" t="s">
        <v>1380</v>
      </c>
      <c r="O770" s="2" t="s">
        <v>28</v>
      </c>
      <c r="P770" s="2" t="s">
        <v>137</v>
      </c>
      <c r="Q770" s="2" t="s">
        <v>400</v>
      </c>
      <c r="R770" s="2">
        <v>5</v>
      </c>
      <c r="S770" s="2">
        <v>41367.870000000003</v>
      </c>
      <c r="T770" s="2">
        <v>10</v>
      </c>
      <c r="U770" s="2">
        <v>186155.42</v>
      </c>
      <c r="V770" s="2">
        <v>92004.34</v>
      </c>
      <c r="W770" s="2">
        <v>94151.08</v>
      </c>
      <c r="X770" s="2">
        <v>50.58</v>
      </c>
      <c r="Y770" s="2">
        <v>0</v>
      </c>
      <c r="Z770" s="2" t="s">
        <v>15</v>
      </c>
      <c r="AA770" s="2" t="s">
        <v>672</v>
      </c>
      <c r="AB770" s="2" t="s">
        <v>101</v>
      </c>
      <c r="AC770" s="2"/>
    </row>
    <row r="771" spans="1:29" x14ac:dyDescent="0.3">
      <c r="A771" s="3" t="s">
        <v>4372</v>
      </c>
      <c r="B771" s="3" t="s">
        <v>4373</v>
      </c>
      <c r="C771" s="3" t="s">
        <v>1792</v>
      </c>
      <c r="D771" s="3" t="s">
        <v>4374</v>
      </c>
      <c r="E771" s="3" t="s">
        <v>33</v>
      </c>
      <c r="F771" s="3" t="s">
        <v>3596</v>
      </c>
      <c r="G771" s="3" t="s">
        <v>396</v>
      </c>
      <c r="H771" s="3" t="s">
        <v>1526</v>
      </c>
      <c r="I771" s="3">
        <v>2</v>
      </c>
      <c r="J771" s="3" t="s">
        <v>22</v>
      </c>
      <c r="K771" s="3" t="s">
        <v>443</v>
      </c>
      <c r="L771" s="3" t="s">
        <v>444</v>
      </c>
      <c r="M771" s="3" t="s">
        <v>4375</v>
      </c>
      <c r="N771" s="3" t="s">
        <v>364</v>
      </c>
      <c r="O771" s="3" t="s">
        <v>19</v>
      </c>
      <c r="P771" s="3" t="s">
        <v>365</v>
      </c>
      <c r="Q771" s="3" t="s">
        <v>509</v>
      </c>
      <c r="R771" s="3">
        <v>5</v>
      </c>
      <c r="S771" s="3">
        <v>42301.34</v>
      </c>
      <c r="T771" s="3">
        <v>20</v>
      </c>
      <c r="U771" s="3">
        <v>169205.36</v>
      </c>
      <c r="V771" s="3">
        <v>76617.59</v>
      </c>
      <c r="W771" s="3">
        <v>92587.77</v>
      </c>
      <c r="X771" s="3">
        <v>54.72</v>
      </c>
      <c r="Y771" s="3">
        <v>49</v>
      </c>
      <c r="Z771" s="3" t="s">
        <v>47</v>
      </c>
      <c r="AA771" s="3" t="s">
        <v>186</v>
      </c>
      <c r="AB771" s="3" t="s">
        <v>101</v>
      </c>
      <c r="AC771" s="3"/>
    </row>
    <row r="772" spans="1:29" x14ac:dyDescent="0.3">
      <c r="A772" s="2" t="s">
        <v>4376</v>
      </c>
      <c r="B772" s="2" t="s">
        <v>4377</v>
      </c>
      <c r="C772" s="2" t="s">
        <v>3903</v>
      </c>
      <c r="D772" s="2" t="s">
        <v>4378</v>
      </c>
      <c r="E772" s="2" t="s">
        <v>18</v>
      </c>
      <c r="F772" s="2" t="s">
        <v>343</v>
      </c>
      <c r="G772" s="2" t="s">
        <v>1647</v>
      </c>
      <c r="H772" s="2" t="s">
        <v>1275</v>
      </c>
      <c r="I772" s="2">
        <v>5</v>
      </c>
      <c r="J772" s="2" t="s">
        <v>29</v>
      </c>
      <c r="K772" s="2" t="s">
        <v>834</v>
      </c>
      <c r="L772" s="2" t="s">
        <v>835</v>
      </c>
      <c r="M772" s="2" t="s">
        <v>4379</v>
      </c>
      <c r="N772" s="2" t="s">
        <v>227</v>
      </c>
      <c r="O772" s="2" t="s">
        <v>13</v>
      </c>
      <c r="P772" s="2" t="s">
        <v>228</v>
      </c>
      <c r="Q772" s="2" t="s">
        <v>246</v>
      </c>
      <c r="R772" s="2">
        <v>1</v>
      </c>
      <c r="S772" s="2">
        <v>11640.01</v>
      </c>
      <c r="T772" s="2">
        <v>30</v>
      </c>
      <c r="U772" s="2">
        <v>8148.01</v>
      </c>
      <c r="V772" s="2">
        <v>4014.4</v>
      </c>
      <c r="W772" s="2">
        <v>4133.6099999999997</v>
      </c>
      <c r="X772" s="2">
        <v>50.73</v>
      </c>
      <c r="Y772" s="2">
        <v>0</v>
      </c>
      <c r="Z772" s="2" t="s">
        <v>30</v>
      </c>
      <c r="AA772" s="2" t="s">
        <v>100</v>
      </c>
      <c r="AB772" s="2" t="s">
        <v>140</v>
      </c>
      <c r="AC772" s="2">
        <v>4</v>
      </c>
    </row>
    <row r="773" spans="1:29" x14ac:dyDescent="0.3">
      <c r="A773" s="3" t="s">
        <v>4380</v>
      </c>
      <c r="B773" s="3" t="s">
        <v>4381</v>
      </c>
      <c r="C773" s="3" t="s">
        <v>1717</v>
      </c>
      <c r="D773" s="3" t="s">
        <v>2380</v>
      </c>
      <c r="E773" s="3" t="s">
        <v>42</v>
      </c>
      <c r="F773" s="3" t="s">
        <v>2872</v>
      </c>
      <c r="G773" s="3" t="s">
        <v>1458</v>
      </c>
      <c r="H773" s="3" t="s">
        <v>574</v>
      </c>
      <c r="I773" s="3">
        <v>2</v>
      </c>
      <c r="J773" s="3" t="s">
        <v>22</v>
      </c>
      <c r="K773" s="3" t="s">
        <v>254</v>
      </c>
      <c r="L773" s="3" t="s">
        <v>254</v>
      </c>
      <c r="M773" s="3" t="s">
        <v>2792</v>
      </c>
      <c r="N773" s="3" t="s">
        <v>518</v>
      </c>
      <c r="O773" s="3" t="s">
        <v>19</v>
      </c>
      <c r="P773" s="3" t="s">
        <v>365</v>
      </c>
      <c r="Q773" s="3" t="s">
        <v>400</v>
      </c>
      <c r="R773" s="3">
        <v>5</v>
      </c>
      <c r="S773" s="3">
        <v>25529.16</v>
      </c>
      <c r="T773" s="3">
        <v>20</v>
      </c>
      <c r="U773" s="3">
        <v>102116.64</v>
      </c>
      <c r="V773" s="3">
        <v>66278.78</v>
      </c>
      <c r="W773" s="3">
        <v>35837.86</v>
      </c>
      <c r="X773" s="3">
        <v>35.1</v>
      </c>
      <c r="Y773" s="3">
        <v>49</v>
      </c>
      <c r="Z773" s="3" t="s">
        <v>47</v>
      </c>
      <c r="AA773" s="3" t="s">
        <v>100</v>
      </c>
      <c r="AB773" s="3" t="s">
        <v>101</v>
      </c>
      <c r="AC773" s="3">
        <v>1</v>
      </c>
    </row>
    <row r="774" spans="1:29" x14ac:dyDescent="0.3">
      <c r="A774" s="2" t="s">
        <v>4382</v>
      </c>
      <c r="B774" s="2" t="s">
        <v>4383</v>
      </c>
      <c r="C774" s="2" t="s">
        <v>2298</v>
      </c>
      <c r="D774" s="2" t="s">
        <v>2166</v>
      </c>
      <c r="E774" s="2" t="s">
        <v>33</v>
      </c>
      <c r="F774" s="2" t="s">
        <v>271</v>
      </c>
      <c r="G774" s="2" t="s">
        <v>169</v>
      </c>
      <c r="H774" s="2" t="s">
        <v>1330</v>
      </c>
      <c r="I774" s="2">
        <v>2</v>
      </c>
      <c r="J774" s="2" t="s">
        <v>22</v>
      </c>
      <c r="K774" s="2" t="s">
        <v>283</v>
      </c>
      <c r="L774" s="2" t="s">
        <v>748</v>
      </c>
      <c r="M774" s="2" t="s">
        <v>4384</v>
      </c>
      <c r="N774" s="2" t="s">
        <v>1051</v>
      </c>
      <c r="O774" s="2" t="s">
        <v>28</v>
      </c>
      <c r="P774" s="2" t="s">
        <v>151</v>
      </c>
      <c r="Q774" s="2" t="s">
        <v>114</v>
      </c>
      <c r="R774" s="2">
        <v>3</v>
      </c>
      <c r="S774" s="2">
        <v>45920.43</v>
      </c>
      <c r="T774" s="2">
        <v>0</v>
      </c>
      <c r="U774" s="2">
        <v>137761.29</v>
      </c>
      <c r="V774" s="2">
        <v>88830.37</v>
      </c>
      <c r="W774" s="2">
        <v>48930.92</v>
      </c>
      <c r="X774" s="2">
        <v>35.520000000000003</v>
      </c>
      <c r="Y774" s="2">
        <v>0</v>
      </c>
      <c r="Z774" s="2" t="s">
        <v>43</v>
      </c>
      <c r="AA774" s="2" t="s">
        <v>100</v>
      </c>
      <c r="AB774" s="2" t="s">
        <v>101</v>
      </c>
      <c r="AC774" s="2">
        <v>1</v>
      </c>
    </row>
    <row r="775" spans="1:29" x14ac:dyDescent="0.3">
      <c r="A775" s="3" t="s">
        <v>4385</v>
      </c>
      <c r="B775" s="3" t="s">
        <v>4386</v>
      </c>
      <c r="C775" s="3" t="s">
        <v>3938</v>
      </c>
      <c r="D775" s="3" t="s">
        <v>4387</v>
      </c>
      <c r="E775" s="3" t="s">
        <v>26</v>
      </c>
      <c r="F775" s="3" t="s">
        <v>962</v>
      </c>
      <c r="G775" s="3" t="s">
        <v>3227</v>
      </c>
      <c r="H775" s="3" t="s">
        <v>1366</v>
      </c>
      <c r="I775" s="3">
        <v>7</v>
      </c>
      <c r="J775" s="3" t="s">
        <v>22</v>
      </c>
      <c r="K775" s="3" t="s">
        <v>283</v>
      </c>
      <c r="L775" s="3" t="s">
        <v>1346</v>
      </c>
      <c r="M775" s="3" t="s">
        <v>4388</v>
      </c>
      <c r="N775" s="3" t="s">
        <v>484</v>
      </c>
      <c r="O775" s="3" t="s">
        <v>13</v>
      </c>
      <c r="P775" s="3" t="s">
        <v>98</v>
      </c>
      <c r="Q775" s="3" t="s">
        <v>246</v>
      </c>
      <c r="R775" s="3">
        <v>5</v>
      </c>
      <c r="S775" s="3">
        <v>14000.25</v>
      </c>
      <c r="T775" s="3">
        <v>25</v>
      </c>
      <c r="U775" s="3">
        <v>52500.94</v>
      </c>
      <c r="V775" s="3">
        <v>26299.84</v>
      </c>
      <c r="W775" s="3">
        <v>26201.1</v>
      </c>
      <c r="X775" s="3">
        <v>49.91</v>
      </c>
      <c r="Y775" s="3">
        <v>29</v>
      </c>
      <c r="Z775" s="3" t="s">
        <v>40</v>
      </c>
      <c r="AA775" s="3" t="s">
        <v>100</v>
      </c>
      <c r="AB775" s="3" t="s">
        <v>101</v>
      </c>
      <c r="AC775" s="3"/>
    </row>
    <row r="776" spans="1:29" x14ac:dyDescent="0.3">
      <c r="A776" s="2" t="s">
        <v>4389</v>
      </c>
      <c r="B776" s="2" t="s">
        <v>4390</v>
      </c>
      <c r="C776" s="2" t="s">
        <v>3403</v>
      </c>
      <c r="D776" s="2" t="s">
        <v>4391</v>
      </c>
      <c r="E776" s="2" t="s">
        <v>26</v>
      </c>
      <c r="F776" s="2" t="s">
        <v>1402</v>
      </c>
      <c r="G776" s="2" t="s">
        <v>2069</v>
      </c>
      <c r="H776" s="2" t="s">
        <v>3534</v>
      </c>
      <c r="I776" s="2">
        <v>6</v>
      </c>
      <c r="J776" s="2" t="s">
        <v>14</v>
      </c>
      <c r="K776" s="2" t="s">
        <v>215</v>
      </c>
      <c r="L776" s="2" t="s">
        <v>215</v>
      </c>
      <c r="M776" s="2" t="s">
        <v>4228</v>
      </c>
      <c r="N776" s="2" t="s">
        <v>327</v>
      </c>
      <c r="O776" s="2" t="s">
        <v>27</v>
      </c>
      <c r="P776" s="2" t="s">
        <v>113</v>
      </c>
      <c r="Q776" s="2" t="s">
        <v>287</v>
      </c>
      <c r="R776" s="2">
        <v>4</v>
      </c>
      <c r="S776" s="2">
        <v>33591.46</v>
      </c>
      <c r="T776" s="2">
        <v>25</v>
      </c>
      <c r="U776" s="2">
        <v>100774.38</v>
      </c>
      <c r="V776" s="2">
        <v>57861.68</v>
      </c>
      <c r="W776" s="2">
        <v>42912.7</v>
      </c>
      <c r="X776" s="2">
        <v>42.58</v>
      </c>
      <c r="Y776" s="2">
        <v>0</v>
      </c>
      <c r="Z776" s="2" t="s">
        <v>40</v>
      </c>
      <c r="AA776" s="2" t="s">
        <v>672</v>
      </c>
      <c r="AB776" s="2" t="s">
        <v>101</v>
      </c>
      <c r="AC776" s="2"/>
    </row>
    <row r="777" spans="1:29" x14ac:dyDescent="0.3">
      <c r="A777" s="3" t="s">
        <v>4392</v>
      </c>
      <c r="B777" s="3" t="s">
        <v>4393</v>
      </c>
      <c r="C777" s="3" t="s">
        <v>1989</v>
      </c>
      <c r="D777" s="3" t="s">
        <v>4394</v>
      </c>
      <c r="E777" s="3" t="s">
        <v>18</v>
      </c>
      <c r="F777" s="3" t="s">
        <v>1328</v>
      </c>
      <c r="G777" s="3" t="s">
        <v>1329</v>
      </c>
      <c r="H777" s="3" t="s">
        <v>1093</v>
      </c>
      <c r="I777" s="3">
        <v>6</v>
      </c>
      <c r="J777" s="3" t="s">
        <v>29</v>
      </c>
      <c r="K777" s="3" t="s">
        <v>834</v>
      </c>
      <c r="L777" s="3" t="s">
        <v>835</v>
      </c>
      <c r="M777" s="3" t="s">
        <v>4395</v>
      </c>
      <c r="N777" s="3" t="s">
        <v>623</v>
      </c>
      <c r="O777" s="3" t="s">
        <v>19</v>
      </c>
      <c r="P777" s="3" t="s">
        <v>297</v>
      </c>
      <c r="Q777" s="3" t="s">
        <v>509</v>
      </c>
      <c r="R777" s="3">
        <v>2</v>
      </c>
      <c r="S777" s="3">
        <v>13322.03</v>
      </c>
      <c r="T777" s="3">
        <v>10</v>
      </c>
      <c r="U777" s="3">
        <v>23979.65</v>
      </c>
      <c r="V777" s="3">
        <v>15306.8</v>
      </c>
      <c r="W777" s="3">
        <v>8672.85</v>
      </c>
      <c r="X777" s="3">
        <v>36.17</v>
      </c>
      <c r="Y777" s="3">
        <v>0</v>
      </c>
      <c r="Z777" s="3" t="s">
        <v>43</v>
      </c>
      <c r="AA777" s="3" t="s">
        <v>139</v>
      </c>
      <c r="AB777" s="3" t="s">
        <v>140</v>
      </c>
      <c r="AC777" s="3"/>
    </row>
    <row r="778" spans="1:29" x14ac:dyDescent="0.3">
      <c r="A778" s="2" t="s">
        <v>4396</v>
      </c>
      <c r="B778" s="2" t="s">
        <v>4397</v>
      </c>
      <c r="C778" s="2" t="s">
        <v>1433</v>
      </c>
      <c r="D778" s="2" t="s">
        <v>4398</v>
      </c>
      <c r="E778" s="2" t="s">
        <v>18</v>
      </c>
      <c r="F778" s="2" t="s">
        <v>990</v>
      </c>
      <c r="G778" s="2" t="s">
        <v>991</v>
      </c>
      <c r="H778" s="2" t="s">
        <v>728</v>
      </c>
      <c r="I778" s="2">
        <v>6</v>
      </c>
      <c r="J778" s="2" t="s">
        <v>14</v>
      </c>
      <c r="K778" s="2" t="s">
        <v>95</v>
      </c>
      <c r="L778" s="2" t="s">
        <v>95</v>
      </c>
      <c r="M778" s="2" t="s">
        <v>4399</v>
      </c>
      <c r="N778" s="2" t="s">
        <v>354</v>
      </c>
      <c r="O778" s="2" t="s">
        <v>21</v>
      </c>
      <c r="P778" s="2" t="s">
        <v>196</v>
      </c>
      <c r="Q778" s="2" t="s">
        <v>466</v>
      </c>
      <c r="R778" s="2">
        <v>3</v>
      </c>
      <c r="S778" s="2">
        <v>15229.78</v>
      </c>
      <c r="T778" s="2">
        <v>30</v>
      </c>
      <c r="U778" s="2">
        <v>31982.54</v>
      </c>
      <c r="V778" s="2">
        <v>21600.62</v>
      </c>
      <c r="W778" s="2">
        <v>10381.92</v>
      </c>
      <c r="X778" s="2">
        <v>32.46</v>
      </c>
      <c r="Y778" s="2">
        <v>0</v>
      </c>
      <c r="Z778" s="2" t="s">
        <v>23</v>
      </c>
      <c r="AA778" s="2" t="s">
        <v>186</v>
      </c>
      <c r="AB778" s="2" t="s">
        <v>101</v>
      </c>
      <c r="AC778" s="2"/>
    </row>
    <row r="779" spans="1:29" x14ac:dyDescent="0.3">
      <c r="A779" s="3" t="s">
        <v>4400</v>
      </c>
      <c r="B779" s="3" t="s">
        <v>4401</v>
      </c>
      <c r="C779" s="3" t="s">
        <v>1955</v>
      </c>
      <c r="D779" s="3" t="s">
        <v>4402</v>
      </c>
      <c r="E779" s="3" t="s">
        <v>18</v>
      </c>
      <c r="F779" s="3" t="s">
        <v>1531</v>
      </c>
      <c r="G779" s="3" t="s">
        <v>4403</v>
      </c>
      <c r="H779" s="3" t="s">
        <v>1532</v>
      </c>
      <c r="I779" s="3">
        <v>2</v>
      </c>
      <c r="J779" s="3" t="s">
        <v>39</v>
      </c>
      <c r="K779" s="3" t="s">
        <v>225</v>
      </c>
      <c r="L779" s="3" t="s">
        <v>225</v>
      </c>
      <c r="M779" s="3" t="s">
        <v>4404</v>
      </c>
      <c r="N779" s="3" t="s">
        <v>195</v>
      </c>
      <c r="O779" s="3" t="s">
        <v>21</v>
      </c>
      <c r="P779" s="3" t="s">
        <v>196</v>
      </c>
      <c r="Q779" s="3" t="s">
        <v>138</v>
      </c>
      <c r="R779" s="3">
        <v>4</v>
      </c>
      <c r="S779" s="3">
        <v>32726.79</v>
      </c>
      <c r="T779" s="3">
        <v>15</v>
      </c>
      <c r="U779" s="3">
        <v>111271.09</v>
      </c>
      <c r="V779" s="3">
        <v>58569.53</v>
      </c>
      <c r="W779" s="3">
        <v>52701.56</v>
      </c>
      <c r="X779" s="3">
        <v>47.36</v>
      </c>
      <c r="Y779" s="3">
        <v>0</v>
      </c>
      <c r="Z779" s="3" t="s">
        <v>15</v>
      </c>
      <c r="AA779" s="3" t="s">
        <v>100</v>
      </c>
      <c r="AB779" s="3" t="s">
        <v>101</v>
      </c>
      <c r="AC779" s="3">
        <v>5</v>
      </c>
    </row>
    <row r="780" spans="1:29" x14ac:dyDescent="0.3">
      <c r="A780" s="2" t="s">
        <v>4405</v>
      </c>
      <c r="B780" s="2" t="s">
        <v>4406</v>
      </c>
      <c r="C780" s="2" t="s">
        <v>554</v>
      </c>
      <c r="D780" s="2" t="s">
        <v>4407</v>
      </c>
      <c r="E780" s="2" t="s">
        <v>18</v>
      </c>
      <c r="F780" s="2" t="s">
        <v>3773</v>
      </c>
      <c r="G780" s="2" t="s">
        <v>2524</v>
      </c>
      <c r="H780" s="2" t="s">
        <v>1689</v>
      </c>
      <c r="I780" s="2">
        <v>8</v>
      </c>
      <c r="J780" s="2" t="s">
        <v>22</v>
      </c>
      <c r="K780" s="2" t="s">
        <v>283</v>
      </c>
      <c r="L780" s="2" t="s">
        <v>1346</v>
      </c>
      <c r="M780" s="2" t="s">
        <v>4408</v>
      </c>
      <c r="N780" s="2" t="s">
        <v>195</v>
      </c>
      <c r="O780" s="2" t="s">
        <v>21</v>
      </c>
      <c r="P780" s="2" t="s">
        <v>196</v>
      </c>
      <c r="Q780" s="2" t="s">
        <v>207</v>
      </c>
      <c r="R780" s="2">
        <v>2</v>
      </c>
      <c r="S780" s="2">
        <v>9099.33</v>
      </c>
      <c r="T780" s="2">
        <v>30</v>
      </c>
      <c r="U780" s="2">
        <v>12739.06</v>
      </c>
      <c r="V780" s="2">
        <v>6596.85</v>
      </c>
      <c r="W780" s="2">
        <v>6142.21</v>
      </c>
      <c r="X780" s="2">
        <v>48.22</v>
      </c>
      <c r="Y780" s="2">
        <v>29</v>
      </c>
      <c r="Z780" s="2" t="s">
        <v>15</v>
      </c>
      <c r="AA780" s="2" t="s">
        <v>100</v>
      </c>
      <c r="AB780" s="2" t="s">
        <v>101</v>
      </c>
      <c r="AC780" s="2">
        <v>5</v>
      </c>
    </row>
    <row r="781" spans="1:29" x14ac:dyDescent="0.3">
      <c r="A781" s="3" t="s">
        <v>4409</v>
      </c>
      <c r="B781" s="3" t="s">
        <v>4410</v>
      </c>
      <c r="C781" s="3" t="s">
        <v>689</v>
      </c>
      <c r="D781" s="3" t="s">
        <v>4411</v>
      </c>
      <c r="E781" s="3" t="s">
        <v>33</v>
      </c>
      <c r="F781" s="3" t="s">
        <v>3209</v>
      </c>
      <c r="G781" s="3" t="s">
        <v>2611</v>
      </c>
      <c r="H781" s="3" t="s">
        <v>3256</v>
      </c>
      <c r="I781" s="3">
        <v>3</v>
      </c>
      <c r="J781" s="3" t="s">
        <v>39</v>
      </c>
      <c r="K781" s="3" t="s">
        <v>193</v>
      </c>
      <c r="L781" s="3" t="s">
        <v>193</v>
      </c>
      <c r="M781" s="3" t="s">
        <v>4412</v>
      </c>
      <c r="N781" s="3" t="s">
        <v>475</v>
      </c>
      <c r="O781" s="3" t="s">
        <v>13</v>
      </c>
      <c r="P781" s="3" t="s">
        <v>228</v>
      </c>
      <c r="Q781" s="3" t="s">
        <v>114</v>
      </c>
      <c r="R781" s="3">
        <v>1</v>
      </c>
      <c r="S781" s="3">
        <v>17350.43</v>
      </c>
      <c r="T781" s="3">
        <v>30</v>
      </c>
      <c r="U781" s="3">
        <v>12145.3</v>
      </c>
      <c r="V781" s="3">
        <v>6189.36</v>
      </c>
      <c r="W781" s="3">
        <v>5955.94</v>
      </c>
      <c r="X781" s="3">
        <v>49.04</v>
      </c>
      <c r="Y781" s="3">
        <v>149</v>
      </c>
      <c r="Z781" s="3" t="s">
        <v>30</v>
      </c>
      <c r="AA781" s="3" t="s">
        <v>100</v>
      </c>
      <c r="AB781" s="3" t="s">
        <v>101</v>
      </c>
      <c r="AC781" s="3">
        <v>4</v>
      </c>
    </row>
    <row r="782" spans="1:29" x14ac:dyDescent="0.3">
      <c r="A782" s="2" t="s">
        <v>4413</v>
      </c>
      <c r="B782" s="2" t="s">
        <v>4414</v>
      </c>
      <c r="C782" s="2" t="s">
        <v>973</v>
      </c>
      <c r="D782" s="2" t="s">
        <v>4415</v>
      </c>
      <c r="E782" s="2" t="s">
        <v>26</v>
      </c>
      <c r="F782" s="2" t="s">
        <v>4416</v>
      </c>
      <c r="G782" s="2" t="s">
        <v>3115</v>
      </c>
      <c r="H782" s="2" t="s">
        <v>1876</v>
      </c>
      <c r="I782" s="2">
        <v>3</v>
      </c>
      <c r="J782" s="2" t="s">
        <v>22</v>
      </c>
      <c r="K782" s="2" t="s">
        <v>122</v>
      </c>
      <c r="L782" s="2" t="s">
        <v>236</v>
      </c>
      <c r="M782" s="2" t="s">
        <v>4417</v>
      </c>
      <c r="N782" s="2" t="s">
        <v>136</v>
      </c>
      <c r="O782" s="2" t="s">
        <v>28</v>
      </c>
      <c r="P782" s="2" t="s">
        <v>137</v>
      </c>
      <c r="Q782" s="2" t="s">
        <v>400</v>
      </c>
      <c r="R782" s="2">
        <v>4</v>
      </c>
      <c r="S782" s="2">
        <v>29348.55</v>
      </c>
      <c r="T782" s="2">
        <v>15</v>
      </c>
      <c r="U782" s="2">
        <v>99785.07</v>
      </c>
      <c r="V782" s="2">
        <v>60200.95</v>
      </c>
      <c r="W782" s="2">
        <v>39584.120000000003</v>
      </c>
      <c r="X782" s="2">
        <v>39.67</v>
      </c>
      <c r="Y782" s="2">
        <v>0</v>
      </c>
      <c r="Z782" s="2" t="s">
        <v>48</v>
      </c>
      <c r="AA782" s="2" t="s">
        <v>100</v>
      </c>
      <c r="AB782" s="2" t="s">
        <v>101</v>
      </c>
      <c r="AC782" s="2">
        <v>3</v>
      </c>
    </row>
    <row r="783" spans="1:29" x14ac:dyDescent="0.3">
      <c r="A783" s="3" t="s">
        <v>4418</v>
      </c>
      <c r="B783" s="3" t="s">
        <v>4419</v>
      </c>
      <c r="C783" s="3" t="s">
        <v>3865</v>
      </c>
      <c r="D783" s="3" t="s">
        <v>385</v>
      </c>
      <c r="E783" s="3" t="s">
        <v>18</v>
      </c>
      <c r="F783" s="3" t="s">
        <v>727</v>
      </c>
      <c r="G783" s="3" t="s">
        <v>1087</v>
      </c>
      <c r="H783" s="3" t="s">
        <v>1957</v>
      </c>
      <c r="I783" s="3">
        <v>5</v>
      </c>
      <c r="J783" s="3" t="s">
        <v>39</v>
      </c>
      <c r="K783" s="3" t="s">
        <v>225</v>
      </c>
      <c r="L783" s="3" t="s">
        <v>225</v>
      </c>
      <c r="M783" s="3" t="s">
        <v>2603</v>
      </c>
      <c r="N783" s="3" t="s">
        <v>484</v>
      </c>
      <c r="O783" s="3" t="s">
        <v>13</v>
      </c>
      <c r="P783" s="3" t="s">
        <v>98</v>
      </c>
      <c r="Q783" s="3" t="s">
        <v>114</v>
      </c>
      <c r="R783" s="3">
        <v>1</v>
      </c>
      <c r="S783" s="3">
        <v>32791.26</v>
      </c>
      <c r="T783" s="3">
        <v>15</v>
      </c>
      <c r="U783" s="3">
        <v>27872.57</v>
      </c>
      <c r="V783" s="3">
        <v>14480.42</v>
      </c>
      <c r="W783" s="3">
        <v>13392.15</v>
      </c>
      <c r="X783" s="3">
        <v>48.05</v>
      </c>
      <c r="Y783" s="3">
        <v>149</v>
      </c>
      <c r="Z783" s="3" t="s">
        <v>40</v>
      </c>
      <c r="AA783" s="3" t="s">
        <v>100</v>
      </c>
      <c r="AB783" s="3" t="s">
        <v>101</v>
      </c>
      <c r="AC783" s="3">
        <v>4</v>
      </c>
    </row>
    <row r="784" spans="1:29" x14ac:dyDescent="0.3">
      <c r="A784" s="2" t="s">
        <v>4420</v>
      </c>
      <c r="B784" s="2" t="s">
        <v>4421</v>
      </c>
      <c r="C784" s="2" t="s">
        <v>1885</v>
      </c>
      <c r="D784" s="2" t="s">
        <v>4422</v>
      </c>
      <c r="E784" s="2" t="s">
        <v>33</v>
      </c>
      <c r="F784" s="2" t="s">
        <v>2927</v>
      </c>
      <c r="G784" s="2" t="s">
        <v>2929</v>
      </c>
      <c r="H784" s="2" t="s">
        <v>2365</v>
      </c>
      <c r="I784" s="2">
        <v>6</v>
      </c>
      <c r="J784" s="2" t="s">
        <v>14</v>
      </c>
      <c r="K784" s="2" t="s">
        <v>215</v>
      </c>
      <c r="L784" s="2" t="s">
        <v>215</v>
      </c>
      <c r="M784" s="2" t="s">
        <v>1514</v>
      </c>
      <c r="N784" s="2" t="s">
        <v>306</v>
      </c>
      <c r="O784" s="2" t="s">
        <v>21</v>
      </c>
      <c r="P784" s="2" t="s">
        <v>126</v>
      </c>
      <c r="Q784" s="2" t="s">
        <v>197</v>
      </c>
      <c r="R784" s="2">
        <v>2</v>
      </c>
      <c r="S784" s="2">
        <v>36229.94</v>
      </c>
      <c r="T784" s="2">
        <v>10</v>
      </c>
      <c r="U784" s="2">
        <v>65213.89</v>
      </c>
      <c r="V784" s="2">
        <v>38789.54</v>
      </c>
      <c r="W784" s="2">
        <v>26424.35</v>
      </c>
      <c r="X784" s="2">
        <v>40.520000000000003</v>
      </c>
      <c r="Y784" s="2">
        <v>49</v>
      </c>
      <c r="Z784" s="2" t="s">
        <v>15</v>
      </c>
      <c r="AA784" s="2" t="s">
        <v>100</v>
      </c>
      <c r="AB784" s="2" t="s">
        <v>101</v>
      </c>
      <c r="AC784" s="2">
        <v>5</v>
      </c>
    </row>
    <row r="785" spans="1:29" x14ac:dyDescent="0.3">
      <c r="A785" s="3" t="s">
        <v>4423</v>
      </c>
      <c r="B785" s="3" t="s">
        <v>4424</v>
      </c>
      <c r="C785" s="3" t="s">
        <v>2136</v>
      </c>
      <c r="D785" s="3" t="s">
        <v>4425</v>
      </c>
      <c r="E785" s="3" t="s">
        <v>42</v>
      </c>
      <c r="F785" s="3" t="s">
        <v>718</v>
      </c>
      <c r="G785" s="3" t="s">
        <v>1186</v>
      </c>
      <c r="H785" s="3" t="s">
        <v>2106</v>
      </c>
      <c r="I785" s="3">
        <v>8</v>
      </c>
      <c r="J785" s="3" t="s">
        <v>29</v>
      </c>
      <c r="K785" s="3" t="s">
        <v>834</v>
      </c>
      <c r="L785" s="3" t="s">
        <v>901</v>
      </c>
      <c r="M785" s="3" t="s">
        <v>4426</v>
      </c>
      <c r="N785" s="3" t="s">
        <v>1380</v>
      </c>
      <c r="O785" s="3" t="s">
        <v>28</v>
      </c>
      <c r="P785" s="3" t="s">
        <v>137</v>
      </c>
      <c r="Q785" s="3" t="s">
        <v>355</v>
      </c>
      <c r="R785" s="3">
        <v>4</v>
      </c>
      <c r="S785" s="3">
        <v>25884.65</v>
      </c>
      <c r="T785" s="3">
        <v>20</v>
      </c>
      <c r="U785" s="3">
        <v>82830.880000000005</v>
      </c>
      <c r="V785" s="3">
        <v>52433.599999999999</v>
      </c>
      <c r="W785" s="3">
        <v>30397.279999999999</v>
      </c>
      <c r="X785" s="3">
        <v>36.700000000000003</v>
      </c>
      <c r="Y785" s="3">
        <v>0</v>
      </c>
      <c r="Z785" s="3" t="s">
        <v>43</v>
      </c>
      <c r="AA785" s="3" t="s">
        <v>100</v>
      </c>
      <c r="AB785" s="3" t="s">
        <v>101</v>
      </c>
      <c r="AC785" s="3">
        <v>1</v>
      </c>
    </row>
    <row r="786" spans="1:29" x14ac:dyDescent="0.3">
      <c r="A786" s="2" t="s">
        <v>4427</v>
      </c>
      <c r="B786" s="2" t="s">
        <v>4428</v>
      </c>
      <c r="C786" s="2" t="s">
        <v>1038</v>
      </c>
      <c r="D786" s="2" t="s">
        <v>4429</v>
      </c>
      <c r="E786" s="2" t="s">
        <v>42</v>
      </c>
      <c r="F786" s="2" t="s">
        <v>253</v>
      </c>
      <c r="G786" s="2" t="s">
        <v>4191</v>
      </c>
      <c r="H786" s="2" t="s">
        <v>1778</v>
      </c>
      <c r="I786" s="2">
        <v>2</v>
      </c>
      <c r="J786" s="2" t="s">
        <v>29</v>
      </c>
      <c r="K786" s="2" t="s">
        <v>334</v>
      </c>
      <c r="L786" s="2" t="s">
        <v>335</v>
      </c>
      <c r="M786" s="2" t="s">
        <v>4430</v>
      </c>
      <c r="N786" s="2" t="s">
        <v>316</v>
      </c>
      <c r="O786" s="2" t="s">
        <v>28</v>
      </c>
      <c r="P786" s="2" t="s">
        <v>137</v>
      </c>
      <c r="Q786" s="2" t="s">
        <v>99</v>
      </c>
      <c r="R786" s="2">
        <v>4</v>
      </c>
      <c r="S786" s="2">
        <v>6472.55</v>
      </c>
      <c r="T786" s="2">
        <v>25</v>
      </c>
      <c r="U786" s="2">
        <v>19417.650000000001</v>
      </c>
      <c r="V786" s="2">
        <v>9576.7999999999993</v>
      </c>
      <c r="W786" s="2">
        <v>9840.85</v>
      </c>
      <c r="X786" s="2">
        <v>50.68</v>
      </c>
      <c r="Y786" s="2">
        <v>49</v>
      </c>
      <c r="Z786" s="2" t="s">
        <v>30</v>
      </c>
      <c r="AA786" s="2" t="s">
        <v>100</v>
      </c>
      <c r="AB786" s="2" t="s">
        <v>101</v>
      </c>
      <c r="AC786" s="2">
        <v>1</v>
      </c>
    </row>
    <row r="787" spans="1:29" x14ac:dyDescent="0.3">
      <c r="A787" s="3" t="s">
        <v>4431</v>
      </c>
      <c r="B787" s="3" t="s">
        <v>4432</v>
      </c>
      <c r="C787" s="3" t="s">
        <v>290</v>
      </c>
      <c r="D787" s="3" t="s">
        <v>4433</v>
      </c>
      <c r="E787" s="3" t="s">
        <v>42</v>
      </c>
      <c r="F787" s="3" t="s">
        <v>3623</v>
      </c>
      <c r="G787" s="3" t="s">
        <v>2476</v>
      </c>
      <c r="H787" s="3" t="s">
        <v>1720</v>
      </c>
      <c r="I787" s="3">
        <v>4</v>
      </c>
      <c r="J787" s="3" t="s">
        <v>22</v>
      </c>
      <c r="K787" s="3" t="s">
        <v>122</v>
      </c>
      <c r="L787" s="3" t="s">
        <v>236</v>
      </c>
      <c r="M787" s="3" t="s">
        <v>4434</v>
      </c>
      <c r="N787" s="3" t="s">
        <v>837</v>
      </c>
      <c r="O787" s="3" t="s">
        <v>27</v>
      </c>
      <c r="P787" s="3" t="s">
        <v>257</v>
      </c>
      <c r="Q787" s="3" t="s">
        <v>287</v>
      </c>
      <c r="R787" s="3">
        <v>2</v>
      </c>
      <c r="S787" s="3">
        <v>13199.76</v>
      </c>
      <c r="T787" s="3">
        <v>15</v>
      </c>
      <c r="U787" s="3">
        <v>22439.59</v>
      </c>
      <c r="V787" s="3">
        <v>12536.64</v>
      </c>
      <c r="W787" s="3">
        <v>9902.9500000000007</v>
      </c>
      <c r="X787" s="3">
        <v>44.13</v>
      </c>
      <c r="Y787" s="3">
        <v>199</v>
      </c>
      <c r="Z787" s="3" t="s">
        <v>47</v>
      </c>
      <c r="AA787" s="3" t="s">
        <v>275</v>
      </c>
      <c r="AB787" s="3" t="s">
        <v>101</v>
      </c>
      <c r="AC787" s="3"/>
    </row>
    <row r="788" spans="1:29" x14ac:dyDescent="0.3">
      <c r="A788" s="2" t="s">
        <v>4435</v>
      </c>
      <c r="B788" s="2" t="s">
        <v>4436</v>
      </c>
      <c r="C788" s="2" t="s">
        <v>2257</v>
      </c>
      <c r="D788" s="2" t="s">
        <v>4437</v>
      </c>
      <c r="E788" s="2" t="s">
        <v>18</v>
      </c>
      <c r="F788" s="2" t="s">
        <v>1525</v>
      </c>
      <c r="G788" s="2" t="s">
        <v>1870</v>
      </c>
      <c r="H788" s="2" t="s">
        <v>3597</v>
      </c>
      <c r="I788" s="2">
        <v>5</v>
      </c>
      <c r="J788" s="2" t="s">
        <v>22</v>
      </c>
      <c r="K788" s="2" t="s">
        <v>443</v>
      </c>
      <c r="L788" s="2" t="s">
        <v>567</v>
      </c>
      <c r="M788" s="2" t="s">
        <v>4438</v>
      </c>
      <c r="N788" s="2" t="s">
        <v>418</v>
      </c>
      <c r="O788" s="2" t="s">
        <v>13</v>
      </c>
      <c r="P788" s="2" t="s">
        <v>419</v>
      </c>
      <c r="Q788" s="2" t="s">
        <v>207</v>
      </c>
      <c r="R788" s="2">
        <v>3</v>
      </c>
      <c r="S788" s="2">
        <v>39881.410000000003</v>
      </c>
      <c r="T788" s="2">
        <v>15</v>
      </c>
      <c r="U788" s="2">
        <v>101697.60000000001</v>
      </c>
      <c r="V788" s="2">
        <v>60209.5</v>
      </c>
      <c r="W788" s="2">
        <v>41488.1</v>
      </c>
      <c r="X788" s="2">
        <v>40.799999999999997</v>
      </c>
      <c r="Y788" s="2">
        <v>49</v>
      </c>
      <c r="Z788" s="2" t="s">
        <v>30</v>
      </c>
      <c r="AA788" s="2" t="s">
        <v>100</v>
      </c>
      <c r="AB788" s="2" t="s">
        <v>101</v>
      </c>
      <c r="AC788" s="2"/>
    </row>
    <row r="789" spans="1:29" x14ac:dyDescent="0.3">
      <c r="A789" s="3" t="s">
        <v>4439</v>
      </c>
      <c r="B789" s="3" t="s">
        <v>4440</v>
      </c>
      <c r="C789" s="3" t="s">
        <v>680</v>
      </c>
      <c r="D789" s="3" t="s">
        <v>4441</v>
      </c>
      <c r="E789" s="3" t="s">
        <v>42</v>
      </c>
      <c r="F789" s="3" t="s">
        <v>2293</v>
      </c>
      <c r="G789" s="3" t="s">
        <v>2408</v>
      </c>
      <c r="H789" s="3" t="s">
        <v>2409</v>
      </c>
      <c r="I789" s="3">
        <v>3</v>
      </c>
      <c r="J789" s="3" t="s">
        <v>14</v>
      </c>
      <c r="K789" s="3" t="s">
        <v>183</v>
      </c>
      <c r="L789" s="3" t="s">
        <v>183</v>
      </c>
      <c r="M789" s="3" t="s">
        <v>4442</v>
      </c>
      <c r="N789" s="3" t="s">
        <v>1223</v>
      </c>
      <c r="O789" s="3" t="s">
        <v>19</v>
      </c>
      <c r="P789" s="3" t="s">
        <v>447</v>
      </c>
      <c r="Q789" s="3" t="s">
        <v>509</v>
      </c>
      <c r="R789" s="3">
        <v>1</v>
      </c>
      <c r="S789" s="3">
        <v>21079.14</v>
      </c>
      <c r="T789" s="3">
        <v>5</v>
      </c>
      <c r="U789" s="3">
        <v>20025.18</v>
      </c>
      <c r="V789" s="3">
        <v>11773.09</v>
      </c>
      <c r="W789" s="3">
        <v>8252.09</v>
      </c>
      <c r="X789" s="3">
        <v>41.21</v>
      </c>
      <c r="Y789" s="3">
        <v>149</v>
      </c>
      <c r="Z789" s="3" t="s">
        <v>30</v>
      </c>
      <c r="AA789" s="3" t="s">
        <v>186</v>
      </c>
      <c r="AB789" s="3" t="s">
        <v>101</v>
      </c>
      <c r="AC789" s="3"/>
    </row>
    <row r="790" spans="1:29" x14ac:dyDescent="0.3">
      <c r="A790" s="2" t="s">
        <v>4443</v>
      </c>
      <c r="B790" s="2" t="s">
        <v>4444</v>
      </c>
      <c r="C790" s="2" t="s">
        <v>4332</v>
      </c>
      <c r="D790" s="2" t="s">
        <v>4445</v>
      </c>
      <c r="E790" s="2" t="s">
        <v>33</v>
      </c>
      <c r="F790" s="2" t="s">
        <v>4209</v>
      </c>
      <c r="G790" s="2" t="s">
        <v>3797</v>
      </c>
      <c r="H790" s="2" t="s">
        <v>947</v>
      </c>
      <c r="I790" s="2">
        <v>5</v>
      </c>
      <c r="J790" s="2" t="s">
        <v>29</v>
      </c>
      <c r="K790" s="2" t="s">
        <v>834</v>
      </c>
      <c r="L790" s="2" t="s">
        <v>835</v>
      </c>
      <c r="M790" s="2" t="s">
        <v>4446</v>
      </c>
      <c r="N790" s="2" t="s">
        <v>686</v>
      </c>
      <c r="O790" s="2" t="s">
        <v>13</v>
      </c>
      <c r="P790" s="2" t="s">
        <v>228</v>
      </c>
      <c r="Q790" s="2" t="s">
        <v>127</v>
      </c>
      <c r="R790" s="2">
        <v>2</v>
      </c>
      <c r="S790" s="2">
        <v>5234.18</v>
      </c>
      <c r="T790" s="2">
        <v>30</v>
      </c>
      <c r="U790" s="2">
        <v>7327.85</v>
      </c>
      <c r="V790" s="2">
        <v>3885.16</v>
      </c>
      <c r="W790" s="2">
        <v>3442.69</v>
      </c>
      <c r="X790" s="2">
        <v>46.98</v>
      </c>
      <c r="Y790" s="2">
        <v>149</v>
      </c>
      <c r="Z790" s="2" t="s">
        <v>40</v>
      </c>
      <c r="AA790" s="2" t="s">
        <v>275</v>
      </c>
      <c r="AB790" s="2" t="s">
        <v>101</v>
      </c>
      <c r="AC790" s="2"/>
    </row>
    <row r="791" spans="1:29" x14ac:dyDescent="0.3">
      <c r="A791" s="3" t="s">
        <v>4447</v>
      </c>
      <c r="B791" s="3" t="s">
        <v>4448</v>
      </c>
      <c r="C791" s="3" t="s">
        <v>300</v>
      </c>
      <c r="D791" s="3" t="s">
        <v>4449</v>
      </c>
      <c r="E791" s="3" t="s">
        <v>26</v>
      </c>
      <c r="F791" s="3" t="s">
        <v>999</v>
      </c>
      <c r="G791" s="3" t="s">
        <v>516</v>
      </c>
      <c r="H791" s="3" t="s">
        <v>1049</v>
      </c>
      <c r="I791" s="3">
        <v>8</v>
      </c>
      <c r="J791" s="3" t="s">
        <v>22</v>
      </c>
      <c r="K791" s="3" t="s">
        <v>254</v>
      </c>
      <c r="L791" s="3" t="s">
        <v>254</v>
      </c>
      <c r="M791" s="3" t="s">
        <v>3915</v>
      </c>
      <c r="N791" s="3" t="s">
        <v>316</v>
      </c>
      <c r="O791" s="3" t="s">
        <v>28</v>
      </c>
      <c r="P791" s="3" t="s">
        <v>137</v>
      </c>
      <c r="Q791" s="3" t="s">
        <v>138</v>
      </c>
      <c r="R791" s="3">
        <v>3</v>
      </c>
      <c r="S791" s="3">
        <v>2178.9</v>
      </c>
      <c r="T791" s="3">
        <v>30</v>
      </c>
      <c r="U791" s="3">
        <v>4575.6899999999996</v>
      </c>
      <c r="V791" s="3">
        <v>2772.8</v>
      </c>
      <c r="W791" s="3">
        <v>1802.89</v>
      </c>
      <c r="X791" s="3">
        <v>39.4</v>
      </c>
      <c r="Y791" s="3">
        <v>199</v>
      </c>
      <c r="Z791" s="3" t="s">
        <v>40</v>
      </c>
      <c r="AA791" s="3" t="s">
        <v>100</v>
      </c>
      <c r="AB791" s="3" t="s">
        <v>101</v>
      </c>
      <c r="AC791" s="3"/>
    </row>
    <row r="792" spans="1:29" x14ac:dyDescent="0.3">
      <c r="A792" s="2" t="s">
        <v>4450</v>
      </c>
      <c r="B792" s="2" t="s">
        <v>4451</v>
      </c>
      <c r="C792" s="2" t="s">
        <v>759</v>
      </c>
      <c r="D792" s="2" t="s">
        <v>4452</v>
      </c>
      <c r="E792" s="2" t="s">
        <v>26</v>
      </c>
      <c r="F792" s="2" t="s">
        <v>1063</v>
      </c>
      <c r="G792" s="2" t="s">
        <v>2841</v>
      </c>
      <c r="H792" s="2" t="s">
        <v>4453</v>
      </c>
      <c r="I792" s="2">
        <v>3</v>
      </c>
      <c r="J792" s="2" t="s">
        <v>29</v>
      </c>
      <c r="K792" s="2" t="s">
        <v>834</v>
      </c>
      <c r="L792" s="2" t="s">
        <v>1000</v>
      </c>
      <c r="M792" s="2" t="s">
        <v>4454</v>
      </c>
      <c r="N792" s="2" t="s">
        <v>648</v>
      </c>
      <c r="O792" s="2" t="s">
        <v>27</v>
      </c>
      <c r="P792" s="2" t="s">
        <v>113</v>
      </c>
      <c r="Q792" s="2" t="s">
        <v>152</v>
      </c>
      <c r="R792" s="2">
        <v>4</v>
      </c>
      <c r="S792" s="2">
        <v>8711.35</v>
      </c>
      <c r="T792" s="2">
        <v>15</v>
      </c>
      <c r="U792" s="2">
        <v>29618.59</v>
      </c>
      <c r="V792" s="2">
        <v>15870.47</v>
      </c>
      <c r="W792" s="2">
        <v>13748.12</v>
      </c>
      <c r="X792" s="2">
        <v>46.42</v>
      </c>
      <c r="Y792" s="2">
        <v>149</v>
      </c>
      <c r="Z792" s="2" t="s">
        <v>47</v>
      </c>
      <c r="AA792" s="2" t="s">
        <v>186</v>
      </c>
      <c r="AB792" s="2" t="s">
        <v>101</v>
      </c>
      <c r="AC792" s="2"/>
    </row>
    <row r="793" spans="1:29" x14ac:dyDescent="0.3">
      <c r="A793" s="3" t="s">
        <v>4455</v>
      </c>
      <c r="B793" s="3" t="s">
        <v>4456</v>
      </c>
      <c r="C793" s="3" t="s">
        <v>1700</v>
      </c>
      <c r="D793" s="3" t="s">
        <v>4457</v>
      </c>
      <c r="E793" s="3" t="s">
        <v>42</v>
      </c>
      <c r="F793" s="3" t="s">
        <v>1057</v>
      </c>
      <c r="G793" s="3" t="s">
        <v>1708</v>
      </c>
      <c r="H793" s="3" t="s">
        <v>2118</v>
      </c>
      <c r="I793" s="3">
        <v>4</v>
      </c>
      <c r="J793" s="3" t="s">
        <v>22</v>
      </c>
      <c r="K793" s="3" t="s">
        <v>283</v>
      </c>
      <c r="L793" s="3" t="s">
        <v>748</v>
      </c>
      <c r="M793" s="3" t="s">
        <v>4458</v>
      </c>
      <c r="N793" s="3" t="s">
        <v>1380</v>
      </c>
      <c r="O793" s="3" t="s">
        <v>28</v>
      </c>
      <c r="P793" s="3" t="s">
        <v>137</v>
      </c>
      <c r="Q793" s="3" t="s">
        <v>138</v>
      </c>
      <c r="R793" s="3">
        <v>2</v>
      </c>
      <c r="S793" s="3">
        <v>32199.97</v>
      </c>
      <c r="T793" s="3">
        <v>0</v>
      </c>
      <c r="U793" s="3">
        <v>64399.94</v>
      </c>
      <c r="V793" s="3">
        <v>29809.64</v>
      </c>
      <c r="W793" s="3">
        <v>34590.300000000003</v>
      </c>
      <c r="X793" s="3">
        <v>53.71</v>
      </c>
      <c r="Y793" s="3">
        <v>49</v>
      </c>
      <c r="Z793" s="3" t="s">
        <v>15</v>
      </c>
      <c r="AA793" s="3" t="s">
        <v>672</v>
      </c>
      <c r="AB793" s="3" t="s">
        <v>101</v>
      </c>
      <c r="AC793" s="3"/>
    </row>
    <row r="794" spans="1:29" x14ac:dyDescent="0.3">
      <c r="A794" s="2" t="s">
        <v>4459</v>
      </c>
      <c r="B794" s="2" t="s">
        <v>4460</v>
      </c>
      <c r="C794" s="2" t="s">
        <v>3547</v>
      </c>
      <c r="D794" s="2" t="s">
        <v>4461</v>
      </c>
      <c r="E794" s="2" t="s">
        <v>26</v>
      </c>
      <c r="F794" s="2" t="s">
        <v>2182</v>
      </c>
      <c r="G794" s="2" t="s">
        <v>763</v>
      </c>
      <c r="H794" s="2" t="s">
        <v>350</v>
      </c>
      <c r="I794" s="2">
        <v>6</v>
      </c>
      <c r="J794" s="2" t="s">
        <v>14</v>
      </c>
      <c r="K794" s="2" t="s">
        <v>95</v>
      </c>
      <c r="L794" s="2" t="s">
        <v>95</v>
      </c>
      <c r="M794" s="2" t="s">
        <v>4462</v>
      </c>
      <c r="N794" s="2" t="s">
        <v>616</v>
      </c>
      <c r="O794" s="2" t="s">
        <v>21</v>
      </c>
      <c r="P794" s="2" t="s">
        <v>206</v>
      </c>
      <c r="Q794" s="2" t="s">
        <v>246</v>
      </c>
      <c r="R794" s="2">
        <v>3</v>
      </c>
      <c r="S794" s="2">
        <v>34868.75</v>
      </c>
      <c r="T794" s="2">
        <v>5</v>
      </c>
      <c r="U794" s="2">
        <v>99375.94</v>
      </c>
      <c r="V794" s="2">
        <v>52762.32</v>
      </c>
      <c r="W794" s="2">
        <v>46613.62</v>
      </c>
      <c r="X794" s="2">
        <v>46.91</v>
      </c>
      <c r="Y794" s="2">
        <v>99</v>
      </c>
      <c r="Z794" s="2" t="s">
        <v>47</v>
      </c>
      <c r="AA794" s="2" t="s">
        <v>275</v>
      </c>
      <c r="AB794" s="2" t="s">
        <v>101</v>
      </c>
      <c r="AC794" s="2"/>
    </row>
    <row r="795" spans="1:29" x14ac:dyDescent="0.3">
      <c r="A795" s="3" t="s">
        <v>4463</v>
      </c>
      <c r="B795" s="3" t="s">
        <v>4464</v>
      </c>
      <c r="C795" s="3" t="s">
        <v>3403</v>
      </c>
      <c r="D795" s="3" t="s">
        <v>4465</v>
      </c>
      <c r="E795" s="3" t="s">
        <v>42</v>
      </c>
      <c r="F795" s="3" t="s">
        <v>120</v>
      </c>
      <c r="G795" s="3" t="s">
        <v>4466</v>
      </c>
      <c r="H795" s="3" t="s">
        <v>2684</v>
      </c>
      <c r="I795" s="3">
        <v>5</v>
      </c>
      <c r="J795" s="3" t="s">
        <v>14</v>
      </c>
      <c r="K795" s="3" t="s">
        <v>215</v>
      </c>
      <c r="L795" s="3" t="s">
        <v>215</v>
      </c>
      <c r="M795" s="3" t="s">
        <v>4467</v>
      </c>
      <c r="N795" s="3" t="s">
        <v>195</v>
      </c>
      <c r="O795" s="3" t="s">
        <v>21</v>
      </c>
      <c r="P795" s="3" t="s">
        <v>196</v>
      </c>
      <c r="Q795" s="3" t="s">
        <v>127</v>
      </c>
      <c r="R795" s="3">
        <v>5</v>
      </c>
      <c r="S795" s="3">
        <v>20777.14</v>
      </c>
      <c r="T795" s="3">
        <v>10</v>
      </c>
      <c r="U795" s="3">
        <v>93497.13</v>
      </c>
      <c r="V795" s="3">
        <v>64308.25</v>
      </c>
      <c r="W795" s="3">
        <v>29188.880000000001</v>
      </c>
      <c r="X795" s="3">
        <v>31.22</v>
      </c>
      <c r="Y795" s="3">
        <v>99</v>
      </c>
      <c r="Z795" s="3" t="s">
        <v>15</v>
      </c>
      <c r="AA795" s="3" t="s">
        <v>100</v>
      </c>
      <c r="AB795" s="3" t="s">
        <v>101</v>
      </c>
      <c r="AC795" s="3">
        <v>1</v>
      </c>
    </row>
    <row r="796" spans="1:29" x14ac:dyDescent="0.3">
      <c r="A796" s="2" t="s">
        <v>4468</v>
      </c>
      <c r="B796" s="2" t="s">
        <v>4469</v>
      </c>
      <c r="C796" s="2" t="s">
        <v>1011</v>
      </c>
      <c r="D796" s="2" t="s">
        <v>4470</v>
      </c>
      <c r="E796" s="2" t="s">
        <v>26</v>
      </c>
      <c r="F796" s="2" t="s">
        <v>292</v>
      </c>
      <c r="G796" s="2" t="s">
        <v>2312</v>
      </c>
      <c r="H796" s="2" t="s">
        <v>2836</v>
      </c>
      <c r="I796" s="2">
        <v>4</v>
      </c>
      <c r="J796" s="2" t="s">
        <v>22</v>
      </c>
      <c r="K796" s="2" t="s">
        <v>254</v>
      </c>
      <c r="L796" s="2" t="s">
        <v>254</v>
      </c>
      <c r="M796" s="2" t="s">
        <v>4471</v>
      </c>
      <c r="N796" s="2" t="s">
        <v>163</v>
      </c>
      <c r="O796" s="2" t="s">
        <v>21</v>
      </c>
      <c r="P796" s="2" t="s">
        <v>126</v>
      </c>
      <c r="Q796" s="2" t="s">
        <v>127</v>
      </c>
      <c r="R796" s="2">
        <v>1</v>
      </c>
      <c r="S796" s="2">
        <v>41599.31</v>
      </c>
      <c r="T796" s="2">
        <v>30</v>
      </c>
      <c r="U796" s="2">
        <v>29119.52</v>
      </c>
      <c r="V796" s="2">
        <v>19640.490000000002</v>
      </c>
      <c r="W796" s="2">
        <v>9479.0300000000007</v>
      </c>
      <c r="X796" s="2">
        <v>32.549999999999997</v>
      </c>
      <c r="Y796" s="2">
        <v>49</v>
      </c>
      <c r="Z796" s="2" t="s">
        <v>15</v>
      </c>
      <c r="AA796" s="2" t="s">
        <v>139</v>
      </c>
      <c r="AB796" s="2" t="s">
        <v>140</v>
      </c>
      <c r="AC796" s="2"/>
    </row>
    <row r="797" spans="1:29" x14ac:dyDescent="0.3">
      <c r="A797" s="3" t="s">
        <v>4472</v>
      </c>
      <c r="B797" s="3" t="s">
        <v>4473</v>
      </c>
      <c r="C797" s="3" t="s">
        <v>2834</v>
      </c>
      <c r="D797" s="3" t="s">
        <v>4474</v>
      </c>
      <c r="E797" s="3" t="s">
        <v>33</v>
      </c>
      <c r="F797" s="3" t="s">
        <v>2980</v>
      </c>
      <c r="G797" s="3" t="s">
        <v>1888</v>
      </c>
      <c r="H797" s="3" t="s">
        <v>3520</v>
      </c>
      <c r="I797" s="3">
        <v>4</v>
      </c>
      <c r="J797" s="3" t="s">
        <v>29</v>
      </c>
      <c r="K797" s="3" t="s">
        <v>427</v>
      </c>
      <c r="L797" s="3" t="s">
        <v>428</v>
      </c>
      <c r="M797" s="3" t="s">
        <v>4475</v>
      </c>
      <c r="N797" s="3" t="s">
        <v>274</v>
      </c>
      <c r="O797" s="3" t="s">
        <v>21</v>
      </c>
      <c r="P797" s="3" t="s">
        <v>126</v>
      </c>
      <c r="Q797" s="3" t="s">
        <v>152</v>
      </c>
      <c r="R797" s="3">
        <v>5</v>
      </c>
      <c r="S797" s="3">
        <v>35681.35</v>
      </c>
      <c r="T797" s="3">
        <v>20</v>
      </c>
      <c r="U797" s="3">
        <v>142725.4</v>
      </c>
      <c r="V797" s="3">
        <v>96394.53</v>
      </c>
      <c r="W797" s="3">
        <v>46330.87</v>
      </c>
      <c r="X797" s="3">
        <v>32.46</v>
      </c>
      <c r="Y797" s="3">
        <v>49</v>
      </c>
      <c r="Z797" s="3" t="s">
        <v>47</v>
      </c>
      <c r="AA797" s="3" t="s">
        <v>275</v>
      </c>
      <c r="AB797" s="3" t="s">
        <v>101</v>
      </c>
      <c r="AC797" s="3"/>
    </row>
    <row r="798" spans="1:29" x14ac:dyDescent="0.3">
      <c r="A798" s="2" t="s">
        <v>4476</v>
      </c>
      <c r="B798" s="2" t="s">
        <v>4477</v>
      </c>
      <c r="C798" s="2" t="s">
        <v>104</v>
      </c>
      <c r="D798" s="2" t="s">
        <v>4478</v>
      </c>
      <c r="E798" s="2" t="s">
        <v>26</v>
      </c>
      <c r="F798" s="2" t="s">
        <v>596</v>
      </c>
      <c r="G798" s="2" t="s">
        <v>1824</v>
      </c>
      <c r="H798" s="2" t="s">
        <v>598</v>
      </c>
      <c r="I798" s="2">
        <v>7</v>
      </c>
      <c r="J798" s="2" t="s">
        <v>39</v>
      </c>
      <c r="K798" s="2" t="s">
        <v>109</v>
      </c>
      <c r="L798" s="2" t="s">
        <v>110</v>
      </c>
      <c r="M798" s="2" t="s">
        <v>4479</v>
      </c>
      <c r="N798" s="2" t="s">
        <v>788</v>
      </c>
      <c r="O798" s="2" t="s">
        <v>27</v>
      </c>
      <c r="P798" s="2" t="s">
        <v>113</v>
      </c>
      <c r="Q798" s="2" t="s">
        <v>400</v>
      </c>
      <c r="R798" s="2">
        <v>2</v>
      </c>
      <c r="S798" s="2">
        <v>15288.26</v>
      </c>
      <c r="T798" s="2">
        <v>10</v>
      </c>
      <c r="U798" s="2">
        <v>27518.87</v>
      </c>
      <c r="V798" s="2">
        <v>17130.25</v>
      </c>
      <c r="W798" s="2">
        <v>10388.620000000001</v>
      </c>
      <c r="X798" s="2">
        <v>37.75</v>
      </c>
      <c r="Y798" s="2">
        <v>99</v>
      </c>
      <c r="Z798" s="2" t="s">
        <v>48</v>
      </c>
      <c r="AA798" s="2" t="s">
        <v>139</v>
      </c>
      <c r="AB798" s="2" t="s">
        <v>140</v>
      </c>
      <c r="AC798" s="2"/>
    </row>
    <row r="799" spans="1:29" x14ac:dyDescent="0.3">
      <c r="A799" s="3" t="s">
        <v>4480</v>
      </c>
      <c r="B799" s="3" t="s">
        <v>4481</v>
      </c>
      <c r="C799" s="3" t="s">
        <v>768</v>
      </c>
      <c r="D799" s="3" t="s">
        <v>4482</v>
      </c>
      <c r="E799" s="3" t="s">
        <v>26</v>
      </c>
      <c r="F799" s="3" t="s">
        <v>491</v>
      </c>
      <c r="G799" s="3" t="s">
        <v>3525</v>
      </c>
      <c r="H799" s="3" t="s">
        <v>983</v>
      </c>
      <c r="I799" s="3">
        <v>8</v>
      </c>
      <c r="J799" s="3" t="s">
        <v>22</v>
      </c>
      <c r="K799" s="3" t="s">
        <v>443</v>
      </c>
      <c r="L799" s="3" t="s">
        <v>444</v>
      </c>
      <c r="M799" s="3" t="s">
        <v>1908</v>
      </c>
      <c r="N799" s="3" t="s">
        <v>227</v>
      </c>
      <c r="O799" s="3" t="s">
        <v>13</v>
      </c>
      <c r="P799" s="3" t="s">
        <v>228</v>
      </c>
      <c r="Q799" s="3" t="s">
        <v>138</v>
      </c>
      <c r="R799" s="3">
        <v>4</v>
      </c>
      <c r="S799" s="3">
        <v>4623.4799999999996</v>
      </c>
      <c r="T799" s="3">
        <v>15</v>
      </c>
      <c r="U799" s="3">
        <v>15719.83</v>
      </c>
      <c r="V799" s="3">
        <v>8296.59</v>
      </c>
      <c r="W799" s="3">
        <v>7423.24</v>
      </c>
      <c r="X799" s="3">
        <v>47.22</v>
      </c>
      <c r="Y799" s="3">
        <v>29</v>
      </c>
      <c r="Z799" s="3" t="s">
        <v>48</v>
      </c>
      <c r="AA799" s="3" t="s">
        <v>275</v>
      </c>
      <c r="AB799" s="3" t="s">
        <v>101</v>
      </c>
      <c r="AC799" s="3"/>
    </row>
    <row r="800" spans="1:29" x14ac:dyDescent="0.3">
      <c r="A800" s="2" t="s">
        <v>4483</v>
      </c>
      <c r="B800" s="2" t="s">
        <v>4484</v>
      </c>
      <c r="C800" s="2" t="s">
        <v>1091</v>
      </c>
      <c r="D800" s="2" t="s">
        <v>4485</v>
      </c>
      <c r="E800" s="2" t="s">
        <v>18</v>
      </c>
      <c r="F800" s="2" t="s">
        <v>1579</v>
      </c>
      <c r="G800" s="2" t="s">
        <v>4486</v>
      </c>
      <c r="H800" s="2" t="s">
        <v>4487</v>
      </c>
      <c r="I800" s="2">
        <v>2</v>
      </c>
      <c r="J800" s="2" t="s">
        <v>22</v>
      </c>
      <c r="K800" s="2" t="s">
        <v>283</v>
      </c>
      <c r="L800" s="2" t="s">
        <v>284</v>
      </c>
      <c r="M800" s="2" t="s">
        <v>4488</v>
      </c>
      <c r="N800" s="2" t="s">
        <v>465</v>
      </c>
      <c r="O800" s="2" t="s">
        <v>19</v>
      </c>
      <c r="P800" s="2" t="s">
        <v>447</v>
      </c>
      <c r="Q800" s="2" t="s">
        <v>152</v>
      </c>
      <c r="R800" s="2">
        <v>1</v>
      </c>
      <c r="S800" s="2">
        <v>41929.85</v>
      </c>
      <c r="T800" s="2">
        <v>20</v>
      </c>
      <c r="U800" s="2">
        <v>33543.879999999997</v>
      </c>
      <c r="V800" s="2">
        <v>22903.35</v>
      </c>
      <c r="W800" s="2">
        <v>10640.53</v>
      </c>
      <c r="X800" s="2">
        <v>31.72</v>
      </c>
      <c r="Y800" s="2">
        <v>149</v>
      </c>
      <c r="Z800" s="2" t="s">
        <v>40</v>
      </c>
      <c r="AA800" s="2" t="s">
        <v>100</v>
      </c>
      <c r="AB800" s="2" t="s">
        <v>101</v>
      </c>
      <c r="AC800" s="2"/>
    </row>
    <row r="801" spans="1:29" x14ac:dyDescent="0.3">
      <c r="A801" s="3" t="s">
        <v>4489</v>
      </c>
      <c r="B801" s="3" t="s">
        <v>3532</v>
      </c>
      <c r="C801" s="3" t="s">
        <v>1590</v>
      </c>
      <c r="D801" s="3" t="s">
        <v>3490</v>
      </c>
      <c r="E801" s="3" t="s">
        <v>42</v>
      </c>
      <c r="F801" s="3" t="s">
        <v>4490</v>
      </c>
      <c r="G801" s="3" t="s">
        <v>2922</v>
      </c>
      <c r="H801" s="3" t="s">
        <v>4181</v>
      </c>
      <c r="I801" s="3">
        <v>8</v>
      </c>
      <c r="J801" s="3" t="s">
        <v>29</v>
      </c>
      <c r="K801" s="3" t="s">
        <v>334</v>
      </c>
      <c r="L801" s="3" t="s">
        <v>1073</v>
      </c>
      <c r="M801" s="3" t="s">
        <v>4491</v>
      </c>
      <c r="N801" s="3" t="s">
        <v>217</v>
      </c>
      <c r="O801" s="3" t="s">
        <v>21</v>
      </c>
      <c r="P801" s="3" t="s">
        <v>206</v>
      </c>
      <c r="Q801" s="3" t="s">
        <v>127</v>
      </c>
      <c r="R801" s="3">
        <v>1</v>
      </c>
      <c r="S801" s="3">
        <v>1592.6</v>
      </c>
      <c r="T801" s="3">
        <v>25</v>
      </c>
      <c r="U801" s="3">
        <v>1194.45</v>
      </c>
      <c r="V801" s="3">
        <v>766.23</v>
      </c>
      <c r="W801" s="3">
        <v>428.22</v>
      </c>
      <c r="X801" s="3">
        <v>35.85</v>
      </c>
      <c r="Y801" s="3">
        <v>99</v>
      </c>
      <c r="Z801" s="3" t="s">
        <v>47</v>
      </c>
      <c r="AA801" s="3" t="s">
        <v>100</v>
      </c>
      <c r="AB801" s="3" t="s">
        <v>101</v>
      </c>
      <c r="AC801" s="3">
        <v>4</v>
      </c>
    </row>
    <row r="802" spans="1:29" x14ac:dyDescent="0.3">
      <c r="A802" s="2" t="s">
        <v>4492</v>
      </c>
      <c r="B802" s="2" t="s">
        <v>4493</v>
      </c>
      <c r="C802" s="2" t="s">
        <v>221</v>
      </c>
      <c r="D802" s="2" t="s">
        <v>4494</v>
      </c>
      <c r="E802" s="2" t="s">
        <v>33</v>
      </c>
      <c r="F802" s="2" t="s">
        <v>962</v>
      </c>
      <c r="G802" s="2" t="s">
        <v>539</v>
      </c>
      <c r="H802" s="2" t="s">
        <v>1366</v>
      </c>
      <c r="I802" s="2">
        <v>8</v>
      </c>
      <c r="J802" s="2" t="s">
        <v>39</v>
      </c>
      <c r="K802" s="2" t="s">
        <v>225</v>
      </c>
      <c r="L802" s="2" t="s">
        <v>225</v>
      </c>
      <c r="M802" s="2" t="s">
        <v>389</v>
      </c>
      <c r="N802" s="2" t="s">
        <v>217</v>
      </c>
      <c r="O802" s="2" t="s">
        <v>21</v>
      </c>
      <c r="P802" s="2" t="s">
        <v>206</v>
      </c>
      <c r="Q802" s="2" t="s">
        <v>127</v>
      </c>
      <c r="R802" s="2">
        <v>5</v>
      </c>
      <c r="S802" s="2">
        <v>17947.939999999999</v>
      </c>
      <c r="T802" s="2">
        <v>15</v>
      </c>
      <c r="U802" s="2">
        <v>76278.740000000005</v>
      </c>
      <c r="V802" s="2">
        <v>47400.47</v>
      </c>
      <c r="W802" s="2">
        <v>28878.27</v>
      </c>
      <c r="X802" s="2">
        <v>37.86</v>
      </c>
      <c r="Y802" s="2">
        <v>29</v>
      </c>
      <c r="Z802" s="2" t="s">
        <v>23</v>
      </c>
      <c r="AA802" s="2" t="s">
        <v>186</v>
      </c>
      <c r="AB802" s="2" t="s">
        <v>101</v>
      </c>
      <c r="AC802" s="2"/>
    </row>
    <row r="803" spans="1:29" x14ac:dyDescent="0.3">
      <c r="A803" s="3" t="s">
        <v>4495</v>
      </c>
      <c r="B803" s="3" t="s">
        <v>4496</v>
      </c>
      <c r="C803" s="3" t="s">
        <v>967</v>
      </c>
      <c r="D803" s="3" t="s">
        <v>4497</v>
      </c>
      <c r="E803" s="3" t="s">
        <v>18</v>
      </c>
      <c r="F803" s="3" t="s">
        <v>3708</v>
      </c>
      <c r="G803" s="3" t="s">
        <v>4498</v>
      </c>
      <c r="H803" s="3" t="s">
        <v>1402</v>
      </c>
      <c r="I803" s="3">
        <v>8</v>
      </c>
      <c r="J803" s="3" t="s">
        <v>29</v>
      </c>
      <c r="K803" s="3" t="s">
        <v>834</v>
      </c>
      <c r="L803" s="3" t="s">
        <v>901</v>
      </c>
      <c r="M803" s="3" t="s">
        <v>4499</v>
      </c>
      <c r="N803" s="3" t="s">
        <v>316</v>
      </c>
      <c r="O803" s="3" t="s">
        <v>28</v>
      </c>
      <c r="P803" s="3" t="s">
        <v>137</v>
      </c>
      <c r="Q803" s="3" t="s">
        <v>355</v>
      </c>
      <c r="R803" s="3">
        <v>4</v>
      </c>
      <c r="S803" s="3">
        <v>29948.53</v>
      </c>
      <c r="T803" s="3">
        <v>25</v>
      </c>
      <c r="U803" s="3">
        <v>89845.59</v>
      </c>
      <c r="V803" s="3">
        <v>56397.36</v>
      </c>
      <c r="W803" s="3">
        <v>33448.230000000003</v>
      </c>
      <c r="X803" s="3">
        <v>37.229999999999997</v>
      </c>
      <c r="Y803" s="3">
        <v>49</v>
      </c>
      <c r="Z803" s="3" t="s">
        <v>47</v>
      </c>
      <c r="AA803" s="3" t="s">
        <v>100</v>
      </c>
      <c r="AB803" s="3" t="s">
        <v>101</v>
      </c>
      <c r="AC803" s="3">
        <v>4</v>
      </c>
    </row>
    <row r="804" spans="1:29" x14ac:dyDescent="0.3">
      <c r="A804" s="2" t="s">
        <v>4500</v>
      </c>
      <c r="B804" s="2" t="s">
        <v>4501</v>
      </c>
      <c r="C804" s="2" t="s">
        <v>934</v>
      </c>
      <c r="D804" s="2" t="s">
        <v>4502</v>
      </c>
      <c r="E804" s="2" t="s">
        <v>26</v>
      </c>
      <c r="F804" s="2" t="s">
        <v>2774</v>
      </c>
      <c r="G804" s="2" t="s">
        <v>2801</v>
      </c>
      <c r="H804" s="2" t="s">
        <v>4503</v>
      </c>
      <c r="I804" s="2">
        <v>2</v>
      </c>
      <c r="J804" s="2" t="s">
        <v>29</v>
      </c>
      <c r="K804" s="2" t="s">
        <v>334</v>
      </c>
      <c r="L804" s="2" t="s">
        <v>1073</v>
      </c>
      <c r="M804" s="2" t="s">
        <v>4504</v>
      </c>
      <c r="N804" s="2" t="s">
        <v>704</v>
      </c>
      <c r="O804" s="2" t="s">
        <v>13</v>
      </c>
      <c r="P804" s="2" t="s">
        <v>419</v>
      </c>
      <c r="Q804" s="2" t="s">
        <v>287</v>
      </c>
      <c r="R804" s="2">
        <v>4</v>
      </c>
      <c r="S804" s="2">
        <v>13118.71</v>
      </c>
      <c r="T804" s="2">
        <v>25</v>
      </c>
      <c r="U804" s="2">
        <v>39356.129999999997</v>
      </c>
      <c r="V804" s="2">
        <v>24405</v>
      </c>
      <c r="W804" s="2">
        <v>14951.13</v>
      </c>
      <c r="X804" s="2">
        <v>37.99</v>
      </c>
      <c r="Y804" s="2">
        <v>0</v>
      </c>
      <c r="Z804" s="2" t="s">
        <v>23</v>
      </c>
      <c r="AA804" s="2" t="s">
        <v>186</v>
      </c>
      <c r="AB804" s="2" t="s">
        <v>101</v>
      </c>
      <c r="AC804" s="2"/>
    </row>
    <row r="805" spans="1:29" x14ac:dyDescent="0.3">
      <c r="A805" s="3" t="s">
        <v>4505</v>
      </c>
      <c r="B805" s="3" t="s">
        <v>4506</v>
      </c>
      <c r="C805" s="3" t="s">
        <v>2202</v>
      </c>
      <c r="D805" s="3" t="s">
        <v>4507</v>
      </c>
      <c r="E805" s="3" t="s">
        <v>33</v>
      </c>
      <c r="F805" s="3" t="s">
        <v>3331</v>
      </c>
      <c r="G805" s="3" t="s">
        <v>1033</v>
      </c>
      <c r="H805" s="3" t="s">
        <v>819</v>
      </c>
      <c r="I805" s="3">
        <v>4</v>
      </c>
      <c r="J805" s="3" t="s">
        <v>29</v>
      </c>
      <c r="K805" s="3" t="s">
        <v>834</v>
      </c>
      <c r="L805" s="3" t="s">
        <v>835</v>
      </c>
      <c r="M805" s="3" t="s">
        <v>4508</v>
      </c>
      <c r="N805" s="3" t="s">
        <v>484</v>
      </c>
      <c r="O805" s="3" t="s">
        <v>13</v>
      </c>
      <c r="P805" s="3" t="s">
        <v>98</v>
      </c>
      <c r="Q805" s="3" t="s">
        <v>355</v>
      </c>
      <c r="R805" s="3">
        <v>3</v>
      </c>
      <c r="S805" s="3">
        <v>13957.85</v>
      </c>
      <c r="T805" s="3">
        <v>30</v>
      </c>
      <c r="U805" s="3">
        <v>29311.49</v>
      </c>
      <c r="V805" s="3">
        <v>19084.21</v>
      </c>
      <c r="W805" s="3">
        <v>10227.280000000001</v>
      </c>
      <c r="X805" s="3">
        <v>34.89</v>
      </c>
      <c r="Y805" s="3">
        <v>49</v>
      </c>
      <c r="Z805" s="3" t="s">
        <v>43</v>
      </c>
      <c r="AA805" s="3" t="s">
        <v>186</v>
      </c>
      <c r="AB805" s="3" t="s">
        <v>101</v>
      </c>
      <c r="AC805" s="3"/>
    </row>
    <row r="806" spans="1:29" x14ac:dyDescent="0.3">
      <c r="A806" s="2" t="s">
        <v>4509</v>
      </c>
      <c r="B806" s="2" t="s">
        <v>4510</v>
      </c>
      <c r="C806" s="2" t="s">
        <v>2460</v>
      </c>
      <c r="D806" s="2" t="s">
        <v>4511</v>
      </c>
      <c r="E806" s="2" t="s">
        <v>42</v>
      </c>
      <c r="F806" s="2" t="s">
        <v>263</v>
      </c>
      <c r="G806" s="2" t="s">
        <v>202</v>
      </c>
      <c r="H806" s="2" t="s">
        <v>2327</v>
      </c>
      <c r="I806" s="2">
        <v>3</v>
      </c>
      <c r="J806" s="2" t="s">
        <v>14</v>
      </c>
      <c r="K806" s="2" t="s">
        <v>95</v>
      </c>
      <c r="L806" s="2" t="s">
        <v>95</v>
      </c>
      <c r="M806" s="2" t="s">
        <v>4512</v>
      </c>
      <c r="N806" s="2" t="s">
        <v>704</v>
      </c>
      <c r="O806" s="2" t="s">
        <v>13</v>
      </c>
      <c r="P806" s="2" t="s">
        <v>419</v>
      </c>
      <c r="Q806" s="2" t="s">
        <v>114</v>
      </c>
      <c r="R806" s="2">
        <v>5</v>
      </c>
      <c r="S806" s="2">
        <v>4697.88</v>
      </c>
      <c r="T806" s="2">
        <v>5</v>
      </c>
      <c r="U806" s="2">
        <v>22314.93</v>
      </c>
      <c r="V806" s="2">
        <v>12158.48</v>
      </c>
      <c r="W806" s="2">
        <v>10156.450000000001</v>
      </c>
      <c r="X806" s="2">
        <v>45.51</v>
      </c>
      <c r="Y806" s="2">
        <v>0</v>
      </c>
      <c r="Z806" s="2" t="s">
        <v>30</v>
      </c>
      <c r="AA806" s="2" t="s">
        <v>100</v>
      </c>
      <c r="AB806" s="2" t="s">
        <v>101</v>
      </c>
      <c r="AC806" s="2">
        <v>4</v>
      </c>
    </row>
    <row r="807" spans="1:29" x14ac:dyDescent="0.3">
      <c r="A807" s="3" t="s">
        <v>4513</v>
      </c>
      <c r="B807" s="3" t="s">
        <v>4514</v>
      </c>
      <c r="C807" s="3" t="s">
        <v>210</v>
      </c>
      <c r="D807" s="3" t="s">
        <v>4515</v>
      </c>
      <c r="E807" s="3" t="s">
        <v>42</v>
      </c>
      <c r="F807" s="3" t="s">
        <v>3505</v>
      </c>
      <c r="G807" s="3" t="s">
        <v>2708</v>
      </c>
      <c r="H807" s="3" t="s">
        <v>181</v>
      </c>
      <c r="I807" s="3">
        <v>7</v>
      </c>
      <c r="J807" s="3" t="s">
        <v>39</v>
      </c>
      <c r="K807" s="3" t="s">
        <v>109</v>
      </c>
      <c r="L807" s="3" t="s">
        <v>110</v>
      </c>
      <c r="M807" s="3" t="s">
        <v>4516</v>
      </c>
      <c r="N807" s="3" t="s">
        <v>446</v>
      </c>
      <c r="O807" s="3" t="s">
        <v>19</v>
      </c>
      <c r="P807" s="3" t="s">
        <v>447</v>
      </c>
      <c r="Q807" s="3" t="s">
        <v>197</v>
      </c>
      <c r="R807" s="3">
        <v>3</v>
      </c>
      <c r="S807" s="3">
        <v>13233.4</v>
      </c>
      <c r="T807" s="3">
        <v>25</v>
      </c>
      <c r="U807" s="3">
        <v>29775.15</v>
      </c>
      <c r="V807" s="3">
        <v>20275.63</v>
      </c>
      <c r="W807" s="3">
        <v>9499.52</v>
      </c>
      <c r="X807" s="3">
        <v>31.9</v>
      </c>
      <c r="Y807" s="3">
        <v>199</v>
      </c>
      <c r="Z807" s="3" t="s">
        <v>47</v>
      </c>
      <c r="AA807" s="3" t="s">
        <v>100</v>
      </c>
      <c r="AB807" s="3" t="s">
        <v>101</v>
      </c>
      <c r="AC807" s="3">
        <v>1</v>
      </c>
    </row>
    <row r="808" spans="1:29" x14ac:dyDescent="0.3">
      <c r="A808" s="2" t="s">
        <v>4517</v>
      </c>
      <c r="B808" s="2" t="s">
        <v>4518</v>
      </c>
      <c r="C808" s="2" t="s">
        <v>1364</v>
      </c>
      <c r="D808" s="2" t="s">
        <v>4519</v>
      </c>
      <c r="E808" s="2" t="s">
        <v>18</v>
      </c>
      <c r="F808" s="2" t="s">
        <v>2899</v>
      </c>
      <c r="G808" s="2" t="s">
        <v>3871</v>
      </c>
      <c r="H808" s="2" t="s">
        <v>3876</v>
      </c>
      <c r="I808" s="2">
        <v>5</v>
      </c>
      <c r="J808" s="2" t="s">
        <v>39</v>
      </c>
      <c r="K808" s="2" t="s">
        <v>324</v>
      </c>
      <c r="L808" s="2" t="s">
        <v>1422</v>
      </c>
      <c r="M808" s="2" t="s">
        <v>4520</v>
      </c>
      <c r="N808" s="2" t="s">
        <v>185</v>
      </c>
      <c r="O808" s="2" t="s">
        <v>28</v>
      </c>
      <c r="P808" s="2" t="s">
        <v>151</v>
      </c>
      <c r="Q808" s="2" t="s">
        <v>400</v>
      </c>
      <c r="R808" s="2">
        <v>2</v>
      </c>
      <c r="S808" s="2">
        <v>42654.19</v>
      </c>
      <c r="T808" s="2">
        <v>20</v>
      </c>
      <c r="U808" s="2">
        <v>68246.7</v>
      </c>
      <c r="V808" s="2">
        <v>43077.84</v>
      </c>
      <c r="W808" s="2">
        <v>25168.86</v>
      </c>
      <c r="X808" s="2">
        <v>36.880000000000003</v>
      </c>
      <c r="Y808" s="2">
        <v>49</v>
      </c>
      <c r="Z808" s="2" t="s">
        <v>43</v>
      </c>
      <c r="AA808" s="2" t="s">
        <v>100</v>
      </c>
      <c r="AB808" s="2" t="s">
        <v>101</v>
      </c>
      <c r="AC808" s="2">
        <v>4</v>
      </c>
    </row>
    <row r="809" spans="1:29" x14ac:dyDescent="0.3">
      <c r="A809" s="3" t="s">
        <v>4521</v>
      </c>
      <c r="B809" s="3" t="s">
        <v>4522</v>
      </c>
      <c r="C809" s="3" t="s">
        <v>2622</v>
      </c>
      <c r="D809" s="3" t="s">
        <v>4523</v>
      </c>
      <c r="E809" s="3" t="s">
        <v>42</v>
      </c>
      <c r="F809" s="3" t="s">
        <v>4524</v>
      </c>
      <c r="G809" s="3" t="s">
        <v>2503</v>
      </c>
      <c r="H809" s="3" t="s">
        <v>3452</v>
      </c>
      <c r="I809" s="3">
        <v>6</v>
      </c>
      <c r="J809" s="3" t="s">
        <v>29</v>
      </c>
      <c r="K809" s="3" t="s">
        <v>148</v>
      </c>
      <c r="L809" s="3" t="s">
        <v>148</v>
      </c>
      <c r="M809" s="3" t="s">
        <v>4525</v>
      </c>
      <c r="N809" s="3" t="s">
        <v>1802</v>
      </c>
      <c r="O809" s="3" t="s">
        <v>28</v>
      </c>
      <c r="P809" s="3" t="s">
        <v>137</v>
      </c>
      <c r="Q809" s="3" t="s">
        <v>127</v>
      </c>
      <c r="R809" s="3">
        <v>2</v>
      </c>
      <c r="S809" s="3">
        <v>44173.52</v>
      </c>
      <c r="T809" s="3">
        <v>25</v>
      </c>
      <c r="U809" s="3">
        <v>66260.28</v>
      </c>
      <c r="V809" s="3">
        <v>35125.57</v>
      </c>
      <c r="W809" s="3">
        <v>31134.71</v>
      </c>
      <c r="X809" s="3">
        <v>46.99</v>
      </c>
      <c r="Y809" s="3">
        <v>99</v>
      </c>
      <c r="Z809" s="3" t="s">
        <v>48</v>
      </c>
      <c r="AA809" s="3" t="s">
        <v>100</v>
      </c>
      <c r="AB809" s="3" t="s">
        <v>101</v>
      </c>
      <c r="AC809" s="3"/>
    </row>
    <row r="810" spans="1:29" x14ac:dyDescent="0.3">
      <c r="A810" s="2" t="s">
        <v>4526</v>
      </c>
      <c r="B810" s="2" t="s">
        <v>4527</v>
      </c>
      <c r="C810" s="2" t="s">
        <v>1464</v>
      </c>
      <c r="D810" s="2" t="s">
        <v>4528</v>
      </c>
      <c r="E810" s="2" t="s">
        <v>26</v>
      </c>
      <c r="F810" s="2" t="s">
        <v>424</v>
      </c>
      <c r="G810" s="2" t="s">
        <v>1307</v>
      </c>
      <c r="H810" s="2" t="s">
        <v>223</v>
      </c>
      <c r="I810" s="2">
        <v>2</v>
      </c>
      <c r="J810" s="2" t="s">
        <v>14</v>
      </c>
      <c r="K810" s="2" t="s">
        <v>171</v>
      </c>
      <c r="L810" s="2" t="s">
        <v>541</v>
      </c>
      <c r="M810" s="2" t="s">
        <v>4529</v>
      </c>
      <c r="N810" s="2" t="s">
        <v>399</v>
      </c>
      <c r="O810" s="2" t="s">
        <v>21</v>
      </c>
      <c r="P810" s="2" t="s">
        <v>196</v>
      </c>
      <c r="Q810" s="2" t="s">
        <v>509</v>
      </c>
      <c r="R810" s="2">
        <v>4</v>
      </c>
      <c r="S810" s="2">
        <v>48460.78</v>
      </c>
      <c r="T810" s="2">
        <v>10</v>
      </c>
      <c r="U810" s="2">
        <v>174458.81</v>
      </c>
      <c r="V810" s="2">
        <v>95746.47</v>
      </c>
      <c r="W810" s="2">
        <v>78712.34</v>
      </c>
      <c r="X810" s="2">
        <v>45.12</v>
      </c>
      <c r="Y810" s="2">
        <v>199</v>
      </c>
      <c r="Z810" s="2" t="s">
        <v>23</v>
      </c>
      <c r="AA810" s="2" t="s">
        <v>100</v>
      </c>
      <c r="AB810" s="2" t="s">
        <v>101</v>
      </c>
      <c r="AC810" s="2">
        <v>5</v>
      </c>
    </row>
    <row r="811" spans="1:29" x14ac:dyDescent="0.3">
      <c r="A811" s="3" t="s">
        <v>4530</v>
      </c>
      <c r="B811" s="3" t="s">
        <v>4531</v>
      </c>
      <c r="C811" s="3" t="s">
        <v>536</v>
      </c>
      <c r="D811" s="3" t="s">
        <v>4532</v>
      </c>
      <c r="E811" s="3" t="s">
        <v>33</v>
      </c>
      <c r="F811" s="3" t="s">
        <v>4145</v>
      </c>
      <c r="G811" s="3" t="s">
        <v>4533</v>
      </c>
      <c r="H811" s="3" t="s">
        <v>4534</v>
      </c>
      <c r="I811" s="3">
        <v>4</v>
      </c>
      <c r="J811" s="3" t="s">
        <v>22</v>
      </c>
      <c r="K811" s="3" t="s">
        <v>738</v>
      </c>
      <c r="L811" s="3" t="s">
        <v>738</v>
      </c>
      <c r="M811" s="3" t="s">
        <v>4535</v>
      </c>
      <c r="N811" s="3" t="s">
        <v>418</v>
      </c>
      <c r="O811" s="3" t="s">
        <v>13</v>
      </c>
      <c r="P811" s="3" t="s">
        <v>419</v>
      </c>
      <c r="Q811" s="3" t="s">
        <v>466</v>
      </c>
      <c r="R811" s="3">
        <v>3</v>
      </c>
      <c r="S811" s="3">
        <v>29658.84</v>
      </c>
      <c r="T811" s="3">
        <v>15</v>
      </c>
      <c r="U811" s="3">
        <v>75630.039999999994</v>
      </c>
      <c r="V811" s="3">
        <v>40517.919999999998</v>
      </c>
      <c r="W811" s="3">
        <v>35112.120000000003</v>
      </c>
      <c r="X811" s="3">
        <v>46.43</v>
      </c>
      <c r="Y811" s="3">
        <v>199</v>
      </c>
      <c r="Z811" s="3" t="s">
        <v>40</v>
      </c>
      <c r="AA811" s="3" t="s">
        <v>100</v>
      </c>
      <c r="AB811" s="3" t="s">
        <v>101</v>
      </c>
      <c r="AC811" s="3">
        <v>2</v>
      </c>
    </row>
    <row r="812" spans="1:29" x14ac:dyDescent="0.3">
      <c r="A812" s="2" t="s">
        <v>4536</v>
      </c>
      <c r="B812" s="2" t="s">
        <v>4537</v>
      </c>
      <c r="C812" s="2" t="s">
        <v>870</v>
      </c>
      <c r="D812" s="2" t="s">
        <v>4538</v>
      </c>
      <c r="E812" s="2" t="s">
        <v>26</v>
      </c>
      <c r="F812" s="2" t="s">
        <v>4108</v>
      </c>
      <c r="G812" s="2" t="s">
        <v>629</v>
      </c>
      <c r="H812" s="2" t="s">
        <v>3238</v>
      </c>
      <c r="I812" s="2">
        <v>2</v>
      </c>
      <c r="J812" s="2" t="s">
        <v>22</v>
      </c>
      <c r="K812" s="2" t="s">
        <v>283</v>
      </c>
      <c r="L812" s="2" t="s">
        <v>1346</v>
      </c>
      <c r="M812" s="2" t="s">
        <v>4539</v>
      </c>
      <c r="N812" s="2" t="s">
        <v>631</v>
      </c>
      <c r="O812" s="2" t="s">
        <v>19</v>
      </c>
      <c r="P812" s="2" t="s">
        <v>297</v>
      </c>
      <c r="Q812" s="2" t="s">
        <v>218</v>
      </c>
      <c r="R812" s="2">
        <v>5</v>
      </c>
      <c r="S812" s="2">
        <v>48706.89</v>
      </c>
      <c r="T812" s="2">
        <v>30</v>
      </c>
      <c r="U812" s="2">
        <v>170474.11</v>
      </c>
      <c r="V812" s="2">
        <v>98927.65</v>
      </c>
      <c r="W812" s="2">
        <v>71546.460000000006</v>
      </c>
      <c r="X812" s="2">
        <v>41.97</v>
      </c>
      <c r="Y812" s="2">
        <v>149</v>
      </c>
      <c r="Z812" s="2" t="s">
        <v>15</v>
      </c>
      <c r="AA812" s="2" t="s">
        <v>100</v>
      </c>
      <c r="AB812" s="2" t="s">
        <v>101</v>
      </c>
      <c r="AC812" s="2">
        <v>4</v>
      </c>
    </row>
    <row r="813" spans="1:29" x14ac:dyDescent="0.3">
      <c r="A813" s="3" t="s">
        <v>4540</v>
      </c>
      <c r="B813" s="3" t="s">
        <v>4541</v>
      </c>
      <c r="C813" s="3" t="s">
        <v>348</v>
      </c>
      <c r="D813" s="3" t="s">
        <v>4542</v>
      </c>
      <c r="E813" s="3" t="s">
        <v>26</v>
      </c>
      <c r="F813" s="3" t="s">
        <v>4543</v>
      </c>
      <c r="G813" s="3" t="s">
        <v>2665</v>
      </c>
      <c r="H813" s="3" t="s">
        <v>380</v>
      </c>
      <c r="I813" s="3">
        <v>8</v>
      </c>
      <c r="J813" s="3" t="s">
        <v>29</v>
      </c>
      <c r="K813" s="3" t="s">
        <v>427</v>
      </c>
      <c r="L813" s="3" t="s">
        <v>1871</v>
      </c>
      <c r="M813" s="3" t="s">
        <v>4544</v>
      </c>
      <c r="N813" s="3" t="s">
        <v>616</v>
      </c>
      <c r="O813" s="3" t="s">
        <v>21</v>
      </c>
      <c r="P813" s="3" t="s">
        <v>206</v>
      </c>
      <c r="Q813" s="3" t="s">
        <v>218</v>
      </c>
      <c r="R813" s="3">
        <v>1</v>
      </c>
      <c r="S813" s="3">
        <v>40480.160000000003</v>
      </c>
      <c r="T813" s="3">
        <v>15</v>
      </c>
      <c r="U813" s="3">
        <v>34408.14</v>
      </c>
      <c r="V813" s="3">
        <v>18989.29</v>
      </c>
      <c r="W813" s="3">
        <v>15418.85</v>
      </c>
      <c r="X813" s="3">
        <v>44.81</v>
      </c>
      <c r="Y813" s="3">
        <v>149</v>
      </c>
      <c r="Z813" s="3" t="s">
        <v>23</v>
      </c>
      <c r="AA813" s="3" t="s">
        <v>186</v>
      </c>
      <c r="AB813" s="3" t="s">
        <v>101</v>
      </c>
      <c r="AC813" s="3"/>
    </row>
    <row r="814" spans="1:29" x14ac:dyDescent="0.3">
      <c r="A814" s="2" t="s">
        <v>4545</v>
      </c>
      <c r="B814" s="2" t="s">
        <v>4546</v>
      </c>
      <c r="C814" s="2" t="s">
        <v>586</v>
      </c>
      <c r="D814" s="2" t="s">
        <v>4547</v>
      </c>
      <c r="E814" s="2" t="s">
        <v>18</v>
      </c>
      <c r="F814" s="2" t="s">
        <v>3373</v>
      </c>
      <c r="G814" s="2" t="s">
        <v>304</v>
      </c>
      <c r="H814" s="2" t="s">
        <v>2321</v>
      </c>
      <c r="I814" s="2">
        <v>8</v>
      </c>
      <c r="J814" s="2" t="s">
        <v>39</v>
      </c>
      <c r="K814" s="2" t="s">
        <v>314</v>
      </c>
      <c r="L814" s="2" t="s">
        <v>314</v>
      </c>
      <c r="M814" s="2" t="s">
        <v>4548</v>
      </c>
      <c r="N814" s="2" t="s">
        <v>686</v>
      </c>
      <c r="O814" s="2" t="s">
        <v>13</v>
      </c>
      <c r="P814" s="2" t="s">
        <v>228</v>
      </c>
      <c r="Q814" s="2" t="s">
        <v>608</v>
      </c>
      <c r="R814" s="2">
        <v>1</v>
      </c>
      <c r="S814" s="2">
        <v>29936.92</v>
      </c>
      <c r="T814" s="2">
        <v>25</v>
      </c>
      <c r="U814" s="2">
        <v>22452.69</v>
      </c>
      <c r="V814" s="2">
        <v>12802.84</v>
      </c>
      <c r="W814" s="2">
        <v>9649.85</v>
      </c>
      <c r="X814" s="2">
        <v>42.98</v>
      </c>
      <c r="Y814" s="2">
        <v>29</v>
      </c>
      <c r="Z814" s="2" t="s">
        <v>48</v>
      </c>
      <c r="AA814" s="2" t="s">
        <v>100</v>
      </c>
      <c r="AB814" s="2" t="s">
        <v>101</v>
      </c>
      <c r="AC814" s="2">
        <v>5</v>
      </c>
    </row>
    <row r="815" spans="1:29" x14ac:dyDescent="0.3">
      <c r="A815" s="3" t="s">
        <v>4549</v>
      </c>
      <c r="B815" s="3" t="s">
        <v>4550</v>
      </c>
      <c r="C815" s="3" t="s">
        <v>952</v>
      </c>
      <c r="D815" s="3" t="s">
        <v>4551</v>
      </c>
      <c r="E815" s="3" t="s">
        <v>33</v>
      </c>
      <c r="F815" s="3" t="s">
        <v>4552</v>
      </c>
      <c r="G815" s="3" t="s">
        <v>885</v>
      </c>
      <c r="H815" s="3" t="s">
        <v>1428</v>
      </c>
      <c r="I815" s="3">
        <v>4</v>
      </c>
      <c r="J815" s="3" t="s">
        <v>29</v>
      </c>
      <c r="K815" s="3" t="s">
        <v>334</v>
      </c>
      <c r="L815" s="3" t="s">
        <v>1073</v>
      </c>
      <c r="M815" s="3" t="s">
        <v>4553</v>
      </c>
      <c r="N815" s="3" t="s">
        <v>704</v>
      </c>
      <c r="O815" s="3" t="s">
        <v>13</v>
      </c>
      <c r="P815" s="3" t="s">
        <v>419</v>
      </c>
      <c r="Q815" s="3" t="s">
        <v>400</v>
      </c>
      <c r="R815" s="3">
        <v>1</v>
      </c>
      <c r="S815" s="3">
        <v>8131.64</v>
      </c>
      <c r="T815" s="3">
        <v>5</v>
      </c>
      <c r="U815" s="3">
        <v>7725.06</v>
      </c>
      <c r="V815" s="3">
        <v>3963.89</v>
      </c>
      <c r="W815" s="3">
        <v>3761.17</v>
      </c>
      <c r="X815" s="3">
        <v>48.69</v>
      </c>
      <c r="Y815" s="3">
        <v>29</v>
      </c>
      <c r="Z815" s="3" t="s">
        <v>47</v>
      </c>
      <c r="AA815" s="3" t="s">
        <v>100</v>
      </c>
      <c r="AB815" s="3" t="s">
        <v>101</v>
      </c>
      <c r="AC815" s="3">
        <v>3</v>
      </c>
    </row>
    <row r="816" spans="1:29" x14ac:dyDescent="0.3">
      <c r="A816" s="2" t="s">
        <v>4554</v>
      </c>
      <c r="B816" s="2" t="s">
        <v>4555</v>
      </c>
      <c r="C816" s="2" t="s">
        <v>855</v>
      </c>
      <c r="D816" s="2" t="s">
        <v>4556</v>
      </c>
      <c r="E816" s="2" t="s">
        <v>18</v>
      </c>
      <c r="F816" s="2" t="s">
        <v>548</v>
      </c>
      <c r="G816" s="2" t="s">
        <v>4258</v>
      </c>
      <c r="H816" s="2" t="s">
        <v>2955</v>
      </c>
      <c r="I816" s="2">
        <v>8</v>
      </c>
      <c r="J816" s="2" t="s">
        <v>14</v>
      </c>
      <c r="K816" s="2" t="s">
        <v>183</v>
      </c>
      <c r="L816" s="2" t="s">
        <v>183</v>
      </c>
      <c r="M816" s="2" t="s">
        <v>4557</v>
      </c>
      <c r="N816" s="2" t="s">
        <v>583</v>
      </c>
      <c r="O816" s="2" t="s">
        <v>19</v>
      </c>
      <c r="P816" s="2" t="s">
        <v>447</v>
      </c>
      <c r="Q816" s="2" t="s">
        <v>287</v>
      </c>
      <c r="R816" s="2">
        <v>5</v>
      </c>
      <c r="S816" s="2">
        <v>8815.52</v>
      </c>
      <c r="T816" s="2">
        <v>0</v>
      </c>
      <c r="U816" s="2">
        <v>44077.599999999999</v>
      </c>
      <c r="V816" s="2">
        <v>20650.810000000001</v>
      </c>
      <c r="W816" s="2">
        <v>23426.79</v>
      </c>
      <c r="X816" s="2">
        <v>53.15</v>
      </c>
      <c r="Y816" s="2">
        <v>199</v>
      </c>
      <c r="Z816" s="2" t="s">
        <v>40</v>
      </c>
      <c r="AA816" s="2" t="s">
        <v>100</v>
      </c>
      <c r="AB816" s="2" t="s">
        <v>101</v>
      </c>
      <c r="AC816" s="2">
        <v>2</v>
      </c>
    </row>
    <row r="817" spans="1:29" x14ac:dyDescent="0.3">
      <c r="A817" s="3" t="s">
        <v>4558</v>
      </c>
      <c r="B817" s="3" t="s">
        <v>4559</v>
      </c>
      <c r="C817" s="3" t="s">
        <v>2067</v>
      </c>
      <c r="D817" s="3" t="s">
        <v>4560</v>
      </c>
      <c r="E817" s="3" t="s">
        <v>26</v>
      </c>
      <c r="F817" s="3" t="s">
        <v>4561</v>
      </c>
      <c r="G817" s="3" t="s">
        <v>621</v>
      </c>
      <c r="H817" s="3" t="s">
        <v>4218</v>
      </c>
      <c r="I817" s="3">
        <v>5</v>
      </c>
      <c r="J817" s="3" t="s">
        <v>14</v>
      </c>
      <c r="K817" s="3" t="s">
        <v>183</v>
      </c>
      <c r="L817" s="3" t="s">
        <v>183</v>
      </c>
      <c r="M817" s="3" t="s">
        <v>4562</v>
      </c>
      <c r="N817" s="3" t="s">
        <v>456</v>
      </c>
      <c r="O817" s="3" t="s">
        <v>21</v>
      </c>
      <c r="P817" s="3" t="s">
        <v>206</v>
      </c>
      <c r="Q817" s="3" t="s">
        <v>127</v>
      </c>
      <c r="R817" s="3">
        <v>5</v>
      </c>
      <c r="S817" s="3">
        <v>14292.81</v>
      </c>
      <c r="T817" s="3">
        <v>10</v>
      </c>
      <c r="U817" s="3">
        <v>64317.65</v>
      </c>
      <c r="V817" s="3">
        <v>29163.93</v>
      </c>
      <c r="W817" s="3">
        <v>35153.72</v>
      </c>
      <c r="X817" s="3">
        <v>54.66</v>
      </c>
      <c r="Y817" s="3">
        <v>149</v>
      </c>
      <c r="Z817" s="3" t="s">
        <v>43</v>
      </c>
      <c r="AA817" s="3" t="s">
        <v>100</v>
      </c>
      <c r="AB817" s="3" t="s">
        <v>101</v>
      </c>
      <c r="AC817" s="3">
        <v>2</v>
      </c>
    </row>
    <row r="818" spans="1:29" x14ac:dyDescent="0.3">
      <c r="A818" s="2" t="s">
        <v>4563</v>
      </c>
      <c r="B818" s="2" t="s">
        <v>4564</v>
      </c>
      <c r="C818" s="2" t="s">
        <v>2729</v>
      </c>
      <c r="D818" s="2" t="s">
        <v>4565</v>
      </c>
      <c r="E818" s="2" t="s">
        <v>18</v>
      </c>
      <c r="F818" s="2" t="s">
        <v>1007</v>
      </c>
      <c r="G818" s="2" t="s">
        <v>2764</v>
      </c>
      <c r="H818" s="2" t="s">
        <v>4566</v>
      </c>
      <c r="I818" s="2">
        <v>7</v>
      </c>
      <c r="J818" s="2" t="s">
        <v>39</v>
      </c>
      <c r="K818" s="2" t="s">
        <v>314</v>
      </c>
      <c r="L818" s="2" t="s">
        <v>314</v>
      </c>
      <c r="M818" s="2" t="s">
        <v>1829</v>
      </c>
      <c r="N818" s="2" t="s">
        <v>456</v>
      </c>
      <c r="O818" s="2" t="s">
        <v>21</v>
      </c>
      <c r="P818" s="2" t="s">
        <v>206</v>
      </c>
      <c r="Q818" s="2" t="s">
        <v>608</v>
      </c>
      <c r="R818" s="2">
        <v>3</v>
      </c>
      <c r="S818" s="2">
        <v>47032.86</v>
      </c>
      <c r="T818" s="2">
        <v>25</v>
      </c>
      <c r="U818" s="2">
        <v>105823.94</v>
      </c>
      <c r="V818" s="2">
        <v>52383.51</v>
      </c>
      <c r="W818" s="2">
        <v>53440.43</v>
      </c>
      <c r="X818" s="2">
        <v>50.5</v>
      </c>
      <c r="Y818" s="2">
        <v>49</v>
      </c>
      <c r="Z818" s="2" t="s">
        <v>40</v>
      </c>
      <c r="AA818" s="2" t="s">
        <v>100</v>
      </c>
      <c r="AB818" s="2" t="s">
        <v>101</v>
      </c>
      <c r="AC818" s="2"/>
    </row>
    <row r="819" spans="1:29" x14ac:dyDescent="0.3">
      <c r="A819" s="3" t="s">
        <v>4567</v>
      </c>
      <c r="B819" s="3" t="s">
        <v>4568</v>
      </c>
      <c r="C819" s="3" t="s">
        <v>1797</v>
      </c>
      <c r="D819" s="3" t="s">
        <v>4569</v>
      </c>
      <c r="E819" s="3" t="s">
        <v>42</v>
      </c>
      <c r="F819" s="3" t="s">
        <v>2168</v>
      </c>
      <c r="G819" s="3" t="s">
        <v>1817</v>
      </c>
      <c r="H819" s="3" t="s">
        <v>2883</v>
      </c>
      <c r="I819" s="3">
        <v>3</v>
      </c>
      <c r="J819" s="3" t="s">
        <v>29</v>
      </c>
      <c r="K819" s="3" t="s">
        <v>160</v>
      </c>
      <c r="L819" s="3" t="s">
        <v>161</v>
      </c>
      <c r="M819" s="3" t="s">
        <v>4570</v>
      </c>
      <c r="N819" s="3" t="s">
        <v>256</v>
      </c>
      <c r="O819" s="3" t="s">
        <v>27</v>
      </c>
      <c r="P819" s="3" t="s">
        <v>257</v>
      </c>
      <c r="Q819" s="3" t="s">
        <v>152</v>
      </c>
      <c r="R819" s="3">
        <v>3</v>
      </c>
      <c r="S819" s="3">
        <v>35287.21</v>
      </c>
      <c r="T819" s="3">
        <v>0</v>
      </c>
      <c r="U819" s="3">
        <v>105861.63</v>
      </c>
      <c r="V819" s="3">
        <v>48830.84</v>
      </c>
      <c r="W819" s="3">
        <v>57030.79</v>
      </c>
      <c r="X819" s="3">
        <v>53.87</v>
      </c>
      <c r="Y819" s="3">
        <v>199</v>
      </c>
      <c r="Z819" s="3" t="s">
        <v>43</v>
      </c>
      <c r="AA819" s="3" t="s">
        <v>100</v>
      </c>
      <c r="AB819" s="3" t="s">
        <v>101</v>
      </c>
      <c r="AC819" s="3">
        <v>4</v>
      </c>
    </row>
    <row r="820" spans="1:29" x14ac:dyDescent="0.3">
      <c r="A820" s="2" t="s">
        <v>4571</v>
      </c>
      <c r="B820" s="2" t="s">
        <v>4572</v>
      </c>
      <c r="C820" s="2" t="s">
        <v>1590</v>
      </c>
      <c r="D820" s="2" t="s">
        <v>4573</v>
      </c>
      <c r="E820" s="2" t="s">
        <v>33</v>
      </c>
      <c r="F820" s="2" t="s">
        <v>360</v>
      </c>
      <c r="G820" s="2" t="s">
        <v>361</v>
      </c>
      <c r="H820" s="2" t="s">
        <v>761</v>
      </c>
      <c r="I820" s="2">
        <v>6</v>
      </c>
      <c r="J820" s="2" t="s">
        <v>22</v>
      </c>
      <c r="K820" s="2" t="s">
        <v>283</v>
      </c>
      <c r="L820" s="2" t="s">
        <v>284</v>
      </c>
      <c r="M820" s="2" t="s">
        <v>4574</v>
      </c>
      <c r="N820" s="2" t="s">
        <v>185</v>
      </c>
      <c r="O820" s="2" t="s">
        <v>28</v>
      </c>
      <c r="P820" s="2" t="s">
        <v>151</v>
      </c>
      <c r="Q820" s="2" t="s">
        <v>466</v>
      </c>
      <c r="R820" s="2">
        <v>3</v>
      </c>
      <c r="S820" s="2">
        <v>38626.120000000003</v>
      </c>
      <c r="T820" s="2">
        <v>0</v>
      </c>
      <c r="U820" s="2">
        <v>115878.36</v>
      </c>
      <c r="V820" s="2">
        <v>73616.350000000006</v>
      </c>
      <c r="W820" s="2">
        <v>42262.01</v>
      </c>
      <c r="X820" s="2">
        <v>36.47</v>
      </c>
      <c r="Y820" s="2">
        <v>49</v>
      </c>
      <c r="Z820" s="2" t="s">
        <v>48</v>
      </c>
      <c r="AA820" s="2" t="s">
        <v>186</v>
      </c>
      <c r="AB820" s="2" t="s">
        <v>101</v>
      </c>
      <c r="AC820" s="2"/>
    </row>
    <row r="821" spans="1:29" x14ac:dyDescent="0.3">
      <c r="A821" s="3" t="s">
        <v>4575</v>
      </c>
      <c r="B821" s="3" t="s">
        <v>4576</v>
      </c>
      <c r="C821" s="3" t="s">
        <v>502</v>
      </c>
      <c r="D821" s="3" t="s">
        <v>4577</v>
      </c>
      <c r="E821" s="3" t="s">
        <v>18</v>
      </c>
      <c r="F821" s="3" t="s">
        <v>4578</v>
      </c>
      <c r="G821" s="3" t="s">
        <v>3317</v>
      </c>
      <c r="H821" s="3" t="s">
        <v>3872</v>
      </c>
      <c r="I821" s="3">
        <v>6</v>
      </c>
      <c r="J821" s="3" t="s">
        <v>14</v>
      </c>
      <c r="K821" s="3" t="s">
        <v>171</v>
      </c>
      <c r="L821" s="3" t="s">
        <v>541</v>
      </c>
      <c r="M821" s="3" t="s">
        <v>4579</v>
      </c>
      <c r="N821" s="3" t="s">
        <v>150</v>
      </c>
      <c r="O821" s="3" t="s">
        <v>28</v>
      </c>
      <c r="P821" s="3" t="s">
        <v>151</v>
      </c>
      <c r="Q821" s="3" t="s">
        <v>127</v>
      </c>
      <c r="R821" s="3">
        <v>5</v>
      </c>
      <c r="S821" s="3">
        <v>37981.93</v>
      </c>
      <c r="T821" s="3">
        <v>30</v>
      </c>
      <c r="U821" s="3">
        <v>132936.75</v>
      </c>
      <c r="V821" s="3">
        <v>85939.54</v>
      </c>
      <c r="W821" s="3">
        <v>46997.21</v>
      </c>
      <c r="X821" s="3">
        <v>35.35</v>
      </c>
      <c r="Y821" s="3">
        <v>49</v>
      </c>
      <c r="Z821" s="3" t="s">
        <v>48</v>
      </c>
      <c r="AA821" s="3" t="s">
        <v>672</v>
      </c>
      <c r="AB821" s="3" t="s">
        <v>101</v>
      </c>
      <c r="AC821" s="3"/>
    </row>
    <row r="822" spans="1:29" x14ac:dyDescent="0.3">
      <c r="A822" s="2" t="s">
        <v>4580</v>
      </c>
      <c r="B822" s="2" t="s">
        <v>4581</v>
      </c>
      <c r="C822" s="2" t="s">
        <v>3848</v>
      </c>
      <c r="D822" s="2" t="s">
        <v>4582</v>
      </c>
      <c r="E822" s="2" t="s">
        <v>33</v>
      </c>
      <c r="F822" s="2" t="s">
        <v>1851</v>
      </c>
      <c r="G822" s="2" t="s">
        <v>556</v>
      </c>
      <c r="H822" s="2" t="s">
        <v>558</v>
      </c>
      <c r="I822" s="2">
        <v>8</v>
      </c>
      <c r="J822" s="2" t="s">
        <v>39</v>
      </c>
      <c r="K822" s="2" t="s">
        <v>193</v>
      </c>
      <c r="L822" s="2" t="s">
        <v>193</v>
      </c>
      <c r="M822" s="2" t="s">
        <v>3713</v>
      </c>
      <c r="N822" s="2" t="s">
        <v>399</v>
      </c>
      <c r="O822" s="2" t="s">
        <v>21</v>
      </c>
      <c r="P822" s="2" t="s">
        <v>196</v>
      </c>
      <c r="Q822" s="2" t="s">
        <v>127</v>
      </c>
      <c r="R822" s="2">
        <v>4</v>
      </c>
      <c r="S822" s="2">
        <v>34496.699999999997</v>
      </c>
      <c r="T822" s="2">
        <v>5</v>
      </c>
      <c r="U822" s="2">
        <v>131087.46</v>
      </c>
      <c r="V822" s="2">
        <v>59365.15</v>
      </c>
      <c r="W822" s="2">
        <v>71722.31</v>
      </c>
      <c r="X822" s="2">
        <v>54.71</v>
      </c>
      <c r="Y822" s="2">
        <v>149</v>
      </c>
      <c r="Z822" s="2" t="s">
        <v>47</v>
      </c>
      <c r="AA822" s="2" t="s">
        <v>100</v>
      </c>
      <c r="AB822" s="2" t="s">
        <v>101</v>
      </c>
      <c r="AC822" s="2">
        <v>5</v>
      </c>
    </row>
    <row r="823" spans="1:29" x14ac:dyDescent="0.3">
      <c r="A823" s="3" t="s">
        <v>4583</v>
      </c>
      <c r="B823" s="3" t="s">
        <v>4584</v>
      </c>
      <c r="C823" s="3" t="s">
        <v>1196</v>
      </c>
      <c r="D823" s="3" t="s">
        <v>4585</v>
      </c>
      <c r="E823" s="3" t="s">
        <v>42</v>
      </c>
      <c r="F823" s="3" t="s">
        <v>2354</v>
      </c>
      <c r="G823" s="3" t="s">
        <v>612</v>
      </c>
      <c r="H823" s="3" t="s">
        <v>3919</v>
      </c>
      <c r="I823" s="3">
        <v>6</v>
      </c>
      <c r="J823" s="3" t="s">
        <v>39</v>
      </c>
      <c r="K823" s="3" t="s">
        <v>314</v>
      </c>
      <c r="L823" s="3" t="s">
        <v>314</v>
      </c>
      <c r="M823" s="3" t="s">
        <v>4586</v>
      </c>
      <c r="N823" s="3" t="s">
        <v>475</v>
      </c>
      <c r="O823" s="3" t="s">
        <v>13</v>
      </c>
      <c r="P823" s="3" t="s">
        <v>228</v>
      </c>
      <c r="Q823" s="3" t="s">
        <v>197</v>
      </c>
      <c r="R823" s="3">
        <v>2</v>
      </c>
      <c r="S823" s="3">
        <v>38941.75</v>
      </c>
      <c r="T823" s="3">
        <v>10</v>
      </c>
      <c r="U823" s="3">
        <v>70095.149999999994</v>
      </c>
      <c r="V823" s="3">
        <v>47623.27</v>
      </c>
      <c r="W823" s="3">
        <v>22471.88</v>
      </c>
      <c r="X823" s="3">
        <v>32.06</v>
      </c>
      <c r="Y823" s="3">
        <v>199</v>
      </c>
      <c r="Z823" s="3" t="s">
        <v>43</v>
      </c>
      <c r="AA823" s="3" t="s">
        <v>100</v>
      </c>
      <c r="AB823" s="3" t="s">
        <v>101</v>
      </c>
      <c r="AC823" s="3">
        <v>3</v>
      </c>
    </row>
    <row r="824" spans="1:29" x14ac:dyDescent="0.3">
      <c r="A824" s="2" t="s">
        <v>4587</v>
      </c>
      <c r="B824" s="2" t="s">
        <v>4588</v>
      </c>
      <c r="C824" s="2" t="s">
        <v>586</v>
      </c>
      <c r="D824" s="2" t="s">
        <v>4589</v>
      </c>
      <c r="E824" s="2" t="s">
        <v>26</v>
      </c>
      <c r="F824" s="2" t="s">
        <v>2568</v>
      </c>
      <c r="G824" s="2" t="s">
        <v>1957</v>
      </c>
      <c r="H824" s="2" t="s">
        <v>1667</v>
      </c>
      <c r="I824" s="2">
        <v>6</v>
      </c>
      <c r="J824" s="2" t="s">
        <v>22</v>
      </c>
      <c r="K824" s="2" t="s">
        <v>283</v>
      </c>
      <c r="L824" s="2" t="s">
        <v>284</v>
      </c>
      <c r="M824" s="2" t="s">
        <v>4590</v>
      </c>
      <c r="N824" s="2" t="s">
        <v>185</v>
      </c>
      <c r="O824" s="2" t="s">
        <v>28</v>
      </c>
      <c r="P824" s="2" t="s">
        <v>151</v>
      </c>
      <c r="Q824" s="2" t="s">
        <v>355</v>
      </c>
      <c r="R824" s="2">
        <v>3</v>
      </c>
      <c r="S824" s="2">
        <v>49529.11</v>
      </c>
      <c r="T824" s="2">
        <v>5</v>
      </c>
      <c r="U824" s="2">
        <v>141157.96</v>
      </c>
      <c r="V824" s="2">
        <v>74485.929999999993</v>
      </c>
      <c r="W824" s="2">
        <v>66672.03</v>
      </c>
      <c r="X824" s="2">
        <v>47.23</v>
      </c>
      <c r="Y824" s="2">
        <v>99</v>
      </c>
      <c r="Z824" s="2" t="s">
        <v>30</v>
      </c>
      <c r="AA824" s="2" t="s">
        <v>100</v>
      </c>
      <c r="AB824" s="2" t="s">
        <v>101</v>
      </c>
      <c r="AC824" s="2">
        <v>3</v>
      </c>
    </row>
    <row r="825" spans="1:29" x14ac:dyDescent="0.3">
      <c r="A825" s="3" t="s">
        <v>4591</v>
      </c>
      <c r="B825" s="3" t="s">
        <v>4592</v>
      </c>
      <c r="C825" s="3" t="s">
        <v>847</v>
      </c>
      <c r="D825" s="3" t="s">
        <v>4593</v>
      </c>
      <c r="E825" s="3" t="s">
        <v>33</v>
      </c>
      <c r="F825" s="3" t="s">
        <v>2841</v>
      </c>
      <c r="G825" s="3" t="s">
        <v>2685</v>
      </c>
      <c r="H825" s="3" t="s">
        <v>3005</v>
      </c>
      <c r="I825" s="3">
        <v>2</v>
      </c>
      <c r="J825" s="3" t="s">
        <v>22</v>
      </c>
      <c r="K825" s="3" t="s">
        <v>283</v>
      </c>
      <c r="L825" s="3" t="s">
        <v>1346</v>
      </c>
      <c r="M825" s="3" t="s">
        <v>4594</v>
      </c>
      <c r="N825" s="3" t="s">
        <v>592</v>
      </c>
      <c r="O825" s="3" t="s">
        <v>21</v>
      </c>
      <c r="P825" s="3" t="s">
        <v>206</v>
      </c>
      <c r="Q825" s="3" t="s">
        <v>608</v>
      </c>
      <c r="R825" s="3">
        <v>5</v>
      </c>
      <c r="S825" s="3">
        <v>26195.61</v>
      </c>
      <c r="T825" s="3">
        <v>25</v>
      </c>
      <c r="U825" s="3">
        <v>98233.54</v>
      </c>
      <c r="V825" s="3">
        <v>47083.9</v>
      </c>
      <c r="W825" s="3">
        <v>51149.64</v>
      </c>
      <c r="X825" s="3">
        <v>52.07</v>
      </c>
      <c r="Y825" s="3">
        <v>49</v>
      </c>
      <c r="Z825" s="3" t="s">
        <v>30</v>
      </c>
      <c r="AA825" s="3" t="s">
        <v>100</v>
      </c>
      <c r="AB825" s="3" t="s">
        <v>101</v>
      </c>
      <c r="AC825" s="3"/>
    </row>
    <row r="826" spans="1:29" x14ac:dyDescent="0.3">
      <c r="A826" s="2" t="s">
        <v>4595</v>
      </c>
      <c r="B826" s="2" t="s">
        <v>4596</v>
      </c>
      <c r="C826" s="2" t="s">
        <v>1253</v>
      </c>
      <c r="D826" s="2" t="s">
        <v>4597</v>
      </c>
      <c r="E826" s="2" t="s">
        <v>18</v>
      </c>
      <c r="F826" s="2" t="s">
        <v>352</v>
      </c>
      <c r="G826" s="2" t="s">
        <v>969</v>
      </c>
      <c r="H826" s="2" t="s">
        <v>506</v>
      </c>
      <c r="I826" s="2">
        <v>2</v>
      </c>
      <c r="J826" s="2" t="s">
        <v>22</v>
      </c>
      <c r="K826" s="2" t="s">
        <v>738</v>
      </c>
      <c r="L826" s="2" t="s">
        <v>738</v>
      </c>
      <c r="M826" s="2" t="s">
        <v>4598</v>
      </c>
      <c r="N826" s="2" t="s">
        <v>266</v>
      </c>
      <c r="O826" s="2" t="s">
        <v>28</v>
      </c>
      <c r="P826" s="2" t="s">
        <v>151</v>
      </c>
      <c r="Q826" s="2" t="s">
        <v>114</v>
      </c>
      <c r="R826" s="2">
        <v>3</v>
      </c>
      <c r="S826" s="2">
        <v>44311.61</v>
      </c>
      <c r="T826" s="2">
        <v>5</v>
      </c>
      <c r="U826" s="2">
        <v>126288.09</v>
      </c>
      <c r="V826" s="2">
        <v>81414.97</v>
      </c>
      <c r="W826" s="2">
        <v>44873.120000000003</v>
      </c>
      <c r="X826" s="2">
        <v>35.53</v>
      </c>
      <c r="Y826" s="2">
        <v>0</v>
      </c>
      <c r="Z826" s="2" t="s">
        <v>48</v>
      </c>
      <c r="AA826" s="2" t="s">
        <v>100</v>
      </c>
      <c r="AB826" s="2" t="s">
        <v>101</v>
      </c>
      <c r="AC826" s="2">
        <v>2</v>
      </c>
    </row>
    <row r="827" spans="1:29" x14ac:dyDescent="0.3">
      <c r="A827" s="3" t="s">
        <v>4599</v>
      </c>
      <c r="B827" s="3" t="s">
        <v>4600</v>
      </c>
      <c r="C827" s="3" t="s">
        <v>952</v>
      </c>
      <c r="D827" s="3" t="s">
        <v>4601</v>
      </c>
      <c r="E827" s="3" t="s">
        <v>18</v>
      </c>
      <c r="F827" s="3" t="s">
        <v>3927</v>
      </c>
      <c r="G827" s="3" t="s">
        <v>2006</v>
      </c>
      <c r="H827" s="3" t="s">
        <v>3406</v>
      </c>
      <c r="I827" s="3">
        <v>4</v>
      </c>
      <c r="J827" s="3" t="s">
        <v>39</v>
      </c>
      <c r="K827" s="3" t="s">
        <v>109</v>
      </c>
      <c r="L827" s="3" t="s">
        <v>344</v>
      </c>
      <c r="M827" s="3" t="s">
        <v>4602</v>
      </c>
      <c r="N827" s="3" t="s">
        <v>364</v>
      </c>
      <c r="O827" s="3" t="s">
        <v>19</v>
      </c>
      <c r="P827" s="3" t="s">
        <v>365</v>
      </c>
      <c r="Q827" s="3" t="s">
        <v>608</v>
      </c>
      <c r="R827" s="3">
        <v>3</v>
      </c>
      <c r="S827" s="3">
        <v>22458.3</v>
      </c>
      <c r="T827" s="3">
        <v>25</v>
      </c>
      <c r="U827" s="3">
        <v>50531.17</v>
      </c>
      <c r="V827" s="3">
        <v>25178.12</v>
      </c>
      <c r="W827" s="3">
        <v>25353.05</v>
      </c>
      <c r="X827" s="3">
        <v>50.17</v>
      </c>
      <c r="Y827" s="3">
        <v>199</v>
      </c>
      <c r="Z827" s="3" t="s">
        <v>30</v>
      </c>
      <c r="AA827" s="3" t="s">
        <v>100</v>
      </c>
      <c r="AB827" s="3" t="s">
        <v>101</v>
      </c>
      <c r="AC827" s="3">
        <v>1</v>
      </c>
    </row>
    <row r="828" spans="1:29" x14ac:dyDescent="0.3">
      <c r="A828" s="2" t="s">
        <v>4603</v>
      </c>
      <c r="B828" s="2" t="s">
        <v>4604</v>
      </c>
      <c r="C828" s="2" t="s">
        <v>3547</v>
      </c>
      <c r="D828" s="2" t="s">
        <v>4605</v>
      </c>
      <c r="E828" s="2" t="s">
        <v>42</v>
      </c>
      <c r="F828" s="2" t="s">
        <v>386</v>
      </c>
      <c r="G828" s="2" t="s">
        <v>387</v>
      </c>
      <c r="H828" s="2" t="s">
        <v>2259</v>
      </c>
      <c r="I828" s="2">
        <v>8</v>
      </c>
      <c r="J828" s="2" t="s">
        <v>14</v>
      </c>
      <c r="K828" s="2" t="s">
        <v>712</v>
      </c>
      <c r="L828" s="2" t="s">
        <v>712</v>
      </c>
      <c r="M828" s="2" t="s">
        <v>4606</v>
      </c>
      <c r="N828" s="2" t="s">
        <v>256</v>
      </c>
      <c r="O828" s="2" t="s">
        <v>27</v>
      </c>
      <c r="P828" s="2" t="s">
        <v>257</v>
      </c>
      <c r="Q828" s="2" t="s">
        <v>218</v>
      </c>
      <c r="R828" s="2">
        <v>1</v>
      </c>
      <c r="S828" s="2">
        <v>24215.37</v>
      </c>
      <c r="T828" s="2">
        <v>25</v>
      </c>
      <c r="U828" s="2">
        <v>18161.53</v>
      </c>
      <c r="V828" s="2">
        <v>8963.8799999999992</v>
      </c>
      <c r="W828" s="2">
        <v>9197.65</v>
      </c>
      <c r="X828" s="2">
        <v>50.64</v>
      </c>
      <c r="Y828" s="2">
        <v>99</v>
      </c>
      <c r="Z828" s="2" t="s">
        <v>43</v>
      </c>
      <c r="AA828" s="2" t="s">
        <v>186</v>
      </c>
      <c r="AB828" s="2" t="s">
        <v>101</v>
      </c>
      <c r="AC828" s="2"/>
    </row>
    <row r="829" spans="1:29" x14ac:dyDescent="0.3">
      <c r="A829" s="3" t="s">
        <v>4607</v>
      </c>
      <c r="B829" s="3" t="s">
        <v>4608</v>
      </c>
      <c r="C829" s="3" t="s">
        <v>1885</v>
      </c>
      <c r="D829" s="3" t="s">
        <v>4609</v>
      </c>
      <c r="E829" s="3" t="s">
        <v>26</v>
      </c>
      <c r="F829" s="3" t="s">
        <v>362</v>
      </c>
      <c r="G829" s="3" t="s">
        <v>3296</v>
      </c>
      <c r="H829" s="3" t="s">
        <v>2182</v>
      </c>
      <c r="I829" s="3">
        <v>7</v>
      </c>
      <c r="J829" s="3" t="s">
        <v>29</v>
      </c>
      <c r="K829" s="3" t="s">
        <v>427</v>
      </c>
      <c r="L829" s="3" t="s">
        <v>428</v>
      </c>
      <c r="M829" s="3" t="s">
        <v>4610</v>
      </c>
      <c r="N829" s="3" t="s">
        <v>704</v>
      </c>
      <c r="O829" s="3" t="s">
        <v>13</v>
      </c>
      <c r="P829" s="3" t="s">
        <v>419</v>
      </c>
      <c r="Q829" s="3" t="s">
        <v>114</v>
      </c>
      <c r="R829" s="3">
        <v>4</v>
      </c>
      <c r="S829" s="3">
        <v>47302.14</v>
      </c>
      <c r="T829" s="3">
        <v>30</v>
      </c>
      <c r="U829" s="3">
        <v>132445.99</v>
      </c>
      <c r="V829" s="3">
        <v>89049.74</v>
      </c>
      <c r="W829" s="3">
        <v>43396.25</v>
      </c>
      <c r="X829" s="3">
        <v>32.770000000000003</v>
      </c>
      <c r="Y829" s="3">
        <v>149</v>
      </c>
      <c r="Z829" s="3" t="s">
        <v>30</v>
      </c>
      <c r="AA829" s="3" t="s">
        <v>100</v>
      </c>
      <c r="AB829" s="3" t="s">
        <v>101</v>
      </c>
      <c r="AC829" s="3">
        <v>3</v>
      </c>
    </row>
    <row r="830" spans="1:29" x14ac:dyDescent="0.3">
      <c r="A830" s="2" t="s">
        <v>4611</v>
      </c>
      <c r="B830" s="2" t="s">
        <v>4612</v>
      </c>
      <c r="C830" s="2" t="s">
        <v>450</v>
      </c>
      <c r="D830" s="2" t="s">
        <v>4613</v>
      </c>
      <c r="E830" s="2" t="s">
        <v>33</v>
      </c>
      <c r="F830" s="2" t="s">
        <v>3286</v>
      </c>
      <c r="G830" s="2" t="s">
        <v>461</v>
      </c>
      <c r="H830" s="2" t="s">
        <v>4614</v>
      </c>
      <c r="I830" s="2">
        <v>4</v>
      </c>
      <c r="J830" s="2" t="s">
        <v>14</v>
      </c>
      <c r="K830" s="2" t="s">
        <v>171</v>
      </c>
      <c r="L830" s="2" t="s">
        <v>407</v>
      </c>
      <c r="M830" s="2" t="s">
        <v>3722</v>
      </c>
      <c r="N830" s="2" t="s">
        <v>256</v>
      </c>
      <c r="O830" s="2" t="s">
        <v>27</v>
      </c>
      <c r="P830" s="2" t="s">
        <v>257</v>
      </c>
      <c r="Q830" s="2" t="s">
        <v>246</v>
      </c>
      <c r="R830" s="2">
        <v>2</v>
      </c>
      <c r="S830" s="2">
        <v>32968.120000000003</v>
      </c>
      <c r="T830" s="2">
        <v>20</v>
      </c>
      <c r="U830" s="2">
        <v>52748.99</v>
      </c>
      <c r="V830" s="2">
        <v>36522.65</v>
      </c>
      <c r="W830" s="2">
        <v>16226.34</v>
      </c>
      <c r="X830" s="2">
        <v>30.76</v>
      </c>
      <c r="Y830" s="2">
        <v>199</v>
      </c>
      <c r="Z830" s="2" t="s">
        <v>30</v>
      </c>
      <c r="AA830" s="2" t="s">
        <v>100</v>
      </c>
      <c r="AB830" s="2" t="s">
        <v>101</v>
      </c>
      <c r="AC830" s="2">
        <v>4</v>
      </c>
    </row>
    <row r="831" spans="1:29" x14ac:dyDescent="0.3">
      <c r="A831" s="3" t="s">
        <v>4615</v>
      </c>
      <c r="B831" s="3" t="s">
        <v>4616</v>
      </c>
      <c r="C831" s="3" t="s">
        <v>4617</v>
      </c>
      <c r="D831" s="3" t="s">
        <v>4618</v>
      </c>
      <c r="E831" s="3" t="s">
        <v>18</v>
      </c>
      <c r="F831" s="3" t="s">
        <v>1719</v>
      </c>
      <c r="G831" s="3" t="s">
        <v>4619</v>
      </c>
      <c r="H831" s="3" t="s">
        <v>1679</v>
      </c>
      <c r="I831" s="3">
        <v>8</v>
      </c>
      <c r="J831" s="3" t="s">
        <v>22</v>
      </c>
      <c r="K831" s="3" t="s">
        <v>738</v>
      </c>
      <c r="L831" s="3" t="s">
        <v>738</v>
      </c>
      <c r="M831" s="3" t="s">
        <v>4620</v>
      </c>
      <c r="N831" s="3" t="s">
        <v>1122</v>
      </c>
      <c r="O831" s="3" t="s">
        <v>27</v>
      </c>
      <c r="P831" s="3" t="s">
        <v>257</v>
      </c>
      <c r="Q831" s="3" t="s">
        <v>509</v>
      </c>
      <c r="R831" s="3">
        <v>4</v>
      </c>
      <c r="S831" s="3">
        <v>44702.9</v>
      </c>
      <c r="T831" s="3">
        <v>0</v>
      </c>
      <c r="U831" s="3">
        <v>178811.6</v>
      </c>
      <c r="V831" s="3">
        <v>117859.28</v>
      </c>
      <c r="W831" s="3">
        <v>60952.32</v>
      </c>
      <c r="X831" s="3">
        <v>34.090000000000003</v>
      </c>
      <c r="Y831" s="3">
        <v>99</v>
      </c>
      <c r="Z831" s="3" t="s">
        <v>43</v>
      </c>
      <c r="AA831" s="3" t="s">
        <v>186</v>
      </c>
      <c r="AB831" s="3" t="s">
        <v>101</v>
      </c>
      <c r="AC831" s="3"/>
    </row>
    <row r="832" spans="1:29" x14ac:dyDescent="0.3">
      <c r="A832" s="2" t="s">
        <v>4621</v>
      </c>
      <c r="B832" s="2" t="s">
        <v>4622</v>
      </c>
      <c r="C832" s="2" t="s">
        <v>412</v>
      </c>
      <c r="D832" s="2" t="s">
        <v>4623</v>
      </c>
      <c r="E832" s="2" t="s">
        <v>26</v>
      </c>
      <c r="F832" s="2" t="s">
        <v>1616</v>
      </c>
      <c r="G832" s="2" t="s">
        <v>938</v>
      </c>
      <c r="H832" s="2" t="s">
        <v>1079</v>
      </c>
      <c r="I832" s="2">
        <v>7</v>
      </c>
      <c r="J832" s="2" t="s">
        <v>29</v>
      </c>
      <c r="K832" s="2" t="s">
        <v>148</v>
      </c>
      <c r="L832" s="2" t="s">
        <v>148</v>
      </c>
      <c r="M832" s="2" t="s">
        <v>4624</v>
      </c>
      <c r="N832" s="2" t="s">
        <v>316</v>
      </c>
      <c r="O832" s="2" t="s">
        <v>28</v>
      </c>
      <c r="P832" s="2" t="s">
        <v>137</v>
      </c>
      <c r="Q832" s="2" t="s">
        <v>608</v>
      </c>
      <c r="R832" s="2">
        <v>4</v>
      </c>
      <c r="S832" s="2">
        <v>36550.870000000003</v>
      </c>
      <c r="T832" s="2">
        <v>20</v>
      </c>
      <c r="U832" s="2">
        <v>116962.78</v>
      </c>
      <c r="V832" s="2">
        <v>56695.360000000001</v>
      </c>
      <c r="W832" s="2">
        <v>60267.42</v>
      </c>
      <c r="X832" s="2">
        <v>51.53</v>
      </c>
      <c r="Y832" s="2">
        <v>49</v>
      </c>
      <c r="Z832" s="2" t="s">
        <v>15</v>
      </c>
      <c r="AA832" s="2" t="s">
        <v>100</v>
      </c>
      <c r="AB832" s="2" t="s">
        <v>140</v>
      </c>
      <c r="AC832" s="2">
        <v>1</v>
      </c>
    </row>
    <row r="833" spans="1:29" x14ac:dyDescent="0.3">
      <c r="A833" s="3" t="s">
        <v>4625</v>
      </c>
      <c r="B833" s="3" t="s">
        <v>4626</v>
      </c>
      <c r="C833" s="3" t="s">
        <v>1217</v>
      </c>
      <c r="D833" s="3" t="s">
        <v>4627</v>
      </c>
      <c r="E833" s="3" t="s">
        <v>18</v>
      </c>
      <c r="F833" s="3" t="s">
        <v>2371</v>
      </c>
      <c r="G833" s="3" t="s">
        <v>2120</v>
      </c>
      <c r="H833" s="3" t="s">
        <v>4628</v>
      </c>
      <c r="I833" s="3">
        <v>5</v>
      </c>
      <c r="J833" s="3" t="s">
        <v>22</v>
      </c>
      <c r="K833" s="3" t="s">
        <v>254</v>
      </c>
      <c r="L833" s="3" t="s">
        <v>254</v>
      </c>
      <c r="M833" s="3" t="s">
        <v>4629</v>
      </c>
      <c r="N833" s="3" t="s">
        <v>364</v>
      </c>
      <c r="O833" s="3" t="s">
        <v>19</v>
      </c>
      <c r="P833" s="3" t="s">
        <v>365</v>
      </c>
      <c r="Q833" s="3" t="s">
        <v>127</v>
      </c>
      <c r="R833" s="3">
        <v>2</v>
      </c>
      <c r="S833" s="3">
        <v>38690.660000000003</v>
      </c>
      <c r="T833" s="3">
        <v>5</v>
      </c>
      <c r="U833" s="3">
        <v>73512.25</v>
      </c>
      <c r="V833" s="3">
        <v>46255.62</v>
      </c>
      <c r="W833" s="3">
        <v>27256.63</v>
      </c>
      <c r="X833" s="3">
        <v>37.08</v>
      </c>
      <c r="Y833" s="3">
        <v>29</v>
      </c>
      <c r="Z833" s="3" t="s">
        <v>23</v>
      </c>
      <c r="AA833" s="3" t="s">
        <v>100</v>
      </c>
      <c r="AB833" s="3" t="s">
        <v>101</v>
      </c>
      <c r="AC833" s="3"/>
    </row>
    <row r="834" spans="1:29" x14ac:dyDescent="0.3">
      <c r="A834" s="2" t="s">
        <v>4630</v>
      </c>
      <c r="B834" s="2" t="s">
        <v>4631</v>
      </c>
      <c r="C834" s="2" t="s">
        <v>1045</v>
      </c>
      <c r="D834" s="2" t="s">
        <v>4632</v>
      </c>
      <c r="E834" s="2" t="s">
        <v>42</v>
      </c>
      <c r="F834" s="2" t="s">
        <v>3201</v>
      </c>
      <c r="G834" s="2" t="s">
        <v>4633</v>
      </c>
      <c r="H834" s="2" t="s">
        <v>4132</v>
      </c>
      <c r="I834" s="2">
        <v>2</v>
      </c>
      <c r="J834" s="2" t="s">
        <v>22</v>
      </c>
      <c r="K834" s="2" t="s">
        <v>738</v>
      </c>
      <c r="L834" s="2" t="s">
        <v>738</v>
      </c>
      <c r="M834" s="2" t="s">
        <v>2419</v>
      </c>
      <c r="N834" s="2" t="s">
        <v>1380</v>
      </c>
      <c r="O834" s="2" t="s">
        <v>28</v>
      </c>
      <c r="P834" s="2" t="s">
        <v>137</v>
      </c>
      <c r="Q834" s="2" t="s">
        <v>138</v>
      </c>
      <c r="R834" s="2">
        <v>2</v>
      </c>
      <c r="S834" s="2">
        <v>6388.85</v>
      </c>
      <c r="T834" s="2">
        <v>20</v>
      </c>
      <c r="U834" s="2">
        <v>10222.16</v>
      </c>
      <c r="V834" s="2">
        <v>7000.74</v>
      </c>
      <c r="W834" s="2">
        <v>3221.42</v>
      </c>
      <c r="X834" s="2">
        <v>31.51</v>
      </c>
      <c r="Y834" s="2">
        <v>49</v>
      </c>
      <c r="Z834" s="2" t="s">
        <v>23</v>
      </c>
      <c r="AA834" s="2" t="s">
        <v>100</v>
      </c>
      <c r="AB834" s="2" t="s">
        <v>101</v>
      </c>
      <c r="AC834" s="2">
        <v>4</v>
      </c>
    </row>
    <row r="835" spans="1:29" x14ac:dyDescent="0.3">
      <c r="A835" s="3" t="s">
        <v>4634</v>
      </c>
      <c r="B835" s="3" t="s">
        <v>4635</v>
      </c>
      <c r="C835" s="3" t="s">
        <v>1590</v>
      </c>
      <c r="D835" s="3" t="s">
        <v>4636</v>
      </c>
      <c r="E835" s="3" t="s">
        <v>33</v>
      </c>
      <c r="F835" s="3" t="s">
        <v>2996</v>
      </c>
      <c r="G835" s="3" t="s">
        <v>3914</v>
      </c>
      <c r="H835" s="3" t="s">
        <v>1033</v>
      </c>
      <c r="I835" s="3">
        <v>5</v>
      </c>
      <c r="J835" s="3" t="s">
        <v>22</v>
      </c>
      <c r="K835" s="3" t="s">
        <v>443</v>
      </c>
      <c r="L835" s="3" t="s">
        <v>498</v>
      </c>
      <c r="M835" s="3" t="s">
        <v>4637</v>
      </c>
      <c r="N835" s="3" t="s">
        <v>1603</v>
      </c>
      <c r="O835" s="3" t="s">
        <v>19</v>
      </c>
      <c r="P835" s="3" t="s">
        <v>365</v>
      </c>
      <c r="Q835" s="3" t="s">
        <v>99</v>
      </c>
      <c r="R835" s="3">
        <v>2</v>
      </c>
      <c r="S835" s="3">
        <v>4080.31</v>
      </c>
      <c r="T835" s="3">
        <v>10</v>
      </c>
      <c r="U835" s="3">
        <v>7344.56</v>
      </c>
      <c r="V835" s="3">
        <v>3938.04</v>
      </c>
      <c r="W835" s="3">
        <v>3406.52</v>
      </c>
      <c r="X835" s="3">
        <v>46.38</v>
      </c>
      <c r="Y835" s="3">
        <v>49</v>
      </c>
      <c r="Z835" s="3" t="s">
        <v>30</v>
      </c>
      <c r="AA835" s="3" t="s">
        <v>100</v>
      </c>
      <c r="AB835" s="3" t="s">
        <v>101</v>
      </c>
      <c r="AC835" s="3">
        <v>4</v>
      </c>
    </row>
    <row r="836" spans="1:29" x14ac:dyDescent="0.3">
      <c r="A836" s="2" t="s">
        <v>4638</v>
      </c>
      <c r="B836" s="2" t="s">
        <v>4639</v>
      </c>
      <c r="C836" s="2" t="s">
        <v>2460</v>
      </c>
      <c r="D836" s="2" t="s">
        <v>4640</v>
      </c>
      <c r="E836" s="2" t="s">
        <v>18</v>
      </c>
      <c r="F836" s="2" t="s">
        <v>1413</v>
      </c>
      <c r="G836" s="2" t="s">
        <v>2002</v>
      </c>
      <c r="H836" s="2" t="s">
        <v>3069</v>
      </c>
      <c r="I836" s="2">
        <v>3</v>
      </c>
      <c r="J836" s="2" t="s">
        <v>29</v>
      </c>
      <c r="K836" s="2" t="s">
        <v>427</v>
      </c>
      <c r="L836" s="2" t="s">
        <v>1081</v>
      </c>
      <c r="M836" s="2" t="s">
        <v>4641</v>
      </c>
      <c r="N836" s="2" t="s">
        <v>97</v>
      </c>
      <c r="O836" s="2" t="s">
        <v>13</v>
      </c>
      <c r="P836" s="2" t="s">
        <v>98</v>
      </c>
      <c r="Q836" s="2" t="s">
        <v>138</v>
      </c>
      <c r="R836" s="2">
        <v>1</v>
      </c>
      <c r="S836" s="2">
        <v>10957.99</v>
      </c>
      <c r="T836" s="2">
        <v>10</v>
      </c>
      <c r="U836" s="2">
        <v>9862.19</v>
      </c>
      <c r="V836" s="2">
        <v>5708.01</v>
      </c>
      <c r="W836" s="2">
        <v>4154.18</v>
      </c>
      <c r="X836" s="2">
        <v>42.12</v>
      </c>
      <c r="Y836" s="2">
        <v>49</v>
      </c>
      <c r="Z836" s="2" t="s">
        <v>48</v>
      </c>
      <c r="AA836" s="2" t="s">
        <v>186</v>
      </c>
      <c r="AB836" s="2" t="s">
        <v>101</v>
      </c>
      <c r="AC836" s="2"/>
    </row>
    <row r="837" spans="1:29" x14ac:dyDescent="0.3">
      <c r="A837" s="3" t="s">
        <v>4642</v>
      </c>
      <c r="B837" s="3" t="s">
        <v>4643</v>
      </c>
      <c r="C837" s="3" t="s">
        <v>2339</v>
      </c>
      <c r="D837" s="3" t="s">
        <v>4644</v>
      </c>
      <c r="E837" s="3" t="s">
        <v>26</v>
      </c>
      <c r="F837" s="3" t="s">
        <v>770</v>
      </c>
      <c r="G837" s="3" t="s">
        <v>2328</v>
      </c>
      <c r="H837" s="3" t="s">
        <v>2022</v>
      </c>
      <c r="I837" s="3">
        <v>6</v>
      </c>
      <c r="J837" s="3" t="s">
        <v>39</v>
      </c>
      <c r="K837" s="3" t="s">
        <v>109</v>
      </c>
      <c r="L837" s="3" t="s">
        <v>344</v>
      </c>
      <c r="M837" s="3" t="s">
        <v>4645</v>
      </c>
      <c r="N837" s="3" t="s">
        <v>136</v>
      </c>
      <c r="O837" s="3" t="s">
        <v>28</v>
      </c>
      <c r="P837" s="3" t="s">
        <v>137</v>
      </c>
      <c r="Q837" s="3" t="s">
        <v>608</v>
      </c>
      <c r="R837" s="3">
        <v>4</v>
      </c>
      <c r="S837" s="3">
        <v>24401.200000000001</v>
      </c>
      <c r="T837" s="3">
        <v>15</v>
      </c>
      <c r="U837" s="3">
        <v>82964.08</v>
      </c>
      <c r="V837" s="3">
        <v>52820.43</v>
      </c>
      <c r="W837" s="3">
        <v>30143.65</v>
      </c>
      <c r="X837" s="3">
        <v>36.33</v>
      </c>
      <c r="Y837" s="3">
        <v>99</v>
      </c>
      <c r="Z837" s="3" t="s">
        <v>23</v>
      </c>
      <c r="AA837" s="3" t="s">
        <v>100</v>
      </c>
      <c r="AB837" s="3" t="s">
        <v>101</v>
      </c>
      <c r="AC837" s="3">
        <v>5</v>
      </c>
    </row>
    <row r="838" spans="1:29" x14ac:dyDescent="0.3">
      <c r="A838" s="2" t="s">
        <v>4646</v>
      </c>
      <c r="B838" s="2" t="s">
        <v>4647</v>
      </c>
      <c r="C838" s="2" t="s">
        <v>1131</v>
      </c>
      <c r="D838" s="2" t="s">
        <v>3997</v>
      </c>
      <c r="E838" s="2" t="s">
        <v>18</v>
      </c>
      <c r="F838" s="2" t="s">
        <v>1147</v>
      </c>
      <c r="G838" s="2" t="s">
        <v>2785</v>
      </c>
      <c r="H838" s="2" t="s">
        <v>1148</v>
      </c>
      <c r="I838" s="2">
        <v>5</v>
      </c>
      <c r="J838" s="2" t="s">
        <v>14</v>
      </c>
      <c r="K838" s="2" t="s">
        <v>95</v>
      </c>
      <c r="L838" s="2" t="s">
        <v>95</v>
      </c>
      <c r="M838" s="2" t="s">
        <v>4648</v>
      </c>
      <c r="N838" s="2" t="s">
        <v>1188</v>
      </c>
      <c r="O838" s="2" t="s">
        <v>27</v>
      </c>
      <c r="P838" s="2" t="s">
        <v>257</v>
      </c>
      <c r="Q838" s="2" t="s">
        <v>509</v>
      </c>
      <c r="R838" s="2">
        <v>2</v>
      </c>
      <c r="S838" s="2">
        <v>26731.599999999999</v>
      </c>
      <c r="T838" s="2">
        <v>25</v>
      </c>
      <c r="U838" s="2">
        <v>40097.4</v>
      </c>
      <c r="V838" s="2">
        <v>23979.43</v>
      </c>
      <c r="W838" s="2">
        <v>16117.97</v>
      </c>
      <c r="X838" s="2">
        <v>40.200000000000003</v>
      </c>
      <c r="Y838" s="2">
        <v>49</v>
      </c>
      <c r="Z838" s="2" t="s">
        <v>43</v>
      </c>
      <c r="AA838" s="2" t="s">
        <v>100</v>
      </c>
      <c r="AB838" s="2" t="s">
        <v>101</v>
      </c>
      <c r="AC838" s="2"/>
    </row>
    <row r="839" spans="1:29" x14ac:dyDescent="0.3">
      <c r="A839" s="3" t="s">
        <v>4649</v>
      </c>
      <c r="B839" s="3" t="s">
        <v>4650</v>
      </c>
      <c r="C839" s="3" t="s">
        <v>3903</v>
      </c>
      <c r="D839" s="3" t="s">
        <v>4651</v>
      </c>
      <c r="E839" s="3" t="s">
        <v>42</v>
      </c>
      <c r="F839" s="3" t="s">
        <v>961</v>
      </c>
      <c r="G839" s="3" t="s">
        <v>406</v>
      </c>
      <c r="H839" s="3" t="s">
        <v>497</v>
      </c>
      <c r="I839" s="3">
        <v>4</v>
      </c>
      <c r="J839" s="3" t="s">
        <v>22</v>
      </c>
      <c r="K839" s="3" t="s">
        <v>254</v>
      </c>
      <c r="L839" s="3" t="s">
        <v>254</v>
      </c>
      <c r="M839" s="3" t="s">
        <v>4652</v>
      </c>
      <c r="N839" s="3" t="s">
        <v>364</v>
      </c>
      <c r="O839" s="3" t="s">
        <v>19</v>
      </c>
      <c r="P839" s="3" t="s">
        <v>365</v>
      </c>
      <c r="Q839" s="3" t="s">
        <v>400</v>
      </c>
      <c r="R839" s="3">
        <v>5</v>
      </c>
      <c r="S839" s="3">
        <v>39888.639999999999</v>
      </c>
      <c r="T839" s="3">
        <v>10</v>
      </c>
      <c r="U839" s="3">
        <v>179498.88</v>
      </c>
      <c r="V839" s="3">
        <v>87876.94</v>
      </c>
      <c r="W839" s="3">
        <v>91621.94</v>
      </c>
      <c r="X839" s="3">
        <v>51.04</v>
      </c>
      <c r="Y839" s="3">
        <v>49</v>
      </c>
      <c r="Z839" s="3" t="s">
        <v>43</v>
      </c>
      <c r="AA839" s="3" t="s">
        <v>100</v>
      </c>
      <c r="AB839" s="3" t="s">
        <v>101</v>
      </c>
      <c r="AC839" s="3">
        <v>1</v>
      </c>
    </row>
    <row r="840" spans="1:29" x14ac:dyDescent="0.3">
      <c r="A840" s="2" t="s">
        <v>4653</v>
      </c>
      <c r="B840" s="2" t="s">
        <v>4654</v>
      </c>
      <c r="C840" s="2" t="s">
        <v>912</v>
      </c>
      <c r="D840" s="2" t="s">
        <v>4655</v>
      </c>
      <c r="E840" s="2" t="s">
        <v>18</v>
      </c>
      <c r="F840" s="2" t="s">
        <v>1914</v>
      </c>
      <c r="G840" s="2" t="s">
        <v>635</v>
      </c>
      <c r="H840" s="2" t="s">
        <v>1197</v>
      </c>
      <c r="I840" s="2">
        <v>2</v>
      </c>
      <c r="J840" s="2" t="s">
        <v>22</v>
      </c>
      <c r="K840" s="2" t="s">
        <v>283</v>
      </c>
      <c r="L840" s="2" t="s">
        <v>1346</v>
      </c>
      <c r="M840" s="2" t="s">
        <v>2699</v>
      </c>
      <c r="N840" s="2" t="s">
        <v>600</v>
      </c>
      <c r="O840" s="2" t="s">
        <v>27</v>
      </c>
      <c r="P840" s="2" t="s">
        <v>175</v>
      </c>
      <c r="Q840" s="2" t="s">
        <v>197</v>
      </c>
      <c r="R840" s="2">
        <v>4</v>
      </c>
      <c r="S840" s="2">
        <v>22760.880000000001</v>
      </c>
      <c r="T840" s="2">
        <v>30</v>
      </c>
      <c r="U840" s="2">
        <v>63730.46</v>
      </c>
      <c r="V840" s="2">
        <v>33367.449999999997</v>
      </c>
      <c r="W840" s="2">
        <v>30363.01</v>
      </c>
      <c r="X840" s="2">
        <v>47.64</v>
      </c>
      <c r="Y840" s="2">
        <v>29</v>
      </c>
      <c r="Z840" s="2" t="s">
        <v>43</v>
      </c>
      <c r="AA840" s="2" t="s">
        <v>275</v>
      </c>
      <c r="AB840" s="2" t="s">
        <v>101</v>
      </c>
      <c r="AC840" s="2"/>
    </row>
    <row r="841" spans="1:29" x14ac:dyDescent="0.3">
      <c r="A841" s="3" t="s">
        <v>4656</v>
      </c>
      <c r="B841" s="3" t="s">
        <v>4657</v>
      </c>
      <c r="C841" s="3" t="s">
        <v>995</v>
      </c>
      <c r="D841" s="3" t="s">
        <v>4658</v>
      </c>
      <c r="E841" s="3" t="s">
        <v>18</v>
      </c>
      <c r="F841" s="3" t="s">
        <v>962</v>
      </c>
      <c r="G841" s="3" t="s">
        <v>497</v>
      </c>
      <c r="H841" s="3" t="s">
        <v>3940</v>
      </c>
      <c r="I841" s="3">
        <v>7</v>
      </c>
      <c r="J841" s="3" t="s">
        <v>39</v>
      </c>
      <c r="K841" s="3" t="s">
        <v>109</v>
      </c>
      <c r="L841" s="3" t="s">
        <v>344</v>
      </c>
      <c r="M841" s="3" t="s">
        <v>3642</v>
      </c>
      <c r="N841" s="3" t="s">
        <v>722</v>
      </c>
      <c r="O841" s="3" t="s">
        <v>27</v>
      </c>
      <c r="P841" s="3" t="s">
        <v>175</v>
      </c>
      <c r="Q841" s="3" t="s">
        <v>207</v>
      </c>
      <c r="R841" s="3">
        <v>5</v>
      </c>
      <c r="S841" s="3">
        <v>2663.06</v>
      </c>
      <c r="T841" s="3">
        <v>0</v>
      </c>
      <c r="U841" s="3">
        <v>13315.3</v>
      </c>
      <c r="V841" s="3">
        <v>8688.5499999999993</v>
      </c>
      <c r="W841" s="3">
        <v>4626.75</v>
      </c>
      <c r="X841" s="3">
        <v>34.75</v>
      </c>
      <c r="Y841" s="3">
        <v>49</v>
      </c>
      <c r="Z841" s="3" t="s">
        <v>15</v>
      </c>
      <c r="AA841" s="3" t="s">
        <v>100</v>
      </c>
      <c r="AB841" s="3" t="s">
        <v>140</v>
      </c>
      <c r="AC841" s="3">
        <v>1</v>
      </c>
    </row>
    <row r="842" spans="1:29" x14ac:dyDescent="0.3">
      <c r="A842" s="2" t="s">
        <v>4659</v>
      </c>
      <c r="B842" s="2" t="s">
        <v>4660</v>
      </c>
      <c r="C842" s="2" t="s">
        <v>502</v>
      </c>
      <c r="D842" s="2" t="s">
        <v>4661</v>
      </c>
      <c r="E842" s="2" t="s">
        <v>26</v>
      </c>
      <c r="F842" s="2" t="s">
        <v>997</v>
      </c>
      <c r="G842" s="2" t="s">
        <v>998</v>
      </c>
      <c r="H842" s="2" t="s">
        <v>999</v>
      </c>
      <c r="I842" s="2">
        <v>3</v>
      </c>
      <c r="J842" s="2" t="s">
        <v>39</v>
      </c>
      <c r="K842" s="2" t="s">
        <v>109</v>
      </c>
      <c r="L842" s="2" t="s">
        <v>134</v>
      </c>
      <c r="M842" s="2" t="s">
        <v>4662</v>
      </c>
      <c r="N842" s="2" t="s">
        <v>1535</v>
      </c>
      <c r="O842" s="2" t="s">
        <v>13</v>
      </c>
      <c r="P842" s="2" t="s">
        <v>98</v>
      </c>
      <c r="Q842" s="2" t="s">
        <v>355</v>
      </c>
      <c r="R842" s="2">
        <v>2</v>
      </c>
      <c r="S842" s="2">
        <v>30870.55</v>
      </c>
      <c r="T842" s="2">
        <v>5</v>
      </c>
      <c r="U842" s="2">
        <v>58654.04</v>
      </c>
      <c r="V842" s="2">
        <v>27197.48</v>
      </c>
      <c r="W842" s="2">
        <v>31456.560000000001</v>
      </c>
      <c r="X842" s="2">
        <v>53.63</v>
      </c>
      <c r="Y842" s="2">
        <v>29</v>
      </c>
      <c r="Z842" s="2" t="s">
        <v>23</v>
      </c>
      <c r="AA842" s="2" t="s">
        <v>186</v>
      </c>
      <c r="AB842" s="2" t="s">
        <v>101</v>
      </c>
      <c r="AC842" s="2"/>
    </row>
    <row r="843" spans="1:29" x14ac:dyDescent="0.3">
      <c r="A843" s="3" t="s">
        <v>4663</v>
      </c>
      <c r="B843" s="3" t="s">
        <v>4664</v>
      </c>
      <c r="C843" s="3" t="s">
        <v>300</v>
      </c>
      <c r="D843" s="3" t="s">
        <v>4665</v>
      </c>
      <c r="E843" s="3" t="s">
        <v>26</v>
      </c>
      <c r="F843" s="3" t="s">
        <v>3708</v>
      </c>
      <c r="G843" s="3" t="s">
        <v>1971</v>
      </c>
      <c r="H843" s="3" t="s">
        <v>3802</v>
      </c>
      <c r="I843" s="3">
        <v>3</v>
      </c>
      <c r="J843" s="3" t="s">
        <v>14</v>
      </c>
      <c r="K843" s="3" t="s">
        <v>171</v>
      </c>
      <c r="L843" s="3" t="s">
        <v>172</v>
      </c>
      <c r="M843" s="3" t="s">
        <v>4666</v>
      </c>
      <c r="N843" s="3" t="s">
        <v>1802</v>
      </c>
      <c r="O843" s="3" t="s">
        <v>28</v>
      </c>
      <c r="P843" s="3" t="s">
        <v>137</v>
      </c>
      <c r="Q843" s="3" t="s">
        <v>207</v>
      </c>
      <c r="R843" s="3">
        <v>4</v>
      </c>
      <c r="S843" s="3">
        <v>35103.339999999997</v>
      </c>
      <c r="T843" s="3">
        <v>20</v>
      </c>
      <c r="U843" s="3">
        <v>112330.69</v>
      </c>
      <c r="V843" s="3">
        <v>74356.11</v>
      </c>
      <c r="W843" s="3">
        <v>37974.58</v>
      </c>
      <c r="X843" s="3">
        <v>33.81</v>
      </c>
      <c r="Y843" s="3">
        <v>149</v>
      </c>
      <c r="Z843" s="3" t="s">
        <v>15</v>
      </c>
      <c r="AA843" s="3" t="s">
        <v>100</v>
      </c>
      <c r="AB843" s="3" t="s">
        <v>101</v>
      </c>
      <c r="AC843" s="3">
        <v>4</v>
      </c>
    </row>
    <row r="844" spans="1:29" x14ac:dyDescent="0.3">
      <c r="A844" s="2" t="s">
        <v>4667</v>
      </c>
      <c r="B844" s="2" t="s">
        <v>4668</v>
      </c>
      <c r="C844" s="2" t="s">
        <v>536</v>
      </c>
      <c r="D844" s="2" t="s">
        <v>4669</v>
      </c>
      <c r="E844" s="2" t="s">
        <v>42</v>
      </c>
      <c r="F844" s="2" t="s">
        <v>1255</v>
      </c>
      <c r="G844" s="2" t="s">
        <v>1257</v>
      </c>
      <c r="H844" s="2" t="s">
        <v>3630</v>
      </c>
      <c r="I844" s="2">
        <v>5</v>
      </c>
      <c r="J844" s="2" t="s">
        <v>29</v>
      </c>
      <c r="K844" s="2" t="s">
        <v>148</v>
      </c>
      <c r="L844" s="2" t="s">
        <v>148</v>
      </c>
      <c r="M844" s="2" t="s">
        <v>2956</v>
      </c>
      <c r="N844" s="2" t="s">
        <v>583</v>
      </c>
      <c r="O844" s="2" t="s">
        <v>19</v>
      </c>
      <c r="P844" s="2" t="s">
        <v>447</v>
      </c>
      <c r="Q844" s="2" t="s">
        <v>608</v>
      </c>
      <c r="R844" s="2">
        <v>1</v>
      </c>
      <c r="S844" s="2">
        <v>21006.5</v>
      </c>
      <c r="T844" s="2">
        <v>0</v>
      </c>
      <c r="U844" s="2">
        <v>21006.5</v>
      </c>
      <c r="V844" s="2">
        <v>10904.65</v>
      </c>
      <c r="W844" s="2">
        <v>10101.85</v>
      </c>
      <c r="X844" s="2">
        <v>48.09</v>
      </c>
      <c r="Y844" s="2">
        <v>99</v>
      </c>
      <c r="Z844" s="2" t="s">
        <v>48</v>
      </c>
      <c r="AA844" s="2" t="s">
        <v>275</v>
      </c>
      <c r="AB844" s="2" t="s">
        <v>101</v>
      </c>
      <c r="AC844" s="2"/>
    </row>
    <row r="845" spans="1:29" x14ac:dyDescent="0.3">
      <c r="A845" s="3" t="s">
        <v>4670</v>
      </c>
      <c r="B845" s="3" t="s">
        <v>4671</v>
      </c>
      <c r="C845" s="3" t="s">
        <v>1045</v>
      </c>
      <c r="D845" s="3" t="s">
        <v>4672</v>
      </c>
      <c r="E845" s="3" t="s">
        <v>26</v>
      </c>
      <c r="F845" s="3" t="s">
        <v>2081</v>
      </c>
      <c r="G845" s="3" t="s">
        <v>4673</v>
      </c>
      <c r="H845" s="3" t="s">
        <v>3792</v>
      </c>
      <c r="I845" s="3">
        <v>6</v>
      </c>
      <c r="J845" s="3" t="s">
        <v>14</v>
      </c>
      <c r="K845" s="3" t="s">
        <v>215</v>
      </c>
      <c r="L845" s="3" t="s">
        <v>215</v>
      </c>
      <c r="M845" s="3" t="s">
        <v>4674</v>
      </c>
      <c r="N845" s="3" t="s">
        <v>765</v>
      </c>
      <c r="O845" s="3" t="s">
        <v>27</v>
      </c>
      <c r="P845" s="3" t="s">
        <v>113</v>
      </c>
      <c r="Q845" s="3" t="s">
        <v>608</v>
      </c>
      <c r="R845" s="3">
        <v>4</v>
      </c>
      <c r="S845" s="3">
        <v>34941</v>
      </c>
      <c r="T845" s="3">
        <v>20</v>
      </c>
      <c r="U845" s="3">
        <v>111811.2</v>
      </c>
      <c r="V845" s="3">
        <v>71273.570000000007</v>
      </c>
      <c r="W845" s="3">
        <v>40537.629999999997</v>
      </c>
      <c r="X845" s="3">
        <v>36.26</v>
      </c>
      <c r="Y845" s="3">
        <v>49</v>
      </c>
      <c r="Z845" s="3" t="s">
        <v>40</v>
      </c>
      <c r="AA845" s="3" t="s">
        <v>100</v>
      </c>
      <c r="AB845" s="3" t="s">
        <v>101</v>
      </c>
      <c r="AC845" s="3"/>
    </row>
    <row r="846" spans="1:29" x14ac:dyDescent="0.3">
      <c r="A846" s="2" t="s">
        <v>4675</v>
      </c>
      <c r="B846" s="2" t="s">
        <v>4676</v>
      </c>
      <c r="C846" s="2" t="s">
        <v>1183</v>
      </c>
      <c r="D846" s="2" t="s">
        <v>4677</v>
      </c>
      <c r="E846" s="2" t="s">
        <v>26</v>
      </c>
      <c r="F846" s="2" t="s">
        <v>962</v>
      </c>
      <c r="G846" s="2" t="s">
        <v>539</v>
      </c>
      <c r="H846" s="2" t="s">
        <v>3940</v>
      </c>
      <c r="I846" s="2">
        <v>6</v>
      </c>
      <c r="J846" s="2" t="s">
        <v>29</v>
      </c>
      <c r="K846" s="2" t="s">
        <v>834</v>
      </c>
      <c r="L846" s="2" t="s">
        <v>901</v>
      </c>
      <c r="M846" s="2" t="s">
        <v>2199</v>
      </c>
      <c r="N846" s="2" t="s">
        <v>648</v>
      </c>
      <c r="O846" s="2" t="s">
        <v>27</v>
      </c>
      <c r="P846" s="2" t="s">
        <v>113</v>
      </c>
      <c r="Q846" s="2" t="s">
        <v>99</v>
      </c>
      <c r="R846" s="2">
        <v>1</v>
      </c>
      <c r="S846" s="2">
        <v>49594.92</v>
      </c>
      <c r="T846" s="2">
        <v>25</v>
      </c>
      <c r="U846" s="2">
        <v>37196.19</v>
      </c>
      <c r="V846" s="2">
        <v>17170.349999999999</v>
      </c>
      <c r="W846" s="2">
        <v>20025.84</v>
      </c>
      <c r="X846" s="2">
        <v>53.84</v>
      </c>
      <c r="Y846" s="2">
        <v>99</v>
      </c>
      <c r="Z846" s="2" t="s">
        <v>43</v>
      </c>
      <c r="AA846" s="2" t="s">
        <v>100</v>
      </c>
      <c r="AB846" s="2" t="s">
        <v>101</v>
      </c>
      <c r="AC846" s="2">
        <v>1</v>
      </c>
    </row>
    <row r="847" spans="1:29" x14ac:dyDescent="0.3">
      <c r="A847" s="3" t="s">
        <v>4678</v>
      </c>
      <c r="B847" s="3" t="s">
        <v>4679</v>
      </c>
      <c r="C847" s="3" t="s">
        <v>536</v>
      </c>
      <c r="D847" s="3" t="s">
        <v>3387</v>
      </c>
      <c r="E847" s="3" t="s">
        <v>42</v>
      </c>
      <c r="F847" s="3" t="s">
        <v>1856</v>
      </c>
      <c r="G847" s="3" t="s">
        <v>1288</v>
      </c>
      <c r="H847" s="3" t="s">
        <v>1708</v>
      </c>
      <c r="I847" s="3">
        <v>2</v>
      </c>
      <c r="J847" s="3" t="s">
        <v>14</v>
      </c>
      <c r="K847" s="3" t="s">
        <v>95</v>
      </c>
      <c r="L847" s="3" t="s">
        <v>95</v>
      </c>
      <c r="M847" s="3" t="s">
        <v>4680</v>
      </c>
      <c r="N847" s="3" t="s">
        <v>475</v>
      </c>
      <c r="O847" s="3" t="s">
        <v>13</v>
      </c>
      <c r="P847" s="3" t="s">
        <v>228</v>
      </c>
      <c r="Q847" s="3" t="s">
        <v>355</v>
      </c>
      <c r="R847" s="3">
        <v>2</v>
      </c>
      <c r="S847" s="3">
        <v>12107.09</v>
      </c>
      <c r="T847" s="3">
        <v>30</v>
      </c>
      <c r="U847" s="3">
        <v>16949.93</v>
      </c>
      <c r="V847" s="3">
        <v>8138.35</v>
      </c>
      <c r="W847" s="3">
        <v>8811.58</v>
      </c>
      <c r="X847" s="3">
        <v>51.99</v>
      </c>
      <c r="Y847" s="3">
        <v>49</v>
      </c>
      <c r="Z847" s="3" t="s">
        <v>40</v>
      </c>
      <c r="AA847" s="3" t="s">
        <v>186</v>
      </c>
      <c r="AB847" s="3" t="s">
        <v>101</v>
      </c>
      <c r="AC847" s="3"/>
    </row>
    <row r="848" spans="1:29" x14ac:dyDescent="0.3">
      <c r="A848" s="2" t="s">
        <v>4681</v>
      </c>
      <c r="B848" s="2" t="s">
        <v>4682</v>
      </c>
      <c r="C848" s="2" t="s">
        <v>1675</v>
      </c>
      <c r="D848" s="2" t="s">
        <v>4683</v>
      </c>
      <c r="E848" s="2" t="s">
        <v>18</v>
      </c>
      <c r="F848" s="2" t="s">
        <v>1679</v>
      </c>
      <c r="G848" s="2" t="s">
        <v>746</v>
      </c>
      <c r="H848" s="2" t="s">
        <v>3717</v>
      </c>
      <c r="I848" s="2">
        <v>3</v>
      </c>
      <c r="J848" s="2" t="s">
        <v>14</v>
      </c>
      <c r="K848" s="2" t="s">
        <v>215</v>
      </c>
      <c r="L848" s="2" t="s">
        <v>215</v>
      </c>
      <c r="M848" s="2" t="s">
        <v>4384</v>
      </c>
      <c r="N848" s="2" t="s">
        <v>518</v>
      </c>
      <c r="O848" s="2" t="s">
        <v>19</v>
      </c>
      <c r="P848" s="2" t="s">
        <v>365</v>
      </c>
      <c r="Q848" s="2" t="s">
        <v>152</v>
      </c>
      <c r="R848" s="2">
        <v>1</v>
      </c>
      <c r="S848" s="2">
        <v>32691.74</v>
      </c>
      <c r="T848" s="2">
        <v>20</v>
      </c>
      <c r="U848" s="2">
        <v>26153.39</v>
      </c>
      <c r="V848" s="2">
        <v>16348.54</v>
      </c>
      <c r="W848" s="2">
        <v>9804.85</v>
      </c>
      <c r="X848" s="2">
        <v>37.49</v>
      </c>
      <c r="Y848" s="2">
        <v>99</v>
      </c>
      <c r="Z848" s="2" t="s">
        <v>47</v>
      </c>
      <c r="AA848" s="2" t="s">
        <v>186</v>
      </c>
      <c r="AB848" s="2" t="s">
        <v>101</v>
      </c>
      <c r="AC848" s="2"/>
    </row>
    <row r="849" spans="1:29" x14ac:dyDescent="0.3">
      <c r="A849" s="3" t="s">
        <v>4684</v>
      </c>
      <c r="B849" s="3" t="s">
        <v>4685</v>
      </c>
      <c r="C849" s="3" t="s">
        <v>571</v>
      </c>
      <c r="D849" s="3" t="s">
        <v>4686</v>
      </c>
      <c r="E849" s="3" t="s">
        <v>26</v>
      </c>
      <c r="F849" s="3" t="s">
        <v>524</v>
      </c>
      <c r="G849" s="3" t="s">
        <v>2868</v>
      </c>
      <c r="H849" s="3" t="s">
        <v>3684</v>
      </c>
      <c r="I849" s="3">
        <v>3</v>
      </c>
      <c r="J849" s="3" t="s">
        <v>29</v>
      </c>
      <c r="K849" s="3" t="s">
        <v>834</v>
      </c>
      <c r="L849" s="3" t="s">
        <v>835</v>
      </c>
      <c r="M849" s="3" t="s">
        <v>4687</v>
      </c>
      <c r="N849" s="3" t="s">
        <v>185</v>
      </c>
      <c r="O849" s="3" t="s">
        <v>28</v>
      </c>
      <c r="P849" s="3" t="s">
        <v>151</v>
      </c>
      <c r="Q849" s="3" t="s">
        <v>207</v>
      </c>
      <c r="R849" s="3">
        <v>4</v>
      </c>
      <c r="S849" s="3">
        <v>4737.75</v>
      </c>
      <c r="T849" s="3">
        <v>25</v>
      </c>
      <c r="U849" s="3">
        <v>14213.25</v>
      </c>
      <c r="V849" s="3">
        <v>7427.45</v>
      </c>
      <c r="W849" s="3">
        <v>6785.8</v>
      </c>
      <c r="X849" s="3">
        <v>47.74</v>
      </c>
      <c r="Y849" s="3">
        <v>99</v>
      </c>
      <c r="Z849" s="3" t="s">
        <v>40</v>
      </c>
      <c r="AA849" s="3" t="s">
        <v>100</v>
      </c>
      <c r="AB849" s="3" t="s">
        <v>101</v>
      </c>
      <c r="AC849" s="3">
        <v>3</v>
      </c>
    </row>
    <row r="850" spans="1:29" x14ac:dyDescent="0.3">
      <c r="A850" s="2" t="s">
        <v>4688</v>
      </c>
      <c r="B850" s="2" t="s">
        <v>4689</v>
      </c>
      <c r="C850" s="2" t="s">
        <v>2882</v>
      </c>
      <c r="D850" s="2" t="s">
        <v>4690</v>
      </c>
      <c r="E850" s="2" t="s">
        <v>18</v>
      </c>
      <c r="F850" s="2" t="s">
        <v>1099</v>
      </c>
      <c r="G850" s="2" t="s">
        <v>1100</v>
      </c>
      <c r="H850" s="2" t="s">
        <v>1750</v>
      </c>
      <c r="I850" s="2">
        <v>7</v>
      </c>
      <c r="J850" s="2" t="s">
        <v>22</v>
      </c>
      <c r="K850" s="2" t="s">
        <v>122</v>
      </c>
      <c r="L850" s="2" t="s">
        <v>236</v>
      </c>
      <c r="M850" s="2" t="s">
        <v>4691</v>
      </c>
      <c r="N850" s="2" t="s">
        <v>205</v>
      </c>
      <c r="O850" s="2" t="s">
        <v>21</v>
      </c>
      <c r="P850" s="2" t="s">
        <v>206</v>
      </c>
      <c r="Q850" s="2" t="s">
        <v>400</v>
      </c>
      <c r="R850" s="2">
        <v>4</v>
      </c>
      <c r="S850" s="2">
        <v>42489.74</v>
      </c>
      <c r="T850" s="2">
        <v>15</v>
      </c>
      <c r="U850" s="2">
        <v>144465.12</v>
      </c>
      <c r="V850" s="2">
        <v>84527.55</v>
      </c>
      <c r="W850" s="2">
        <v>59937.57</v>
      </c>
      <c r="X850" s="2">
        <v>41.49</v>
      </c>
      <c r="Y850" s="2">
        <v>0</v>
      </c>
      <c r="Z850" s="2" t="s">
        <v>23</v>
      </c>
      <c r="AA850" s="2" t="s">
        <v>100</v>
      </c>
      <c r="AB850" s="2" t="s">
        <v>101</v>
      </c>
      <c r="AC850" s="2">
        <v>4</v>
      </c>
    </row>
    <row r="851" spans="1:29" x14ac:dyDescent="0.3">
      <c r="A851" s="3" t="s">
        <v>4692</v>
      </c>
      <c r="B851" s="3" t="s">
        <v>4693</v>
      </c>
      <c r="C851" s="3" t="s">
        <v>912</v>
      </c>
      <c r="D851" s="3" t="s">
        <v>4694</v>
      </c>
      <c r="E851" s="3" t="s">
        <v>42</v>
      </c>
      <c r="F851" s="3" t="s">
        <v>2423</v>
      </c>
      <c r="G851" s="3" t="s">
        <v>2008</v>
      </c>
      <c r="H851" s="3" t="s">
        <v>661</v>
      </c>
      <c r="I851" s="3">
        <v>4</v>
      </c>
      <c r="J851" s="3" t="s">
        <v>29</v>
      </c>
      <c r="K851" s="3" t="s">
        <v>834</v>
      </c>
      <c r="L851" s="3" t="s">
        <v>1000</v>
      </c>
      <c r="M851" s="3" t="s">
        <v>4695</v>
      </c>
      <c r="N851" s="3" t="s">
        <v>1802</v>
      </c>
      <c r="O851" s="3" t="s">
        <v>28</v>
      </c>
      <c r="P851" s="3" t="s">
        <v>137</v>
      </c>
      <c r="Q851" s="3" t="s">
        <v>138</v>
      </c>
      <c r="R851" s="3">
        <v>2</v>
      </c>
      <c r="S851" s="3">
        <v>31268</v>
      </c>
      <c r="T851" s="3">
        <v>5</v>
      </c>
      <c r="U851" s="3">
        <v>59409.2</v>
      </c>
      <c r="V851" s="3">
        <v>29123.83</v>
      </c>
      <c r="W851" s="3">
        <v>30285.37</v>
      </c>
      <c r="X851" s="3">
        <v>50.98</v>
      </c>
      <c r="Y851" s="3">
        <v>49</v>
      </c>
      <c r="Z851" s="3" t="s">
        <v>15</v>
      </c>
      <c r="AA851" s="3" t="s">
        <v>100</v>
      </c>
      <c r="AB851" s="3" t="s">
        <v>101</v>
      </c>
      <c r="AC851" s="3">
        <v>3</v>
      </c>
    </row>
    <row r="852" spans="1:29" x14ac:dyDescent="0.3">
      <c r="A852" s="2" t="s">
        <v>4696</v>
      </c>
      <c r="B852" s="2" t="s">
        <v>4697</v>
      </c>
      <c r="C852" s="2" t="s">
        <v>847</v>
      </c>
      <c r="D852" s="2" t="s">
        <v>4623</v>
      </c>
      <c r="E852" s="2" t="s">
        <v>26</v>
      </c>
      <c r="F852" s="2" t="s">
        <v>2101</v>
      </c>
      <c r="G852" s="2" t="s">
        <v>3651</v>
      </c>
      <c r="H852" s="2" t="s">
        <v>580</v>
      </c>
      <c r="I852" s="2">
        <v>6</v>
      </c>
      <c r="J852" s="2" t="s">
        <v>29</v>
      </c>
      <c r="K852" s="2" t="s">
        <v>834</v>
      </c>
      <c r="L852" s="2" t="s">
        <v>901</v>
      </c>
      <c r="M852" s="2" t="s">
        <v>4698</v>
      </c>
      <c r="N852" s="2" t="s">
        <v>889</v>
      </c>
      <c r="O852" s="2" t="s">
        <v>27</v>
      </c>
      <c r="P852" s="2" t="s">
        <v>257</v>
      </c>
      <c r="Q852" s="2" t="s">
        <v>218</v>
      </c>
      <c r="R852" s="2">
        <v>1</v>
      </c>
      <c r="S852" s="2">
        <v>22807.39</v>
      </c>
      <c r="T852" s="2">
        <v>0</v>
      </c>
      <c r="U852" s="2">
        <v>22807.39</v>
      </c>
      <c r="V852" s="2">
        <v>12589.89</v>
      </c>
      <c r="W852" s="2">
        <v>10217.5</v>
      </c>
      <c r="X852" s="2">
        <v>44.8</v>
      </c>
      <c r="Y852" s="2">
        <v>99</v>
      </c>
      <c r="Z852" s="2" t="s">
        <v>47</v>
      </c>
      <c r="AA852" s="2" t="s">
        <v>186</v>
      </c>
      <c r="AB852" s="2" t="s">
        <v>101</v>
      </c>
      <c r="AC852" s="2"/>
    </row>
    <row r="853" spans="1:29" x14ac:dyDescent="0.3">
      <c r="A853" s="3" t="s">
        <v>4699</v>
      </c>
      <c r="B853" s="3" t="s">
        <v>4700</v>
      </c>
      <c r="C853" s="3" t="s">
        <v>2590</v>
      </c>
      <c r="D853" s="3" t="s">
        <v>4701</v>
      </c>
      <c r="E853" s="3" t="s">
        <v>18</v>
      </c>
      <c r="F853" s="3" t="s">
        <v>1652</v>
      </c>
      <c r="G853" s="3" t="s">
        <v>1653</v>
      </c>
      <c r="H853" s="3" t="s">
        <v>2921</v>
      </c>
      <c r="I853" s="3">
        <v>5</v>
      </c>
      <c r="J853" s="3" t="s">
        <v>29</v>
      </c>
      <c r="K853" s="3" t="s">
        <v>427</v>
      </c>
      <c r="L853" s="3" t="s">
        <v>428</v>
      </c>
      <c r="M853" s="3" t="s">
        <v>4702</v>
      </c>
      <c r="N853" s="3" t="s">
        <v>327</v>
      </c>
      <c r="O853" s="3" t="s">
        <v>27</v>
      </c>
      <c r="P853" s="3" t="s">
        <v>113</v>
      </c>
      <c r="Q853" s="3" t="s">
        <v>509</v>
      </c>
      <c r="R853" s="3">
        <v>3</v>
      </c>
      <c r="S853" s="3">
        <v>48836.75</v>
      </c>
      <c r="T853" s="3">
        <v>20</v>
      </c>
      <c r="U853" s="3">
        <v>117208.2</v>
      </c>
      <c r="V853" s="3">
        <v>77849.41</v>
      </c>
      <c r="W853" s="3">
        <v>39358.79</v>
      </c>
      <c r="X853" s="3">
        <v>33.58</v>
      </c>
      <c r="Y853" s="3">
        <v>29</v>
      </c>
      <c r="Z853" s="3" t="s">
        <v>48</v>
      </c>
      <c r="AA853" s="3" t="s">
        <v>100</v>
      </c>
      <c r="AB853" s="3" t="s">
        <v>101</v>
      </c>
      <c r="AC853" s="3">
        <v>4</v>
      </c>
    </row>
    <row r="854" spans="1:29" x14ac:dyDescent="0.3">
      <c r="A854" s="2" t="s">
        <v>4703</v>
      </c>
      <c r="B854" s="2" t="s">
        <v>4704</v>
      </c>
      <c r="C854" s="2" t="s">
        <v>231</v>
      </c>
      <c r="D854" s="2" t="s">
        <v>4705</v>
      </c>
      <c r="E854" s="2" t="s">
        <v>42</v>
      </c>
      <c r="F854" s="2" t="s">
        <v>2796</v>
      </c>
      <c r="G854" s="2" t="s">
        <v>361</v>
      </c>
      <c r="H854" s="2" t="s">
        <v>4706</v>
      </c>
      <c r="I854" s="2">
        <v>7</v>
      </c>
      <c r="J854" s="2" t="s">
        <v>29</v>
      </c>
      <c r="K854" s="2" t="s">
        <v>160</v>
      </c>
      <c r="L854" s="2" t="s">
        <v>161</v>
      </c>
      <c r="M854" s="2" t="s">
        <v>4707</v>
      </c>
      <c r="N854" s="2" t="s">
        <v>484</v>
      </c>
      <c r="O854" s="2" t="s">
        <v>13</v>
      </c>
      <c r="P854" s="2" t="s">
        <v>98</v>
      </c>
      <c r="Q854" s="2" t="s">
        <v>466</v>
      </c>
      <c r="R854" s="2">
        <v>3</v>
      </c>
      <c r="S854" s="2">
        <v>21744.639999999999</v>
      </c>
      <c r="T854" s="2">
        <v>0</v>
      </c>
      <c r="U854" s="2">
        <v>65233.919999999998</v>
      </c>
      <c r="V854" s="2">
        <v>29903.27</v>
      </c>
      <c r="W854" s="2">
        <v>35330.65</v>
      </c>
      <c r="X854" s="2">
        <v>54.16</v>
      </c>
      <c r="Y854" s="2">
        <v>99</v>
      </c>
      <c r="Z854" s="2" t="s">
        <v>40</v>
      </c>
      <c r="AA854" s="2" t="s">
        <v>100</v>
      </c>
      <c r="AB854" s="2" t="s">
        <v>101</v>
      </c>
      <c r="AC854" s="2">
        <v>1</v>
      </c>
    </row>
    <row r="855" spans="1:29" x14ac:dyDescent="0.3">
      <c r="A855" s="3" t="s">
        <v>4708</v>
      </c>
      <c r="B855" s="3" t="s">
        <v>4709</v>
      </c>
      <c r="C855" s="3" t="s">
        <v>1590</v>
      </c>
      <c r="D855" s="3" t="s">
        <v>4710</v>
      </c>
      <c r="E855" s="3" t="s">
        <v>18</v>
      </c>
      <c r="F855" s="3" t="s">
        <v>4711</v>
      </c>
      <c r="G855" s="3" t="s">
        <v>1173</v>
      </c>
      <c r="H855" s="3" t="s">
        <v>3242</v>
      </c>
      <c r="I855" s="3">
        <v>4</v>
      </c>
      <c r="J855" s="3" t="s">
        <v>14</v>
      </c>
      <c r="K855" s="3" t="s">
        <v>183</v>
      </c>
      <c r="L855" s="3" t="s">
        <v>183</v>
      </c>
      <c r="M855" s="3" t="s">
        <v>4712</v>
      </c>
      <c r="N855" s="3" t="s">
        <v>256</v>
      </c>
      <c r="O855" s="3" t="s">
        <v>27</v>
      </c>
      <c r="P855" s="3" t="s">
        <v>257</v>
      </c>
      <c r="Q855" s="3" t="s">
        <v>355</v>
      </c>
      <c r="R855" s="3">
        <v>5</v>
      </c>
      <c r="S855" s="3">
        <v>9220.69</v>
      </c>
      <c r="T855" s="3">
        <v>20</v>
      </c>
      <c r="U855" s="3">
        <v>36882.76</v>
      </c>
      <c r="V855" s="3">
        <v>18940.599999999999</v>
      </c>
      <c r="W855" s="3">
        <v>17942.16</v>
      </c>
      <c r="X855" s="3">
        <v>48.65</v>
      </c>
      <c r="Y855" s="3">
        <v>199</v>
      </c>
      <c r="Z855" s="3" t="s">
        <v>48</v>
      </c>
      <c r="AA855" s="3" t="s">
        <v>275</v>
      </c>
      <c r="AB855" s="3" t="s">
        <v>101</v>
      </c>
      <c r="AC855" s="3"/>
    </row>
    <row r="856" spans="1:29" x14ac:dyDescent="0.3">
      <c r="A856" s="2" t="s">
        <v>4713</v>
      </c>
      <c r="B856" s="2" t="s">
        <v>4714</v>
      </c>
      <c r="C856" s="2" t="s">
        <v>339</v>
      </c>
      <c r="D856" s="2" t="s">
        <v>4715</v>
      </c>
      <c r="E856" s="2" t="s">
        <v>26</v>
      </c>
      <c r="F856" s="2" t="s">
        <v>3803</v>
      </c>
      <c r="G856" s="2" t="s">
        <v>2069</v>
      </c>
      <c r="H856" s="2" t="s">
        <v>719</v>
      </c>
      <c r="I856" s="2">
        <v>3</v>
      </c>
      <c r="J856" s="2" t="s">
        <v>29</v>
      </c>
      <c r="K856" s="2" t="s">
        <v>148</v>
      </c>
      <c r="L856" s="2" t="s">
        <v>148</v>
      </c>
      <c r="M856" s="2" t="s">
        <v>4716</v>
      </c>
      <c r="N856" s="2" t="s">
        <v>518</v>
      </c>
      <c r="O856" s="2" t="s">
        <v>19</v>
      </c>
      <c r="P856" s="2" t="s">
        <v>365</v>
      </c>
      <c r="Q856" s="2" t="s">
        <v>218</v>
      </c>
      <c r="R856" s="2">
        <v>5</v>
      </c>
      <c r="S856" s="2">
        <v>19897.05</v>
      </c>
      <c r="T856" s="2">
        <v>15</v>
      </c>
      <c r="U856" s="2">
        <v>84562.46</v>
      </c>
      <c r="V856" s="2">
        <v>47165.67</v>
      </c>
      <c r="W856" s="2">
        <v>37396.79</v>
      </c>
      <c r="X856" s="2">
        <v>44.22</v>
      </c>
      <c r="Y856" s="2">
        <v>199</v>
      </c>
      <c r="Z856" s="2" t="s">
        <v>47</v>
      </c>
      <c r="AA856" s="2" t="s">
        <v>100</v>
      </c>
      <c r="AB856" s="2" t="s">
        <v>101</v>
      </c>
      <c r="AC856" s="2">
        <v>4</v>
      </c>
    </row>
    <row r="857" spans="1:29" x14ac:dyDescent="0.3">
      <c r="A857" s="3" t="s">
        <v>4717</v>
      </c>
      <c r="B857" s="3" t="s">
        <v>4718</v>
      </c>
      <c r="C857" s="3" t="s">
        <v>3547</v>
      </c>
      <c r="D857" s="3" t="s">
        <v>4719</v>
      </c>
      <c r="E857" s="3" t="s">
        <v>26</v>
      </c>
      <c r="F857" s="3" t="s">
        <v>1926</v>
      </c>
      <c r="G857" s="3" t="s">
        <v>1106</v>
      </c>
      <c r="H857" s="3" t="s">
        <v>3773</v>
      </c>
      <c r="I857" s="3">
        <v>6</v>
      </c>
      <c r="J857" s="3" t="s">
        <v>14</v>
      </c>
      <c r="K857" s="3" t="s">
        <v>171</v>
      </c>
      <c r="L857" s="3" t="s">
        <v>407</v>
      </c>
      <c r="M857" s="3" t="s">
        <v>2350</v>
      </c>
      <c r="N857" s="3" t="s">
        <v>852</v>
      </c>
      <c r="O857" s="3" t="s">
        <v>27</v>
      </c>
      <c r="P857" s="3" t="s">
        <v>175</v>
      </c>
      <c r="Q857" s="3" t="s">
        <v>355</v>
      </c>
      <c r="R857" s="3">
        <v>3</v>
      </c>
      <c r="S857" s="3">
        <v>26545.81</v>
      </c>
      <c r="T857" s="3">
        <v>10</v>
      </c>
      <c r="U857" s="3">
        <v>71673.69</v>
      </c>
      <c r="V857" s="3">
        <v>45455.040000000001</v>
      </c>
      <c r="W857" s="3">
        <v>26218.65</v>
      </c>
      <c r="X857" s="3">
        <v>36.58</v>
      </c>
      <c r="Y857" s="3">
        <v>0</v>
      </c>
      <c r="Z857" s="3" t="s">
        <v>15</v>
      </c>
      <c r="AA857" s="3" t="s">
        <v>100</v>
      </c>
      <c r="AB857" s="3" t="s">
        <v>101</v>
      </c>
      <c r="AC857" s="3">
        <v>2</v>
      </c>
    </row>
    <row r="858" spans="1:29" x14ac:dyDescent="0.3">
      <c r="A858" s="2" t="s">
        <v>4720</v>
      </c>
      <c r="B858" s="2" t="s">
        <v>4721</v>
      </c>
      <c r="C858" s="2" t="s">
        <v>1273</v>
      </c>
      <c r="D858" s="2" t="s">
        <v>4722</v>
      </c>
      <c r="E858" s="2" t="s">
        <v>42</v>
      </c>
      <c r="F858" s="2" t="s">
        <v>3405</v>
      </c>
      <c r="G858" s="2" t="s">
        <v>2423</v>
      </c>
      <c r="H858" s="2" t="s">
        <v>4723</v>
      </c>
      <c r="I858" s="2">
        <v>4</v>
      </c>
      <c r="J858" s="2" t="s">
        <v>14</v>
      </c>
      <c r="K858" s="2" t="s">
        <v>215</v>
      </c>
      <c r="L858" s="2" t="s">
        <v>215</v>
      </c>
      <c r="M858" s="2" t="s">
        <v>4724</v>
      </c>
      <c r="N858" s="2" t="s">
        <v>924</v>
      </c>
      <c r="O858" s="2" t="s">
        <v>13</v>
      </c>
      <c r="P858" s="2" t="s">
        <v>228</v>
      </c>
      <c r="Q858" s="2" t="s">
        <v>197</v>
      </c>
      <c r="R858" s="2">
        <v>1</v>
      </c>
      <c r="S858" s="2">
        <v>45334.879999999997</v>
      </c>
      <c r="T858" s="2">
        <v>10</v>
      </c>
      <c r="U858" s="2">
        <v>40801.39</v>
      </c>
      <c r="V858" s="2">
        <v>18760.560000000001</v>
      </c>
      <c r="W858" s="2">
        <v>22040.83</v>
      </c>
      <c r="X858" s="2">
        <v>54.02</v>
      </c>
      <c r="Y858" s="2">
        <v>99</v>
      </c>
      <c r="Z858" s="2" t="s">
        <v>40</v>
      </c>
      <c r="AA858" s="2" t="s">
        <v>100</v>
      </c>
      <c r="AB858" s="2" t="s">
        <v>101</v>
      </c>
      <c r="AC858" s="2"/>
    </row>
    <row r="859" spans="1:29" x14ac:dyDescent="0.3">
      <c r="A859" s="3" t="s">
        <v>4725</v>
      </c>
      <c r="B859" s="3" t="s">
        <v>4239</v>
      </c>
      <c r="C859" s="3" t="s">
        <v>3250</v>
      </c>
      <c r="D859" s="3" t="s">
        <v>4726</v>
      </c>
      <c r="E859" s="3" t="s">
        <v>33</v>
      </c>
      <c r="F859" s="3" t="s">
        <v>2725</v>
      </c>
      <c r="G859" s="3" t="s">
        <v>2205</v>
      </c>
      <c r="H859" s="3" t="s">
        <v>3726</v>
      </c>
      <c r="I859" s="3">
        <v>3</v>
      </c>
      <c r="J859" s="3" t="s">
        <v>29</v>
      </c>
      <c r="K859" s="3" t="s">
        <v>148</v>
      </c>
      <c r="L859" s="3" t="s">
        <v>148</v>
      </c>
      <c r="M859" s="3" t="s">
        <v>4727</v>
      </c>
      <c r="N859" s="3" t="s">
        <v>805</v>
      </c>
      <c r="O859" s="3" t="s">
        <v>28</v>
      </c>
      <c r="P859" s="3" t="s">
        <v>151</v>
      </c>
      <c r="Q859" s="3" t="s">
        <v>509</v>
      </c>
      <c r="R859" s="3">
        <v>3</v>
      </c>
      <c r="S859" s="3">
        <v>23656.2</v>
      </c>
      <c r="T859" s="3">
        <v>25</v>
      </c>
      <c r="U859" s="3">
        <v>53226.45</v>
      </c>
      <c r="V859" s="3">
        <v>32714.42</v>
      </c>
      <c r="W859" s="3">
        <v>20512.03</v>
      </c>
      <c r="X859" s="3">
        <v>38.54</v>
      </c>
      <c r="Y859" s="3">
        <v>49</v>
      </c>
      <c r="Z859" s="3" t="s">
        <v>30</v>
      </c>
      <c r="AA859" s="3" t="s">
        <v>100</v>
      </c>
      <c r="AB859" s="3" t="s">
        <v>101</v>
      </c>
      <c r="AC859" s="3">
        <v>1</v>
      </c>
    </row>
    <row r="860" spans="1:29" x14ac:dyDescent="0.3">
      <c r="A860" s="2" t="s">
        <v>4728</v>
      </c>
      <c r="B860" s="2" t="s">
        <v>4729</v>
      </c>
      <c r="C860" s="2" t="s">
        <v>1304</v>
      </c>
      <c r="D860" s="2" t="s">
        <v>4730</v>
      </c>
      <c r="E860" s="2" t="s">
        <v>42</v>
      </c>
      <c r="F860" s="2" t="s">
        <v>719</v>
      </c>
      <c r="G860" s="2" t="s">
        <v>1186</v>
      </c>
      <c r="H860" s="2" t="s">
        <v>720</v>
      </c>
      <c r="I860" s="2">
        <v>3</v>
      </c>
      <c r="J860" s="2" t="s">
        <v>14</v>
      </c>
      <c r="K860" s="2" t="s">
        <v>183</v>
      </c>
      <c r="L860" s="2" t="s">
        <v>183</v>
      </c>
      <c r="M860" s="2" t="s">
        <v>1915</v>
      </c>
      <c r="N860" s="2" t="s">
        <v>583</v>
      </c>
      <c r="O860" s="2" t="s">
        <v>19</v>
      </c>
      <c r="P860" s="2" t="s">
        <v>447</v>
      </c>
      <c r="Q860" s="2" t="s">
        <v>152</v>
      </c>
      <c r="R860" s="2">
        <v>5</v>
      </c>
      <c r="S860" s="2">
        <v>15894.04</v>
      </c>
      <c r="T860" s="2">
        <v>5</v>
      </c>
      <c r="U860" s="2">
        <v>75496.69</v>
      </c>
      <c r="V860" s="2">
        <v>40207.47</v>
      </c>
      <c r="W860" s="2">
        <v>35289.22</v>
      </c>
      <c r="X860" s="2">
        <v>46.74</v>
      </c>
      <c r="Y860" s="2">
        <v>99</v>
      </c>
      <c r="Z860" s="2" t="s">
        <v>48</v>
      </c>
      <c r="AA860" s="2" t="s">
        <v>100</v>
      </c>
      <c r="AB860" s="2" t="s">
        <v>101</v>
      </c>
      <c r="AC860" s="2">
        <v>1</v>
      </c>
    </row>
    <row r="861" spans="1:29" x14ac:dyDescent="0.3">
      <c r="A861" s="3" t="s">
        <v>4731</v>
      </c>
      <c r="B861" s="3" t="s">
        <v>4732</v>
      </c>
      <c r="C861" s="3" t="s">
        <v>1038</v>
      </c>
      <c r="D861" s="3" t="s">
        <v>4733</v>
      </c>
      <c r="E861" s="3" t="s">
        <v>18</v>
      </c>
      <c r="F861" s="3" t="s">
        <v>4734</v>
      </c>
      <c r="G861" s="3" t="s">
        <v>3839</v>
      </c>
      <c r="H861" s="3" t="s">
        <v>3209</v>
      </c>
      <c r="I861" s="3">
        <v>3</v>
      </c>
      <c r="J861" s="3" t="s">
        <v>39</v>
      </c>
      <c r="K861" s="3" t="s">
        <v>324</v>
      </c>
      <c r="L861" s="3" t="s">
        <v>325</v>
      </c>
      <c r="M861" s="3" t="s">
        <v>4735</v>
      </c>
      <c r="N861" s="3" t="s">
        <v>399</v>
      </c>
      <c r="O861" s="3" t="s">
        <v>21</v>
      </c>
      <c r="P861" s="3" t="s">
        <v>196</v>
      </c>
      <c r="Q861" s="3" t="s">
        <v>509</v>
      </c>
      <c r="R861" s="3">
        <v>4</v>
      </c>
      <c r="S861" s="3">
        <v>37750.94</v>
      </c>
      <c r="T861" s="3">
        <v>20</v>
      </c>
      <c r="U861" s="3">
        <v>120803.01</v>
      </c>
      <c r="V861" s="3">
        <v>82208.210000000006</v>
      </c>
      <c r="W861" s="3">
        <v>38594.800000000003</v>
      </c>
      <c r="X861" s="3">
        <v>31.95</v>
      </c>
      <c r="Y861" s="3">
        <v>0</v>
      </c>
      <c r="Z861" s="3" t="s">
        <v>47</v>
      </c>
      <c r="AA861" s="3" t="s">
        <v>100</v>
      </c>
      <c r="AB861" s="3" t="s">
        <v>101</v>
      </c>
      <c r="AC861" s="3">
        <v>3</v>
      </c>
    </row>
    <row r="862" spans="1:29" x14ac:dyDescent="0.3">
      <c r="A862" s="2" t="s">
        <v>4736</v>
      </c>
      <c r="B862" s="2" t="s">
        <v>4737</v>
      </c>
      <c r="C862" s="2" t="s">
        <v>2529</v>
      </c>
      <c r="D862" s="2" t="s">
        <v>4738</v>
      </c>
      <c r="E862" s="2" t="s">
        <v>26</v>
      </c>
      <c r="F862" s="2" t="s">
        <v>3623</v>
      </c>
      <c r="G862" s="2" t="s">
        <v>1437</v>
      </c>
      <c r="H862" s="2" t="s">
        <v>2300</v>
      </c>
      <c r="I862" s="2">
        <v>8</v>
      </c>
      <c r="J862" s="2" t="s">
        <v>22</v>
      </c>
      <c r="K862" s="2" t="s">
        <v>738</v>
      </c>
      <c r="L862" s="2" t="s">
        <v>738</v>
      </c>
      <c r="M862" s="2" t="s">
        <v>4739</v>
      </c>
      <c r="N862" s="2" t="s">
        <v>750</v>
      </c>
      <c r="O862" s="2" t="s">
        <v>13</v>
      </c>
      <c r="P862" s="2" t="s">
        <v>419</v>
      </c>
      <c r="Q862" s="2" t="s">
        <v>608</v>
      </c>
      <c r="R862" s="2">
        <v>2</v>
      </c>
      <c r="S862" s="2">
        <v>29774.97</v>
      </c>
      <c r="T862" s="2">
        <v>20</v>
      </c>
      <c r="U862" s="2">
        <v>47639.95</v>
      </c>
      <c r="V862" s="2">
        <v>25750.19</v>
      </c>
      <c r="W862" s="2">
        <v>21889.759999999998</v>
      </c>
      <c r="X862" s="2">
        <v>45.95</v>
      </c>
      <c r="Y862" s="2">
        <v>49</v>
      </c>
      <c r="Z862" s="2" t="s">
        <v>23</v>
      </c>
      <c r="AA862" s="2" t="s">
        <v>100</v>
      </c>
      <c r="AB862" s="2" t="s">
        <v>101</v>
      </c>
      <c r="AC862" s="2"/>
    </row>
    <row r="863" spans="1:29" x14ac:dyDescent="0.3">
      <c r="A863" s="3" t="s">
        <v>4740</v>
      </c>
      <c r="B863" s="3" t="s">
        <v>4741</v>
      </c>
      <c r="C863" s="3" t="s">
        <v>178</v>
      </c>
      <c r="D863" s="3" t="s">
        <v>4742</v>
      </c>
      <c r="E863" s="3" t="s">
        <v>33</v>
      </c>
      <c r="F863" s="3" t="s">
        <v>243</v>
      </c>
      <c r="G863" s="3" t="s">
        <v>1040</v>
      </c>
      <c r="H863" s="3" t="s">
        <v>776</v>
      </c>
      <c r="I863" s="3">
        <v>6</v>
      </c>
      <c r="J863" s="3" t="s">
        <v>29</v>
      </c>
      <c r="K863" s="3" t="s">
        <v>834</v>
      </c>
      <c r="L863" s="3" t="s">
        <v>835</v>
      </c>
      <c r="M863" s="3" t="s">
        <v>4743</v>
      </c>
      <c r="N863" s="3" t="s">
        <v>788</v>
      </c>
      <c r="O863" s="3" t="s">
        <v>27</v>
      </c>
      <c r="P863" s="3" t="s">
        <v>113</v>
      </c>
      <c r="Q863" s="3" t="s">
        <v>509</v>
      </c>
      <c r="R863" s="3">
        <v>5</v>
      </c>
      <c r="S863" s="3">
        <v>11743.31</v>
      </c>
      <c r="T863" s="3">
        <v>10</v>
      </c>
      <c r="U863" s="3">
        <v>52844.89</v>
      </c>
      <c r="V863" s="3">
        <v>35705.25</v>
      </c>
      <c r="W863" s="3">
        <v>17139.64</v>
      </c>
      <c r="X863" s="3">
        <v>32.43</v>
      </c>
      <c r="Y863" s="3">
        <v>0</v>
      </c>
      <c r="Z863" s="3" t="s">
        <v>48</v>
      </c>
      <c r="AA863" s="3" t="s">
        <v>100</v>
      </c>
      <c r="AB863" s="3" t="s">
        <v>101</v>
      </c>
      <c r="AC863" s="3">
        <v>4</v>
      </c>
    </row>
    <row r="864" spans="1:29" x14ac:dyDescent="0.3">
      <c r="A864" s="2" t="s">
        <v>4744</v>
      </c>
      <c r="B864" s="2" t="s">
        <v>4745</v>
      </c>
      <c r="C864" s="2" t="s">
        <v>2529</v>
      </c>
      <c r="D864" s="2" t="s">
        <v>4746</v>
      </c>
      <c r="E864" s="2" t="s">
        <v>18</v>
      </c>
      <c r="F864" s="2" t="s">
        <v>866</v>
      </c>
      <c r="G864" s="2" t="s">
        <v>3684</v>
      </c>
      <c r="H864" s="2" t="s">
        <v>3844</v>
      </c>
      <c r="I864" s="2">
        <v>8</v>
      </c>
      <c r="J864" s="2" t="s">
        <v>39</v>
      </c>
      <c r="K864" s="2" t="s">
        <v>109</v>
      </c>
      <c r="L864" s="2" t="s">
        <v>344</v>
      </c>
      <c r="M864" s="2" t="s">
        <v>4747</v>
      </c>
      <c r="N864" s="2" t="s">
        <v>438</v>
      </c>
      <c r="O864" s="2" t="s">
        <v>13</v>
      </c>
      <c r="P864" s="2" t="s">
        <v>228</v>
      </c>
      <c r="Q864" s="2" t="s">
        <v>608</v>
      </c>
      <c r="R864" s="2">
        <v>1</v>
      </c>
      <c r="S864" s="2">
        <v>24372.23</v>
      </c>
      <c r="T864" s="2">
        <v>20</v>
      </c>
      <c r="U864" s="2">
        <v>19497.78</v>
      </c>
      <c r="V864" s="2">
        <v>9707.27</v>
      </c>
      <c r="W864" s="2">
        <v>9790.51</v>
      </c>
      <c r="X864" s="2">
        <v>50.21</v>
      </c>
      <c r="Y864" s="2">
        <v>99</v>
      </c>
      <c r="Z864" s="2" t="s">
        <v>30</v>
      </c>
      <c r="AA864" s="2" t="s">
        <v>100</v>
      </c>
      <c r="AB864" s="2" t="s">
        <v>101</v>
      </c>
      <c r="AC864" s="2">
        <v>2</v>
      </c>
    </row>
    <row r="865" spans="1:29" x14ac:dyDescent="0.3">
      <c r="A865" s="3" t="s">
        <v>4748</v>
      </c>
      <c r="B865" s="3" t="s">
        <v>4749</v>
      </c>
      <c r="C865" s="3" t="s">
        <v>1419</v>
      </c>
      <c r="D865" s="3" t="s">
        <v>4750</v>
      </c>
      <c r="E865" s="3" t="s">
        <v>18</v>
      </c>
      <c r="F865" s="3" t="s">
        <v>2364</v>
      </c>
      <c r="G865" s="3" t="s">
        <v>2542</v>
      </c>
      <c r="H865" s="3" t="s">
        <v>1696</v>
      </c>
      <c r="I865" s="3">
        <v>6</v>
      </c>
      <c r="J865" s="3" t="s">
        <v>39</v>
      </c>
      <c r="K865" s="3" t="s">
        <v>193</v>
      </c>
      <c r="L865" s="3" t="s">
        <v>193</v>
      </c>
      <c r="M865" s="3" t="s">
        <v>739</v>
      </c>
      <c r="N865" s="3" t="s">
        <v>456</v>
      </c>
      <c r="O865" s="3" t="s">
        <v>21</v>
      </c>
      <c r="P865" s="3" t="s">
        <v>206</v>
      </c>
      <c r="Q865" s="3" t="s">
        <v>197</v>
      </c>
      <c r="R865" s="3">
        <v>1</v>
      </c>
      <c r="S865" s="3">
        <v>26402.03</v>
      </c>
      <c r="T865" s="3">
        <v>25</v>
      </c>
      <c r="U865" s="3">
        <v>19801.52</v>
      </c>
      <c r="V865" s="3">
        <v>11923.91</v>
      </c>
      <c r="W865" s="3">
        <v>7877.61</v>
      </c>
      <c r="X865" s="3">
        <v>39.78</v>
      </c>
      <c r="Y865" s="3">
        <v>99</v>
      </c>
      <c r="Z865" s="3" t="s">
        <v>43</v>
      </c>
      <c r="AA865" s="3" t="s">
        <v>672</v>
      </c>
      <c r="AB865" s="3" t="s">
        <v>101</v>
      </c>
      <c r="AC865" s="3"/>
    </row>
    <row r="866" spans="1:29" x14ac:dyDescent="0.3">
      <c r="A866" s="2" t="s">
        <v>4751</v>
      </c>
      <c r="B866" s="2" t="s">
        <v>4752</v>
      </c>
      <c r="C866" s="2" t="s">
        <v>1350</v>
      </c>
      <c r="D866" s="2" t="s">
        <v>4753</v>
      </c>
      <c r="E866" s="2" t="s">
        <v>33</v>
      </c>
      <c r="F866" s="2" t="s">
        <v>3543</v>
      </c>
      <c r="G866" s="2" t="s">
        <v>381</v>
      </c>
      <c r="H866" s="2" t="s">
        <v>2552</v>
      </c>
      <c r="I866" s="2">
        <v>7</v>
      </c>
      <c r="J866" s="2" t="s">
        <v>39</v>
      </c>
      <c r="K866" s="2" t="s">
        <v>193</v>
      </c>
      <c r="L866" s="2" t="s">
        <v>193</v>
      </c>
      <c r="M866" s="2" t="s">
        <v>1704</v>
      </c>
      <c r="N866" s="2" t="s">
        <v>1051</v>
      </c>
      <c r="O866" s="2" t="s">
        <v>28</v>
      </c>
      <c r="P866" s="2" t="s">
        <v>151</v>
      </c>
      <c r="Q866" s="2" t="s">
        <v>466</v>
      </c>
      <c r="R866" s="2">
        <v>1</v>
      </c>
      <c r="S866" s="2">
        <v>28739.7</v>
      </c>
      <c r="T866" s="2">
        <v>30</v>
      </c>
      <c r="U866" s="2">
        <v>20117.79</v>
      </c>
      <c r="V866" s="2">
        <v>13561.17</v>
      </c>
      <c r="W866" s="2">
        <v>6556.62</v>
      </c>
      <c r="X866" s="2">
        <v>32.590000000000003</v>
      </c>
      <c r="Y866" s="2">
        <v>149</v>
      </c>
      <c r="Z866" s="2" t="s">
        <v>30</v>
      </c>
      <c r="AA866" s="2" t="s">
        <v>100</v>
      </c>
      <c r="AB866" s="2" t="s">
        <v>101</v>
      </c>
      <c r="AC866" s="2">
        <v>3</v>
      </c>
    </row>
    <row r="867" spans="1:29" x14ac:dyDescent="0.3">
      <c r="A867" s="3" t="s">
        <v>4754</v>
      </c>
      <c r="B867" s="3" t="s">
        <v>4755</v>
      </c>
      <c r="C867" s="3" t="s">
        <v>1742</v>
      </c>
      <c r="D867" s="3" t="s">
        <v>4756</v>
      </c>
      <c r="E867" s="3" t="s">
        <v>26</v>
      </c>
      <c r="F867" s="3" t="s">
        <v>2518</v>
      </c>
      <c r="G867" s="3" t="s">
        <v>2519</v>
      </c>
      <c r="H867" s="3" t="s">
        <v>4757</v>
      </c>
      <c r="I867" s="3">
        <v>3</v>
      </c>
      <c r="J867" s="3" t="s">
        <v>39</v>
      </c>
      <c r="K867" s="3" t="s">
        <v>225</v>
      </c>
      <c r="L867" s="3" t="s">
        <v>225</v>
      </c>
      <c r="M867" s="3" t="s">
        <v>4758</v>
      </c>
      <c r="N867" s="3" t="s">
        <v>765</v>
      </c>
      <c r="O867" s="3" t="s">
        <v>27</v>
      </c>
      <c r="P867" s="3" t="s">
        <v>113</v>
      </c>
      <c r="Q867" s="3" t="s">
        <v>400</v>
      </c>
      <c r="R867" s="3">
        <v>5</v>
      </c>
      <c r="S867" s="3">
        <v>38506.36</v>
      </c>
      <c r="T867" s="3">
        <v>30</v>
      </c>
      <c r="U867" s="3">
        <v>134772.26</v>
      </c>
      <c r="V867" s="3">
        <v>72166.149999999994</v>
      </c>
      <c r="W867" s="3">
        <v>62606.11</v>
      </c>
      <c r="X867" s="3">
        <v>46.45</v>
      </c>
      <c r="Y867" s="3">
        <v>49</v>
      </c>
      <c r="Z867" s="3" t="s">
        <v>47</v>
      </c>
      <c r="AA867" s="3" t="s">
        <v>100</v>
      </c>
      <c r="AB867" s="3" t="s">
        <v>101</v>
      </c>
      <c r="AC867" s="3">
        <v>5</v>
      </c>
    </row>
    <row r="868" spans="1:29" x14ac:dyDescent="0.3">
      <c r="A868" s="2" t="s">
        <v>4759</v>
      </c>
      <c r="B868" s="2" t="s">
        <v>4760</v>
      </c>
      <c r="C868" s="2" t="s">
        <v>1505</v>
      </c>
      <c r="D868" s="2" t="s">
        <v>4761</v>
      </c>
      <c r="E868" s="2" t="s">
        <v>18</v>
      </c>
      <c r="F868" s="2" t="s">
        <v>2167</v>
      </c>
      <c r="G868" s="2" t="s">
        <v>3520</v>
      </c>
      <c r="H868" s="2" t="s">
        <v>2537</v>
      </c>
      <c r="I868" s="2">
        <v>3</v>
      </c>
      <c r="J868" s="2" t="s">
        <v>14</v>
      </c>
      <c r="K868" s="2" t="s">
        <v>183</v>
      </c>
      <c r="L868" s="2" t="s">
        <v>183</v>
      </c>
      <c r="M868" s="2" t="s">
        <v>4762</v>
      </c>
      <c r="N868" s="2" t="s">
        <v>740</v>
      </c>
      <c r="O868" s="2" t="s">
        <v>21</v>
      </c>
      <c r="P868" s="2" t="s">
        <v>126</v>
      </c>
      <c r="Q868" s="2" t="s">
        <v>246</v>
      </c>
      <c r="R868" s="2">
        <v>3</v>
      </c>
      <c r="S868" s="2">
        <v>7559.27</v>
      </c>
      <c r="T868" s="2">
        <v>15</v>
      </c>
      <c r="U868" s="2">
        <v>19276.14</v>
      </c>
      <c r="V868" s="2">
        <v>8921.32</v>
      </c>
      <c r="W868" s="2">
        <v>10354.82</v>
      </c>
      <c r="X868" s="2">
        <v>53.72</v>
      </c>
      <c r="Y868" s="2">
        <v>0</v>
      </c>
      <c r="Z868" s="2" t="s">
        <v>30</v>
      </c>
      <c r="AA868" s="2" t="s">
        <v>100</v>
      </c>
      <c r="AB868" s="2" t="s">
        <v>101</v>
      </c>
      <c r="AC868" s="2">
        <v>4</v>
      </c>
    </row>
    <row r="869" spans="1:29" x14ac:dyDescent="0.3">
      <c r="A869" s="3" t="s">
        <v>4763</v>
      </c>
      <c r="B869" s="3" t="s">
        <v>4764</v>
      </c>
      <c r="C869" s="3" t="s">
        <v>2572</v>
      </c>
      <c r="D869" s="3" t="s">
        <v>4765</v>
      </c>
      <c r="E869" s="3" t="s">
        <v>26</v>
      </c>
      <c r="F869" s="3" t="s">
        <v>461</v>
      </c>
      <c r="G869" s="3" t="s">
        <v>4403</v>
      </c>
      <c r="H869" s="3" t="s">
        <v>1005</v>
      </c>
      <c r="I869" s="3">
        <v>5</v>
      </c>
      <c r="J869" s="3" t="s">
        <v>29</v>
      </c>
      <c r="K869" s="3" t="s">
        <v>160</v>
      </c>
      <c r="L869" s="3" t="s">
        <v>976</v>
      </c>
      <c r="M869" s="3" t="s">
        <v>4766</v>
      </c>
      <c r="N869" s="3" t="s">
        <v>631</v>
      </c>
      <c r="O869" s="3" t="s">
        <v>19</v>
      </c>
      <c r="P869" s="3" t="s">
        <v>297</v>
      </c>
      <c r="Q869" s="3" t="s">
        <v>207</v>
      </c>
      <c r="R869" s="3">
        <v>3</v>
      </c>
      <c r="S869" s="3">
        <v>12779.36</v>
      </c>
      <c r="T869" s="3">
        <v>5</v>
      </c>
      <c r="U869" s="3">
        <v>36421.18</v>
      </c>
      <c r="V869" s="3">
        <v>23823.34</v>
      </c>
      <c r="W869" s="3">
        <v>12597.84</v>
      </c>
      <c r="X869" s="3">
        <v>34.590000000000003</v>
      </c>
      <c r="Y869" s="3">
        <v>99</v>
      </c>
      <c r="Z869" s="3" t="s">
        <v>47</v>
      </c>
      <c r="AA869" s="3" t="s">
        <v>100</v>
      </c>
      <c r="AB869" s="3" t="s">
        <v>101</v>
      </c>
      <c r="AC869" s="3">
        <v>4</v>
      </c>
    </row>
    <row r="870" spans="1:29" x14ac:dyDescent="0.3">
      <c r="A870" s="2" t="s">
        <v>4767</v>
      </c>
      <c r="B870" s="2" t="s">
        <v>4768</v>
      </c>
      <c r="C870" s="2" t="s">
        <v>4617</v>
      </c>
      <c r="D870" s="2" t="s">
        <v>4769</v>
      </c>
      <c r="E870" s="2" t="s">
        <v>42</v>
      </c>
      <c r="F870" s="2" t="s">
        <v>1950</v>
      </c>
      <c r="G870" s="2" t="s">
        <v>1951</v>
      </c>
      <c r="H870" s="2" t="s">
        <v>2006</v>
      </c>
      <c r="I870" s="2">
        <v>4</v>
      </c>
      <c r="J870" s="2" t="s">
        <v>14</v>
      </c>
      <c r="K870" s="2" t="s">
        <v>183</v>
      </c>
      <c r="L870" s="2" t="s">
        <v>183</v>
      </c>
      <c r="M870" s="2" t="s">
        <v>4770</v>
      </c>
      <c r="N870" s="2" t="s">
        <v>1380</v>
      </c>
      <c r="O870" s="2" t="s">
        <v>28</v>
      </c>
      <c r="P870" s="2" t="s">
        <v>137</v>
      </c>
      <c r="Q870" s="2" t="s">
        <v>138</v>
      </c>
      <c r="R870" s="2">
        <v>1</v>
      </c>
      <c r="S870" s="2">
        <v>13207.86</v>
      </c>
      <c r="T870" s="2">
        <v>5</v>
      </c>
      <c r="U870" s="2">
        <v>12547.47</v>
      </c>
      <c r="V870" s="2">
        <v>7688.03</v>
      </c>
      <c r="W870" s="2">
        <v>4859.4399999999996</v>
      </c>
      <c r="X870" s="2">
        <v>38.729999999999997</v>
      </c>
      <c r="Y870" s="2">
        <v>49</v>
      </c>
      <c r="Z870" s="2" t="s">
        <v>47</v>
      </c>
      <c r="AA870" s="2" t="s">
        <v>275</v>
      </c>
      <c r="AB870" s="2" t="s">
        <v>101</v>
      </c>
      <c r="AC870" s="2"/>
    </row>
    <row r="871" spans="1:29" x14ac:dyDescent="0.3">
      <c r="A871" s="3" t="s">
        <v>4771</v>
      </c>
      <c r="B871" s="3" t="s">
        <v>4772</v>
      </c>
      <c r="C871" s="3" t="s">
        <v>240</v>
      </c>
      <c r="D871" s="3" t="s">
        <v>4773</v>
      </c>
      <c r="E871" s="3" t="s">
        <v>18</v>
      </c>
      <c r="F871" s="3" t="s">
        <v>3495</v>
      </c>
      <c r="G871" s="3" t="s">
        <v>900</v>
      </c>
      <c r="H871" s="3" t="s">
        <v>1841</v>
      </c>
      <c r="I871" s="3">
        <v>2</v>
      </c>
      <c r="J871" s="3" t="s">
        <v>14</v>
      </c>
      <c r="K871" s="3" t="s">
        <v>95</v>
      </c>
      <c r="L871" s="3" t="s">
        <v>95</v>
      </c>
      <c r="M871" s="3" t="s">
        <v>4774</v>
      </c>
      <c r="N871" s="3" t="s">
        <v>889</v>
      </c>
      <c r="O871" s="3" t="s">
        <v>27</v>
      </c>
      <c r="P871" s="3" t="s">
        <v>257</v>
      </c>
      <c r="Q871" s="3" t="s">
        <v>218</v>
      </c>
      <c r="R871" s="3">
        <v>1</v>
      </c>
      <c r="S871" s="3">
        <v>1796.48</v>
      </c>
      <c r="T871" s="3">
        <v>0</v>
      </c>
      <c r="U871" s="3">
        <v>1796.48</v>
      </c>
      <c r="V871" s="3">
        <v>818.05</v>
      </c>
      <c r="W871" s="3">
        <v>978.43</v>
      </c>
      <c r="X871" s="3">
        <v>54.46</v>
      </c>
      <c r="Y871" s="3">
        <v>149</v>
      </c>
      <c r="Z871" s="3" t="s">
        <v>43</v>
      </c>
      <c r="AA871" s="3" t="s">
        <v>100</v>
      </c>
      <c r="AB871" s="3" t="s">
        <v>101</v>
      </c>
      <c r="AC871" s="3">
        <v>3</v>
      </c>
    </row>
    <row r="872" spans="1:29" x14ac:dyDescent="0.3">
      <c r="A872" s="2" t="s">
        <v>4775</v>
      </c>
      <c r="B872" s="2" t="s">
        <v>4776</v>
      </c>
      <c r="C872" s="2" t="s">
        <v>586</v>
      </c>
      <c r="D872" s="2" t="s">
        <v>4777</v>
      </c>
      <c r="E872" s="2" t="s">
        <v>18</v>
      </c>
      <c r="F872" s="2" t="s">
        <v>4778</v>
      </c>
      <c r="G872" s="2" t="s">
        <v>386</v>
      </c>
      <c r="H872" s="2" t="s">
        <v>4779</v>
      </c>
      <c r="I872" s="2">
        <v>6</v>
      </c>
      <c r="J872" s="2" t="s">
        <v>39</v>
      </c>
      <c r="K872" s="2" t="s">
        <v>225</v>
      </c>
      <c r="L872" s="2" t="s">
        <v>225</v>
      </c>
      <c r="M872" s="2" t="s">
        <v>4780</v>
      </c>
      <c r="N872" s="2" t="s">
        <v>316</v>
      </c>
      <c r="O872" s="2" t="s">
        <v>28</v>
      </c>
      <c r="P872" s="2" t="s">
        <v>137</v>
      </c>
      <c r="Q872" s="2" t="s">
        <v>509</v>
      </c>
      <c r="R872" s="2">
        <v>4</v>
      </c>
      <c r="S872" s="2">
        <v>34754.39</v>
      </c>
      <c r="T872" s="2">
        <v>30</v>
      </c>
      <c r="U872" s="2">
        <v>97312.29</v>
      </c>
      <c r="V872" s="2">
        <v>53862.06</v>
      </c>
      <c r="W872" s="2">
        <v>43450.23</v>
      </c>
      <c r="X872" s="2">
        <v>44.65</v>
      </c>
      <c r="Y872" s="2">
        <v>0</v>
      </c>
      <c r="Z872" s="2" t="s">
        <v>23</v>
      </c>
      <c r="AA872" s="2" t="s">
        <v>186</v>
      </c>
      <c r="AB872" s="2" t="s">
        <v>101</v>
      </c>
      <c r="AC872" s="2"/>
    </row>
    <row r="873" spans="1:29" x14ac:dyDescent="0.3">
      <c r="A873" s="3" t="s">
        <v>4781</v>
      </c>
      <c r="B873" s="3" t="s">
        <v>4782</v>
      </c>
      <c r="C873" s="3" t="s">
        <v>478</v>
      </c>
      <c r="D873" s="3" t="s">
        <v>4783</v>
      </c>
      <c r="E873" s="3" t="s">
        <v>18</v>
      </c>
      <c r="F873" s="3" t="s">
        <v>3630</v>
      </c>
      <c r="G873" s="3" t="s">
        <v>1609</v>
      </c>
      <c r="H873" s="3" t="s">
        <v>3560</v>
      </c>
      <c r="I873" s="3">
        <v>7</v>
      </c>
      <c r="J873" s="3" t="s">
        <v>22</v>
      </c>
      <c r="K873" s="3" t="s">
        <v>738</v>
      </c>
      <c r="L873" s="3" t="s">
        <v>738</v>
      </c>
      <c r="M873" s="3" t="s">
        <v>4784</v>
      </c>
      <c r="N873" s="3" t="s">
        <v>475</v>
      </c>
      <c r="O873" s="3" t="s">
        <v>13</v>
      </c>
      <c r="P873" s="3" t="s">
        <v>228</v>
      </c>
      <c r="Q873" s="3" t="s">
        <v>197</v>
      </c>
      <c r="R873" s="3">
        <v>5</v>
      </c>
      <c r="S873" s="3">
        <v>49010.7</v>
      </c>
      <c r="T873" s="3">
        <v>5</v>
      </c>
      <c r="U873" s="3">
        <v>232800.82</v>
      </c>
      <c r="V873" s="3">
        <v>161575.79</v>
      </c>
      <c r="W873" s="3">
        <v>71225.03</v>
      </c>
      <c r="X873" s="3">
        <v>30.59</v>
      </c>
      <c r="Y873" s="3">
        <v>0</v>
      </c>
      <c r="Z873" s="3" t="s">
        <v>40</v>
      </c>
      <c r="AA873" s="3" t="s">
        <v>100</v>
      </c>
      <c r="AB873" s="3" t="s">
        <v>101</v>
      </c>
      <c r="AC873" s="3">
        <v>1</v>
      </c>
    </row>
    <row r="874" spans="1:29" x14ac:dyDescent="0.3">
      <c r="A874" s="2" t="s">
        <v>4785</v>
      </c>
      <c r="B874" s="2" t="s">
        <v>4786</v>
      </c>
      <c r="C874" s="2" t="s">
        <v>1797</v>
      </c>
      <c r="D874" s="2" t="s">
        <v>4787</v>
      </c>
      <c r="E874" s="2" t="s">
        <v>26</v>
      </c>
      <c r="F874" s="2" t="s">
        <v>2354</v>
      </c>
      <c r="G874" s="2" t="s">
        <v>612</v>
      </c>
      <c r="H874" s="2" t="s">
        <v>3919</v>
      </c>
      <c r="I874" s="2">
        <v>6</v>
      </c>
      <c r="J874" s="2" t="s">
        <v>22</v>
      </c>
      <c r="K874" s="2" t="s">
        <v>254</v>
      </c>
      <c r="L874" s="2" t="s">
        <v>254</v>
      </c>
      <c r="M874" s="2" t="s">
        <v>4788</v>
      </c>
      <c r="N874" s="2" t="s">
        <v>399</v>
      </c>
      <c r="O874" s="2" t="s">
        <v>21</v>
      </c>
      <c r="P874" s="2" t="s">
        <v>196</v>
      </c>
      <c r="Q874" s="2" t="s">
        <v>355</v>
      </c>
      <c r="R874" s="2">
        <v>3</v>
      </c>
      <c r="S874" s="2">
        <v>15459.98</v>
      </c>
      <c r="T874" s="2">
        <v>0</v>
      </c>
      <c r="U874" s="2">
        <v>46379.94</v>
      </c>
      <c r="V874" s="2">
        <v>27123.31</v>
      </c>
      <c r="W874" s="2">
        <v>19256.63</v>
      </c>
      <c r="X874" s="2">
        <v>41.52</v>
      </c>
      <c r="Y874" s="2">
        <v>49</v>
      </c>
      <c r="Z874" s="2" t="s">
        <v>23</v>
      </c>
      <c r="AA874" s="2" t="s">
        <v>100</v>
      </c>
      <c r="AB874" s="2" t="s">
        <v>101</v>
      </c>
      <c r="AC874" s="2">
        <v>4</v>
      </c>
    </row>
    <row r="875" spans="1:29" x14ac:dyDescent="0.3">
      <c r="A875" s="3" t="s">
        <v>4789</v>
      </c>
      <c r="B875" s="3" t="s">
        <v>4790</v>
      </c>
      <c r="C875" s="3" t="s">
        <v>716</v>
      </c>
      <c r="D875" s="3" t="s">
        <v>4791</v>
      </c>
      <c r="E875" s="3" t="s">
        <v>42</v>
      </c>
      <c r="F875" s="3" t="s">
        <v>2854</v>
      </c>
      <c r="G875" s="3" t="s">
        <v>2855</v>
      </c>
      <c r="H875" s="3" t="s">
        <v>2920</v>
      </c>
      <c r="I875" s="3">
        <v>3</v>
      </c>
      <c r="J875" s="3" t="s">
        <v>29</v>
      </c>
      <c r="K875" s="3" t="s">
        <v>334</v>
      </c>
      <c r="L875" s="3" t="s">
        <v>335</v>
      </c>
      <c r="M875" s="3" t="s">
        <v>4792</v>
      </c>
      <c r="N875" s="3" t="s">
        <v>364</v>
      </c>
      <c r="O875" s="3" t="s">
        <v>19</v>
      </c>
      <c r="P875" s="3" t="s">
        <v>365</v>
      </c>
      <c r="Q875" s="3" t="s">
        <v>152</v>
      </c>
      <c r="R875" s="3">
        <v>4</v>
      </c>
      <c r="S875" s="3">
        <v>8694.69</v>
      </c>
      <c r="T875" s="3">
        <v>30</v>
      </c>
      <c r="U875" s="3">
        <v>24345.13</v>
      </c>
      <c r="V875" s="3">
        <v>13937.73</v>
      </c>
      <c r="W875" s="3">
        <v>10407.4</v>
      </c>
      <c r="X875" s="3">
        <v>42.75</v>
      </c>
      <c r="Y875" s="3">
        <v>0</v>
      </c>
      <c r="Z875" s="3" t="s">
        <v>43</v>
      </c>
      <c r="AA875" s="3" t="s">
        <v>100</v>
      </c>
      <c r="AB875" s="3" t="s">
        <v>101</v>
      </c>
      <c r="AC875" s="3">
        <v>2</v>
      </c>
    </row>
    <row r="876" spans="1:29" x14ac:dyDescent="0.3">
      <c r="A876" s="2" t="s">
        <v>4793</v>
      </c>
      <c r="B876" s="2" t="s">
        <v>4794</v>
      </c>
      <c r="C876" s="2" t="s">
        <v>2286</v>
      </c>
      <c r="D876" s="2" t="s">
        <v>4795</v>
      </c>
      <c r="E876" s="2" t="s">
        <v>33</v>
      </c>
      <c r="F876" s="2" t="s">
        <v>3405</v>
      </c>
      <c r="G876" s="2" t="s">
        <v>2423</v>
      </c>
      <c r="H876" s="2" t="s">
        <v>661</v>
      </c>
      <c r="I876" s="2">
        <v>6</v>
      </c>
      <c r="J876" s="2" t="s">
        <v>29</v>
      </c>
      <c r="K876" s="2" t="s">
        <v>427</v>
      </c>
      <c r="L876" s="2" t="s">
        <v>1081</v>
      </c>
      <c r="M876" s="2" t="s">
        <v>4796</v>
      </c>
      <c r="N876" s="2" t="s">
        <v>256</v>
      </c>
      <c r="O876" s="2" t="s">
        <v>27</v>
      </c>
      <c r="P876" s="2" t="s">
        <v>257</v>
      </c>
      <c r="Q876" s="2" t="s">
        <v>608</v>
      </c>
      <c r="R876" s="2">
        <v>2</v>
      </c>
      <c r="S876" s="2">
        <v>22290.36</v>
      </c>
      <c r="T876" s="2">
        <v>15</v>
      </c>
      <c r="U876" s="2">
        <v>37893.61</v>
      </c>
      <c r="V876" s="2">
        <v>17356.560000000001</v>
      </c>
      <c r="W876" s="2">
        <v>20537.05</v>
      </c>
      <c r="X876" s="2">
        <v>54.2</v>
      </c>
      <c r="Y876" s="2">
        <v>149</v>
      </c>
      <c r="Z876" s="2" t="s">
        <v>43</v>
      </c>
      <c r="AA876" s="2" t="s">
        <v>275</v>
      </c>
      <c r="AB876" s="2" t="s">
        <v>101</v>
      </c>
      <c r="AC876" s="2"/>
    </row>
    <row r="877" spans="1:29" x14ac:dyDescent="0.3">
      <c r="A877" s="3" t="s">
        <v>4797</v>
      </c>
      <c r="B877" s="3" t="s">
        <v>4798</v>
      </c>
      <c r="C877" s="3" t="s">
        <v>967</v>
      </c>
      <c r="D877" s="3" t="s">
        <v>4799</v>
      </c>
      <c r="E877" s="3" t="s">
        <v>42</v>
      </c>
      <c r="F877" s="3" t="s">
        <v>653</v>
      </c>
      <c r="G877" s="3" t="s">
        <v>654</v>
      </c>
      <c r="H877" s="3" t="s">
        <v>2041</v>
      </c>
      <c r="I877" s="3">
        <v>4</v>
      </c>
      <c r="J877" s="3" t="s">
        <v>22</v>
      </c>
      <c r="K877" s="3" t="s">
        <v>283</v>
      </c>
      <c r="L877" s="3" t="s">
        <v>1346</v>
      </c>
      <c r="M877" s="3" t="s">
        <v>4800</v>
      </c>
      <c r="N877" s="3" t="s">
        <v>125</v>
      </c>
      <c r="O877" s="3" t="s">
        <v>21</v>
      </c>
      <c r="P877" s="3" t="s">
        <v>126</v>
      </c>
      <c r="Q877" s="3" t="s">
        <v>608</v>
      </c>
      <c r="R877" s="3">
        <v>5</v>
      </c>
      <c r="S877" s="3">
        <v>40460.1</v>
      </c>
      <c r="T877" s="3">
        <v>10</v>
      </c>
      <c r="U877" s="3">
        <v>182070.45</v>
      </c>
      <c r="V877" s="3">
        <v>124008.56</v>
      </c>
      <c r="W877" s="3">
        <v>58061.89</v>
      </c>
      <c r="X877" s="3">
        <v>31.89</v>
      </c>
      <c r="Y877" s="3">
        <v>149</v>
      </c>
      <c r="Z877" s="3" t="s">
        <v>30</v>
      </c>
      <c r="AA877" s="3" t="s">
        <v>100</v>
      </c>
      <c r="AB877" s="3" t="s">
        <v>101</v>
      </c>
      <c r="AC877" s="3">
        <v>1</v>
      </c>
    </row>
    <row r="878" spans="1:29" x14ac:dyDescent="0.3">
      <c r="A878" s="2" t="s">
        <v>4801</v>
      </c>
      <c r="B878" s="2" t="s">
        <v>4802</v>
      </c>
      <c r="C878" s="2" t="s">
        <v>1730</v>
      </c>
      <c r="D878" s="2" t="s">
        <v>4803</v>
      </c>
      <c r="E878" s="2" t="s">
        <v>26</v>
      </c>
      <c r="F878" s="2" t="s">
        <v>343</v>
      </c>
      <c r="G878" s="2" t="s">
        <v>3157</v>
      </c>
      <c r="H878" s="2" t="s">
        <v>1647</v>
      </c>
      <c r="I878" s="2">
        <v>2</v>
      </c>
      <c r="J878" s="2" t="s">
        <v>39</v>
      </c>
      <c r="K878" s="2" t="s">
        <v>109</v>
      </c>
      <c r="L878" s="2" t="s">
        <v>134</v>
      </c>
      <c r="M878" s="2" t="s">
        <v>4804</v>
      </c>
      <c r="N878" s="2" t="s">
        <v>1051</v>
      </c>
      <c r="O878" s="2" t="s">
        <v>28</v>
      </c>
      <c r="P878" s="2" t="s">
        <v>151</v>
      </c>
      <c r="Q878" s="2" t="s">
        <v>197</v>
      </c>
      <c r="R878" s="2">
        <v>5</v>
      </c>
      <c r="S878" s="2">
        <v>28401.52</v>
      </c>
      <c r="T878" s="2">
        <v>10</v>
      </c>
      <c r="U878" s="2">
        <v>127806.84</v>
      </c>
      <c r="V878" s="2">
        <v>67515.47</v>
      </c>
      <c r="W878" s="2">
        <v>60291.37</v>
      </c>
      <c r="X878" s="2">
        <v>47.17</v>
      </c>
      <c r="Y878" s="2">
        <v>0</v>
      </c>
      <c r="Z878" s="2" t="s">
        <v>43</v>
      </c>
      <c r="AA878" s="2" t="s">
        <v>100</v>
      </c>
      <c r="AB878" s="2" t="s">
        <v>101</v>
      </c>
      <c r="AC878" s="2"/>
    </row>
    <row r="879" spans="1:29" x14ac:dyDescent="0.3">
      <c r="A879" s="3" t="s">
        <v>4805</v>
      </c>
      <c r="B879" s="3" t="s">
        <v>4806</v>
      </c>
      <c r="C879" s="3" t="s">
        <v>2097</v>
      </c>
      <c r="D879" s="3" t="s">
        <v>4807</v>
      </c>
      <c r="E879" s="3" t="s">
        <v>33</v>
      </c>
      <c r="F879" s="3" t="s">
        <v>4808</v>
      </c>
      <c r="G879" s="3" t="s">
        <v>242</v>
      </c>
      <c r="H879" s="3" t="s">
        <v>244</v>
      </c>
      <c r="I879" s="3">
        <v>5</v>
      </c>
      <c r="J879" s="3" t="s">
        <v>39</v>
      </c>
      <c r="K879" s="3" t="s">
        <v>109</v>
      </c>
      <c r="L879" s="3" t="s">
        <v>134</v>
      </c>
      <c r="M879" s="3" t="s">
        <v>4809</v>
      </c>
      <c r="N879" s="3" t="s">
        <v>533</v>
      </c>
      <c r="O879" s="3" t="s">
        <v>19</v>
      </c>
      <c r="P879" s="3" t="s">
        <v>297</v>
      </c>
      <c r="Q879" s="3" t="s">
        <v>218</v>
      </c>
      <c r="R879" s="3">
        <v>1</v>
      </c>
      <c r="S879" s="3">
        <v>40234.33</v>
      </c>
      <c r="T879" s="3">
        <v>0</v>
      </c>
      <c r="U879" s="3">
        <v>40234.33</v>
      </c>
      <c r="V879" s="3">
        <v>18446.34</v>
      </c>
      <c r="W879" s="3">
        <v>21787.99</v>
      </c>
      <c r="X879" s="3">
        <v>54.15</v>
      </c>
      <c r="Y879" s="3">
        <v>99</v>
      </c>
      <c r="Z879" s="3" t="s">
        <v>30</v>
      </c>
      <c r="AA879" s="3" t="s">
        <v>100</v>
      </c>
      <c r="AB879" s="3" t="s">
        <v>101</v>
      </c>
      <c r="AC879" s="3">
        <v>2</v>
      </c>
    </row>
    <row r="880" spans="1:29" x14ac:dyDescent="0.3">
      <c r="A880" s="2" t="s">
        <v>4810</v>
      </c>
      <c r="B880" s="2" t="s">
        <v>4811</v>
      </c>
      <c r="C880" s="2" t="s">
        <v>1700</v>
      </c>
      <c r="D880" s="2" t="s">
        <v>4812</v>
      </c>
      <c r="E880" s="2" t="s">
        <v>26</v>
      </c>
      <c r="F880" s="2" t="s">
        <v>1533</v>
      </c>
      <c r="G880" s="2" t="s">
        <v>1385</v>
      </c>
      <c r="H880" s="2" t="s">
        <v>4813</v>
      </c>
      <c r="I880" s="2">
        <v>5</v>
      </c>
      <c r="J880" s="2" t="s">
        <v>14</v>
      </c>
      <c r="K880" s="2" t="s">
        <v>712</v>
      </c>
      <c r="L880" s="2" t="s">
        <v>712</v>
      </c>
      <c r="M880" s="2" t="s">
        <v>4814</v>
      </c>
      <c r="N880" s="2" t="s">
        <v>533</v>
      </c>
      <c r="O880" s="2" t="s">
        <v>19</v>
      </c>
      <c r="P880" s="2" t="s">
        <v>297</v>
      </c>
      <c r="Q880" s="2" t="s">
        <v>114</v>
      </c>
      <c r="R880" s="2">
        <v>1</v>
      </c>
      <c r="S880" s="2">
        <v>47638.99</v>
      </c>
      <c r="T880" s="2">
        <v>25</v>
      </c>
      <c r="U880" s="2">
        <v>35729.24</v>
      </c>
      <c r="V880" s="2">
        <v>18956.47</v>
      </c>
      <c r="W880" s="2">
        <v>16772.77</v>
      </c>
      <c r="X880" s="2">
        <v>46.94</v>
      </c>
      <c r="Y880" s="2">
        <v>49</v>
      </c>
      <c r="Z880" s="2" t="s">
        <v>40</v>
      </c>
      <c r="AA880" s="2" t="s">
        <v>100</v>
      </c>
      <c r="AB880" s="2" t="s">
        <v>101</v>
      </c>
      <c r="AC880" s="2">
        <v>1</v>
      </c>
    </row>
    <row r="881" spans="1:29" x14ac:dyDescent="0.3">
      <c r="A881" s="3" t="s">
        <v>4815</v>
      </c>
      <c r="B881" s="3" t="s">
        <v>4816</v>
      </c>
      <c r="C881" s="3" t="s">
        <v>967</v>
      </c>
      <c r="D881" s="3" t="s">
        <v>4817</v>
      </c>
      <c r="E881" s="3" t="s">
        <v>33</v>
      </c>
      <c r="F881" s="3" t="s">
        <v>1977</v>
      </c>
      <c r="G881" s="3" t="s">
        <v>1321</v>
      </c>
      <c r="H881" s="3" t="s">
        <v>1322</v>
      </c>
      <c r="I881" s="3">
        <v>3</v>
      </c>
      <c r="J881" s="3" t="s">
        <v>39</v>
      </c>
      <c r="K881" s="3" t="s">
        <v>193</v>
      </c>
      <c r="L881" s="3" t="s">
        <v>193</v>
      </c>
      <c r="M881" s="3" t="s">
        <v>4818</v>
      </c>
      <c r="N881" s="3" t="s">
        <v>765</v>
      </c>
      <c r="O881" s="3" t="s">
        <v>27</v>
      </c>
      <c r="P881" s="3" t="s">
        <v>113</v>
      </c>
      <c r="Q881" s="3" t="s">
        <v>287</v>
      </c>
      <c r="R881" s="3">
        <v>5</v>
      </c>
      <c r="S881" s="3">
        <v>32323.89</v>
      </c>
      <c r="T881" s="3">
        <v>5</v>
      </c>
      <c r="U881" s="3">
        <v>153538.48000000001</v>
      </c>
      <c r="V881" s="3">
        <v>96534.76</v>
      </c>
      <c r="W881" s="3">
        <v>57003.72</v>
      </c>
      <c r="X881" s="3">
        <v>37.130000000000003</v>
      </c>
      <c r="Y881" s="3">
        <v>49</v>
      </c>
      <c r="Z881" s="3" t="s">
        <v>23</v>
      </c>
      <c r="AA881" s="3" t="s">
        <v>275</v>
      </c>
      <c r="AB881" s="3" t="s">
        <v>101</v>
      </c>
      <c r="AC881" s="3"/>
    </row>
    <row r="882" spans="1:29" x14ac:dyDescent="0.3">
      <c r="A882" s="2" t="s">
        <v>4819</v>
      </c>
      <c r="B882" s="2" t="s">
        <v>4820</v>
      </c>
      <c r="C882" s="2" t="s">
        <v>855</v>
      </c>
      <c r="D882" s="2" t="s">
        <v>4821</v>
      </c>
      <c r="E882" s="2" t="s">
        <v>26</v>
      </c>
      <c r="F882" s="2" t="s">
        <v>1242</v>
      </c>
      <c r="G882" s="2" t="s">
        <v>580</v>
      </c>
      <c r="H882" s="2" t="s">
        <v>414</v>
      </c>
      <c r="I882" s="2">
        <v>5</v>
      </c>
      <c r="J882" s="2" t="s">
        <v>22</v>
      </c>
      <c r="K882" s="2" t="s">
        <v>738</v>
      </c>
      <c r="L882" s="2" t="s">
        <v>738</v>
      </c>
      <c r="M882" s="2" t="s">
        <v>4822</v>
      </c>
      <c r="N882" s="2" t="s">
        <v>648</v>
      </c>
      <c r="O882" s="2" t="s">
        <v>27</v>
      </c>
      <c r="P882" s="2" t="s">
        <v>113</v>
      </c>
      <c r="Q882" s="2" t="s">
        <v>287</v>
      </c>
      <c r="R882" s="2">
        <v>5</v>
      </c>
      <c r="S882" s="2">
        <v>9809.3700000000008</v>
      </c>
      <c r="T882" s="2">
        <v>0</v>
      </c>
      <c r="U882" s="2">
        <v>49046.85</v>
      </c>
      <c r="V882" s="2">
        <v>30496.080000000002</v>
      </c>
      <c r="W882" s="2">
        <v>18550.77</v>
      </c>
      <c r="X882" s="2">
        <v>37.82</v>
      </c>
      <c r="Y882" s="2">
        <v>99</v>
      </c>
      <c r="Z882" s="2" t="s">
        <v>40</v>
      </c>
      <c r="AA882" s="2" t="s">
        <v>275</v>
      </c>
      <c r="AB882" s="2" t="s">
        <v>101</v>
      </c>
      <c r="AC882" s="2"/>
    </row>
    <row r="883" spans="1:29" x14ac:dyDescent="0.3">
      <c r="A883" s="3" t="s">
        <v>4823</v>
      </c>
      <c r="B883" s="3" t="s">
        <v>4824</v>
      </c>
      <c r="C883" s="3" t="s">
        <v>1484</v>
      </c>
      <c r="D883" s="3" t="s">
        <v>4825</v>
      </c>
      <c r="E883" s="3" t="s">
        <v>42</v>
      </c>
      <c r="F883" s="3" t="s">
        <v>3331</v>
      </c>
      <c r="G883" s="3" t="s">
        <v>1033</v>
      </c>
      <c r="H883" s="3" t="s">
        <v>1034</v>
      </c>
      <c r="I883" s="3">
        <v>3</v>
      </c>
      <c r="J883" s="3" t="s">
        <v>14</v>
      </c>
      <c r="K883" s="3" t="s">
        <v>95</v>
      </c>
      <c r="L883" s="3" t="s">
        <v>95</v>
      </c>
      <c r="M883" s="3" t="s">
        <v>4826</v>
      </c>
      <c r="N883" s="3" t="s">
        <v>1332</v>
      </c>
      <c r="O883" s="3" t="s">
        <v>19</v>
      </c>
      <c r="P883" s="3" t="s">
        <v>447</v>
      </c>
      <c r="Q883" s="3" t="s">
        <v>355</v>
      </c>
      <c r="R883" s="3">
        <v>2</v>
      </c>
      <c r="S883" s="3">
        <v>43312.32</v>
      </c>
      <c r="T883" s="3">
        <v>10</v>
      </c>
      <c r="U883" s="3">
        <v>77962.179999999993</v>
      </c>
      <c r="V883" s="3">
        <v>36220.870000000003</v>
      </c>
      <c r="W883" s="3">
        <v>41741.31</v>
      </c>
      <c r="X883" s="3">
        <v>53.54</v>
      </c>
      <c r="Y883" s="3">
        <v>29</v>
      </c>
      <c r="Z883" s="3" t="s">
        <v>47</v>
      </c>
      <c r="AA883" s="3" t="s">
        <v>100</v>
      </c>
      <c r="AB883" s="3" t="s">
        <v>101</v>
      </c>
      <c r="AC883" s="3"/>
    </row>
    <row r="884" spans="1:29" x14ac:dyDescent="0.3">
      <c r="A884" s="2" t="s">
        <v>4827</v>
      </c>
      <c r="B884" s="2" t="s">
        <v>4828</v>
      </c>
      <c r="C884" s="2" t="s">
        <v>117</v>
      </c>
      <c r="D884" s="2" t="s">
        <v>4829</v>
      </c>
      <c r="E884" s="2" t="s">
        <v>33</v>
      </c>
      <c r="F884" s="2" t="s">
        <v>701</v>
      </c>
      <c r="G884" s="2" t="s">
        <v>4830</v>
      </c>
      <c r="H884" s="2" t="s">
        <v>683</v>
      </c>
      <c r="I884" s="2">
        <v>3</v>
      </c>
      <c r="J884" s="2" t="s">
        <v>39</v>
      </c>
      <c r="K884" s="2" t="s">
        <v>225</v>
      </c>
      <c r="L884" s="2" t="s">
        <v>225</v>
      </c>
      <c r="M884" s="2" t="s">
        <v>4831</v>
      </c>
      <c r="N884" s="2" t="s">
        <v>583</v>
      </c>
      <c r="O884" s="2" t="s">
        <v>19</v>
      </c>
      <c r="P884" s="2" t="s">
        <v>447</v>
      </c>
      <c r="Q884" s="2" t="s">
        <v>355</v>
      </c>
      <c r="R884" s="2">
        <v>5</v>
      </c>
      <c r="S884" s="2">
        <v>48893.79</v>
      </c>
      <c r="T884" s="2">
        <v>25</v>
      </c>
      <c r="U884" s="2">
        <v>183351.71</v>
      </c>
      <c r="V884" s="2">
        <v>96036.91</v>
      </c>
      <c r="W884" s="2">
        <v>87314.8</v>
      </c>
      <c r="X884" s="2">
        <v>47.62</v>
      </c>
      <c r="Y884" s="2">
        <v>0</v>
      </c>
      <c r="Z884" s="2" t="s">
        <v>23</v>
      </c>
      <c r="AA884" s="2" t="s">
        <v>100</v>
      </c>
      <c r="AB884" s="2" t="s">
        <v>101</v>
      </c>
      <c r="AC884" s="2"/>
    </row>
    <row r="885" spans="1:29" x14ac:dyDescent="0.3">
      <c r="A885" s="3" t="s">
        <v>4832</v>
      </c>
      <c r="B885" s="3" t="s">
        <v>4833</v>
      </c>
      <c r="C885" s="3" t="s">
        <v>348</v>
      </c>
      <c r="D885" s="3" t="s">
        <v>4834</v>
      </c>
      <c r="E885" s="3" t="s">
        <v>33</v>
      </c>
      <c r="F885" s="3" t="s">
        <v>2476</v>
      </c>
      <c r="G885" s="3" t="s">
        <v>2048</v>
      </c>
      <c r="H885" s="3" t="s">
        <v>1540</v>
      </c>
      <c r="I885" s="3">
        <v>7</v>
      </c>
      <c r="J885" s="3" t="s">
        <v>22</v>
      </c>
      <c r="K885" s="3" t="s">
        <v>738</v>
      </c>
      <c r="L885" s="3" t="s">
        <v>738</v>
      </c>
      <c r="M885" s="3" t="s">
        <v>4835</v>
      </c>
      <c r="N885" s="3" t="s">
        <v>1802</v>
      </c>
      <c r="O885" s="3" t="s">
        <v>28</v>
      </c>
      <c r="P885" s="3" t="s">
        <v>137</v>
      </c>
      <c r="Q885" s="3" t="s">
        <v>114</v>
      </c>
      <c r="R885" s="3">
        <v>2</v>
      </c>
      <c r="S885" s="3">
        <v>41006.36</v>
      </c>
      <c r="T885" s="3">
        <v>0</v>
      </c>
      <c r="U885" s="3">
        <v>82012.72</v>
      </c>
      <c r="V885" s="3">
        <v>50511.81</v>
      </c>
      <c r="W885" s="3">
        <v>31500.91</v>
      </c>
      <c r="X885" s="3">
        <v>38.409999999999997</v>
      </c>
      <c r="Y885" s="3">
        <v>99</v>
      </c>
      <c r="Z885" s="3" t="s">
        <v>15</v>
      </c>
      <c r="AA885" s="3" t="s">
        <v>100</v>
      </c>
      <c r="AB885" s="3" t="s">
        <v>101</v>
      </c>
      <c r="AC885" s="3">
        <v>2</v>
      </c>
    </row>
    <row r="886" spans="1:29" x14ac:dyDescent="0.3">
      <c r="A886" s="2" t="s">
        <v>4836</v>
      </c>
      <c r="B886" s="2" t="s">
        <v>4837</v>
      </c>
      <c r="C886" s="2" t="s">
        <v>221</v>
      </c>
      <c r="D886" s="2" t="s">
        <v>4838</v>
      </c>
      <c r="E886" s="2" t="s">
        <v>33</v>
      </c>
      <c r="F886" s="2" t="s">
        <v>859</v>
      </c>
      <c r="G886" s="2" t="s">
        <v>1563</v>
      </c>
      <c r="H886" s="2" t="s">
        <v>1429</v>
      </c>
      <c r="I886" s="2">
        <v>4</v>
      </c>
      <c r="J886" s="2" t="s">
        <v>14</v>
      </c>
      <c r="K886" s="2" t="s">
        <v>95</v>
      </c>
      <c r="L886" s="2" t="s">
        <v>95</v>
      </c>
      <c r="M886" s="2" t="s">
        <v>4839</v>
      </c>
      <c r="N886" s="2" t="s">
        <v>475</v>
      </c>
      <c r="O886" s="2" t="s">
        <v>13</v>
      </c>
      <c r="P886" s="2" t="s">
        <v>228</v>
      </c>
      <c r="Q886" s="2" t="s">
        <v>152</v>
      </c>
      <c r="R886" s="2">
        <v>4</v>
      </c>
      <c r="S886" s="2">
        <v>26152.400000000001</v>
      </c>
      <c r="T886" s="2">
        <v>15</v>
      </c>
      <c r="U886" s="2">
        <v>88918.16</v>
      </c>
      <c r="V886" s="2">
        <v>47472.75</v>
      </c>
      <c r="W886" s="2">
        <v>41445.410000000003</v>
      </c>
      <c r="X886" s="2">
        <v>46.61</v>
      </c>
      <c r="Y886" s="2">
        <v>199</v>
      </c>
      <c r="Z886" s="2" t="s">
        <v>48</v>
      </c>
      <c r="AA886" s="2" t="s">
        <v>139</v>
      </c>
      <c r="AB886" s="2" t="s">
        <v>140</v>
      </c>
      <c r="AC886" s="2"/>
    </row>
    <row r="887" spans="1:29" x14ac:dyDescent="0.3">
      <c r="A887" s="3" t="s">
        <v>4840</v>
      </c>
      <c r="B887" s="3" t="s">
        <v>4841</v>
      </c>
      <c r="C887" s="3" t="s">
        <v>319</v>
      </c>
      <c r="D887" s="3" t="s">
        <v>4842</v>
      </c>
      <c r="E887" s="3" t="s">
        <v>18</v>
      </c>
      <c r="F887" s="3" t="s">
        <v>2860</v>
      </c>
      <c r="G887" s="3" t="s">
        <v>2181</v>
      </c>
      <c r="H887" s="3" t="s">
        <v>2861</v>
      </c>
      <c r="I887" s="3">
        <v>5</v>
      </c>
      <c r="J887" s="3" t="s">
        <v>29</v>
      </c>
      <c r="K887" s="3" t="s">
        <v>427</v>
      </c>
      <c r="L887" s="3" t="s">
        <v>428</v>
      </c>
      <c r="M887" s="3" t="s">
        <v>4843</v>
      </c>
      <c r="N887" s="3" t="s">
        <v>1332</v>
      </c>
      <c r="O887" s="3" t="s">
        <v>19</v>
      </c>
      <c r="P887" s="3" t="s">
        <v>447</v>
      </c>
      <c r="Q887" s="3" t="s">
        <v>127</v>
      </c>
      <c r="R887" s="3">
        <v>4</v>
      </c>
      <c r="S887" s="3">
        <v>15641.16</v>
      </c>
      <c r="T887" s="3">
        <v>10</v>
      </c>
      <c r="U887" s="3">
        <v>56308.18</v>
      </c>
      <c r="V887" s="3">
        <v>27275.93</v>
      </c>
      <c r="W887" s="3">
        <v>29032.25</v>
      </c>
      <c r="X887" s="3">
        <v>51.56</v>
      </c>
      <c r="Y887" s="3">
        <v>29</v>
      </c>
      <c r="Z887" s="3" t="s">
        <v>30</v>
      </c>
      <c r="AA887" s="3" t="s">
        <v>100</v>
      </c>
      <c r="AB887" s="3" t="s">
        <v>101</v>
      </c>
      <c r="AC887" s="3">
        <v>1</v>
      </c>
    </row>
    <row r="888" spans="1:29" x14ac:dyDescent="0.3">
      <c r="A888" s="2" t="s">
        <v>4844</v>
      </c>
      <c r="B888" s="2" t="s">
        <v>699</v>
      </c>
      <c r="C888" s="2" t="s">
        <v>536</v>
      </c>
      <c r="D888" s="2" t="s">
        <v>4845</v>
      </c>
      <c r="E888" s="2" t="s">
        <v>26</v>
      </c>
      <c r="F888" s="2" t="s">
        <v>1585</v>
      </c>
      <c r="G888" s="2" t="s">
        <v>1586</v>
      </c>
      <c r="H888" s="2" t="s">
        <v>1288</v>
      </c>
      <c r="I888" s="2">
        <v>3</v>
      </c>
      <c r="J888" s="2" t="s">
        <v>39</v>
      </c>
      <c r="K888" s="2" t="s">
        <v>109</v>
      </c>
      <c r="L888" s="2" t="s">
        <v>344</v>
      </c>
      <c r="M888" s="2" t="s">
        <v>4846</v>
      </c>
      <c r="N888" s="2" t="s">
        <v>686</v>
      </c>
      <c r="O888" s="2" t="s">
        <v>13</v>
      </c>
      <c r="P888" s="2" t="s">
        <v>228</v>
      </c>
      <c r="Q888" s="2" t="s">
        <v>99</v>
      </c>
      <c r="R888" s="2">
        <v>2</v>
      </c>
      <c r="S888" s="2">
        <v>33244.11</v>
      </c>
      <c r="T888" s="2">
        <v>15</v>
      </c>
      <c r="U888" s="2">
        <v>56514.99</v>
      </c>
      <c r="V888" s="2">
        <v>37881.769999999997</v>
      </c>
      <c r="W888" s="2">
        <v>18633.22</v>
      </c>
      <c r="X888" s="2">
        <v>32.97</v>
      </c>
      <c r="Y888" s="2">
        <v>99</v>
      </c>
      <c r="Z888" s="2" t="s">
        <v>23</v>
      </c>
      <c r="AA888" s="2" t="s">
        <v>100</v>
      </c>
      <c r="AB888" s="2" t="s">
        <v>101</v>
      </c>
      <c r="AC888" s="2">
        <v>3</v>
      </c>
    </row>
    <row r="889" spans="1:29" x14ac:dyDescent="0.3">
      <c r="A889" s="3" t="s">
        <v>4847</v>
      </c>
      <c r="B889" s="3" t="s">
        <v>4848</v>
      </c>
      <c r="C889" s="3" t="s">
        <v>368</v>
      </c>
      <c r="D889" s="3" t="s">
        <v>4849</v>
      </c>
      <c r="E889" s="3" t="s">
        <v>26</v>
      </c>
      <c r="F889" s="3" t="s">
        <v>4552</v>
      </c>
      <c r="G889" s="3" t="s">
        <v>1785</v>
      </c>
      <c r="H889" s="3" t="s">
        <v>885</v>
      </c>
      <c r="I889" s="3">
        <v>2</v>
      </c>
      <c r="J889" s="3" t="s">
        <v>22</v>
      </c>
      <c r="K889" s="3" t="s">
        <v>254</v>
      </c>
      <c r="L889" s="3" t="s">
        <v>254</v>
      </c>
      <c r="M889" s="3" t="s">
        <v>4850</v>
      </c>
      <c r="N889" s="3" t="s">
        <v>227</v>
      </c>
      <c r="O889" s="3" t="s">
        <v>13</v>
      </c>
      <c r="P889" s="3" t="s">
        <v>228</v>
      </c>
      <c r="Q889" s="3" t="s">
        <v>99</v>
      </c>
      <c r="R889" s="3">
        <v>4</v>
      </c>
      <c r="S889" s="3">
        <v>10045.09</v>
      </c>
      <c r="T889" s="3">
        <v>10</v>
      </c>
      <c r="U889" s="3">
        <v>36162.32</v>
      </c>
      <c r="V889" s="3">
        <v>24525.99</v>
      </c>
      <c r="W889" s="3">
        <v>11636.33</v>
      </c>
      <c r="X889" s="3">
        <v>32.18</v>
      </c>
      <c r="Y889" s="3">
        <v>99</v>
      </c>
      <c r="Z889" s="3" t="s">
        <v>40</v>
      </c>
      <c r="AA889" s="3" t="s">
        <v>275</v>
      </c>
      <c r="AB889" s="3" t="s">
        <v>101</v>
      </c>
      <c r="AC889" s="3"/>
    </row>
    <row r="890" spans="1:29" x14ac:dyDescent="0.3">
      <c r="A890" s="2" t="s">
        <v>4851</v>
      </c>
      <c r="B890" s="2" t="s">
        <v>4852</v>
      </c>
      <c r="C890" s="2" t="s">
        <v>651</v>
      </c>
      <c r="D890" s="2" t="s">
        <v>4853</v>
      </c>
      <c r="E890" s="2" t="s">
        <v>33</v>
      </c>
      <c r="F890" s="2" t="s">
        <v>2301</v>
      </c>
      <c r="G890" s="2" t="s">
        <v>2854</v>
      </c>
      <c r="H890" s="2" t="s">
        <v>2855</v>
      </c>
      <c r="I890" s="2">
        <v>3</v>
      </c>
      <c r="J890" s="2" t="s">
        <v>39</v>
      </c>
      <c r="K890" s="2" t="s">
        <v>225</v>
      </c>
      <c r="L890" s="2" t="s">
        <v>225</v>
      </c>
      <c r="M890" s="2" t="s">
        <v>4854</v>
      </c>
      <c r="N890" s="2" t="s">
        <v>1122</v>
      </c>
      <c r="O890" s="2" t="s">
        <v>27</v>
      </c>
      <c r="P890" s="2" t="s">
        <v>257</v>
      </c>
      <c r="Q890" s="2" t="s">
        <v>466</v>
      </c>
      <c r="R890" s="2">
        <v>3</v>
      </c>
      <c r="S890" s="2">
        <v>33809.24</v>
      </c>
      <c r="T890" s="2">
        <v>20</v>
      </c>
      <c r="U890" s="2">
        <v>81142.179999999993</v>
      </c>
      <c r="V890" s="2">
        <v>48076.41</v>
      </c>
      <c r="W890" s="2">
        <v>33065.769999999997</v>
      </c>
      <c r="X890" s="2">
        <v>40.75</v>
      </c>
      <c r="Y890" s="2">
        <v>29</v>
      </c>
      <c r="Z890" s="2" t="s">
        <v>40</v>
      </c>
      <c r="AA890" s="2" t="s">
        <v>186</v>
      </c>
      <c r="AB890" s="2" t="s">
        <v>101</v>
      </c>
      <c r="AC890" s="2"/>
    </row>
    <row r="891" spans="1:29" x14ac:dyDescent="0.3">
      <c r="A891" s="3" t="s">
        <v>4855</v>
      </c>
      <c r="B891" s="3" t="s">
        <v>4856</v>
      </c>
      <c r="C891" s="3" t="s">
        <v>855</v>
      </c>
      <c r="D891" s="3" t="s">
        <v>4857</v>
      </c>
      <c r="E891" s="3" t="s">
        <v>42</v>
      </c>
      <c r="F891" s="3" t="s">
        <v>1480</v>
      </c>
      <c r="G891" s="3" t="s">
        <v>4858</v>
      </c>
      <c r="H891" s="3" t="s">
        <v>416</v>
      </c>
      <c r="I891" s="3">
        <v>2</v>
      </c>
      <c r="J891" s="3" t="s">
        <v>14</v>
      </c>
      <c r="K891" s="3" t="s">
        <v>95</v>
      </c>
      <c r="L891" s="3" t="s">
        <v>95</v>
      </c>
      <c r="M891" s="3" t="s">
        <v>4859</v>
      </c>
      <c r="N891" s="3" t="s">
        <v>889</v>
      </c>
      <c r="O891" s="3" t="s">
        <v>27</v>
      </c>
      <c r="P891" s="3" t="s">
        <v>257</v>
      </c>
      <c r="Q891" s="3" t="s">
        <v>246</v>
      </c>
      <c r="R891" s="3">
        <v>1</v>
      </c>
      <c r="S891" s="3">
        <v>31221.88</v>
      </c>
      <c r="T891" s="3">
        <v>15</v>
      </c>
      <c r="U891" s="3">
        <v>26538.6</v>
      </c>
      <c r="V891" s="3">
        <v>14020.63</v>
      </c>
      <c r="W891" s="3">
        <v>12517.97</v>
      </c>
      <c r="X891" s="3">
        <v>47.17</v>
      </c>
      <c r="Y891" s="3">
        <v>49</v>
      </c>
      <c r="Z891" s="3" t="s">
        <v>30</v>
      </c>
      <c r="AA891" s="3" t="s">
        <v>275</v>
      </c>
      <c r="AB891" s="3" t="s">
        <v>101</v>
      </c>
      <c r="AC891" s="3"/>
    </row>
    <row r="892" spans="1:29" x14ac:dyDescent="0.3">
      <c r="A892" s="2" t="s">
        <v>4860</v>
      </c>
      <c r="B892" s="2" t="s">
        <v>4861</v>
      </c>
      <c r="C892" s="2" t="s">
        <v>2305</v>
      </c>
      <c r="D892" s="2" t="s">
        <v>4862</v>
      </c>
      <c r="E892" s="2" t="s">
        <v>18</v>
      </c>
      <c r="F892" s="2" t="s">
        <v>4466</v>
      </c>
      <c r="G892" s="2" t="s">
        <v>4863</v>
      </c>
      <c r="H892" s="2" t="s">
        <v>3389</v>
      </c>
      <c r="I892" s="2">
        <v>2</v>
      </c>
      <c r="J892" s="2" t="s">
        <v>22</v>
      </c>
      <c r="K892" s="2" t="s">
        <v>122</v>
      </c>
      <c r="L892" s="2" t="s">
        <v>812</v>
      </c>
      <c r="M892" s="2" t="s">
        <v>4864</v>
      </c>
      <c r="N892" s="2" t="s">
        <v>889</v>
      </c>
      <c r="O892" s="2" t="s">
        <v>27</v>
      </c>
      <c r="P892" s="2" t="s">
        <v>257</v>
      </c>
      <c r="Q892" s="2" t="s">
        <v>218</v>
      </c>
      <c r="R892" s="2">
        <v>1</v>
      </c>
      <c r="S892" s="2">
        <v>4365.3900000000003</v>
      </c>
      <c r="T892" s="2">
        <v>20</v>
      </c>
      <c r="U892" s="2">
        <v>3492.31</v>
      </c>
      <c r="V892" s="2">
        <v>2032.31</v>
      </c>
      <c r="W892" s="2">
        <v>1460</v>
      </c>
      <c r="X892" s="2">
        <v>41.81</v>
      </c>
      <c r="Y892" s="2">
        <v>0</v>
      </c>
      <c r="Z892" s="2" t="s">
        <v>48</v>
      </c>
      <c r="AA892" s="2" t="s">
        <v>186</v>
      </c>
      <c r="AB892" s="2" t="s">
        <v>101</v>
      </c>
      <c r="AC892" s="2"/>
    </row>
    <row r="893" spans="1:29" x14ac:dyDescent="0.3">
      <c r="A893" s="3" t="s">
        <v>4865</v>
      </c>
      <c r="B893" s="3" t="s">
        <v>4866</v>
      </c>
      <c r="C893" s="3" t="s">
        <v>716</v>
      </c>
      <c r="D893" s="3" t="s">
        <v>4867</v>
      </c>
      <c r="E893" s="3" t="s">
        <v>18</v>
      </c>
      <c r="F893" s="3" t="s">
        <v>1622</v>
      </c>
      <c r="G893" s="3" t="s">
        <v>1242</v>
      </c>
      <c r="H893" s="3" t="s">
        <v>2227</v>
      </c>
      <c r="I893" s="3">
        <v>4</v>
      </c>
      <c r="J893" s="3" t="s">
        <v>29</v>
      </c>
      <c r="K893" s="3" t="s">
        <v>160</v>
      </c>
      <c r="L893" s="3" t="s">
        <v>976</v>
      </c>
      <c r="M893" s="3" t="s">
        <v>4868</v>
      </c>
      <c r="N893" s="3" t="s">
        <v>583</v>
      </c>
      <c r="O893" s="3" t="s">
        <v>19</v>
      </c>
      <c r="P893" s="3" t="s">
        <v>447</v>
      </c>
      <c r="Q893" s="3" t="s">
        <v>197</v>
      </c>
      <c r="R893" s="3">
        <v>4</v>
      </c>
      <c r="S893" s="3">
        <v>8475.5499999999993</v>
      </c>
      <c r="T893" s="3">
        <v>30</v>
      </c>
      <c r="U893" s="3">
        <v>23731.54</v>
      </c>
      <c r="V893" s="3">
        <v>12226.58</v>
      </c>
      <c r="W893" s="3">
        <v>11504.96</v>
      </c>
      <c r="X893" s="3">
        <v>48.48</v>
      </c>
      <c r="Y893" s="3">
        <v>0</v>
      </c>
      <c r="Z893" s="3" t="s">
        <v>30</v>
      </c>
      <c r="AA893" s="3" t="s">
        <v>100</v>
      </c>
      <c r="AB893" s="3" t="s">
        <v>101</v>
      </c>
      <c r="AC893" s="3">
        <v>4</v>
      </c>
    </row>
    <row r="894" spans="1:29" x14ac:dyDescent="0.3">
      <c r="A894" s="2" t="s">
        <v>4869</v>
      </c>
      <c r="B894" s="2" t="s">
        <v>4870</v>
      </c>
      <c r="C894" s="2" t="s">
        <v>117</v>
      </c>
      <c r="D894" s="2" t="s">
        <v>4871</v>
      </c>
      <c r="E894" s="2" t="s">
        <v>26</v>
      </c>
      <c r="F894" s="2" t="s">
        <v>3036</v>
      </c>
      <c r="G894" s="2" t="s">
        <v>4334</v>
      </c>
      <c r="H894" s="2" t="s">
        <v>1920</v>
      </c>
      <c r="I894" s="2">
        <v>3</v>
      </c>
      <c r="J894" s="2" t="s">
        <v>29</v>
      </c>
      <c r="K894" s="2" t="s">
        <v>834</v>
      </c>
      <c r="L894" s="2" t="s">
        <v>1000</v>
      </c>
      <c r="M894" s="2" t="s">
        <v>4872</v>
      </c>
      <c r="N894" s="2" t="s">
        <v>256</v>
      </c>
      <c r="O894" s="2" t="s">
        <v>27</v>
      </c>
      <c r="P894" s="2" t="s">
        <v>257</v>
      </c>
      <c r="Q894" s="2" t="s">
        <v>99</v>
      </c>
      <c r="R894" s="2">
        <v>1</v>
      </c>
      <c r="S894" s="2">
        <v>30251.61</v>
      </c>
      <c r="T894" s="2">
        <v>10</v>
      </c>
      <c r="U894" s="2">
        <v>27226.45</v>
      </c>
      <c r="V894" s="2">
        <v>17086.75</v>
      </c>
      <c r="W894" s="2">
        <v>10139.700000000001</v>
      </c>
      <c r="X894" s="2">
        <v>37.24</v>
      </c>
      <c r="Y894" s="2">
        <v>0</v>
      </c>
      <c r="Z894" s="2" t="s">
        <v>30</v>
      </c>
      <c r="AA894" s="2" t="s">
        <v>100</v>
      </c>
      <c r="AB894" s="2" t="s">
        <v>101</v>
      </c>
      <c r="AC894" s="2">
        <v>5</v>
      </c>
    </row>
    <row r="895" spans="1:29" x14ac:dyDescent="0.3">
      <c r="A895" s="3" t="s">
        <v>4873</v>
      </c>
      <c r="B895" s="3" t="s">
        <v>2986</v>
      </c>
      <c r="C895" s="3" t="s">
        <v>1226</v>
      </c>
      <c r="D895" s="3" t="s">
        <v>4874</v>
      </c>
      <c r="E895" s="3" t="s">
        <v>18</v>
      </c>
      <c r="F895" s="3" t="s">
        <v>1354</v>
      </c>
      <c r="G895" s="3" t="s">
        <v>3388</v>
      </c>
      <c r="H895" s="3" t="s">
        <v>4875</v>
      </c>
      <c r="I895" s="3">
        <v>5</v>
      </c>
      <c r="J895" s="3" t="s">
        <v>39</v>
      </c>
      <c r="K895" s="3" t="s">
        <v>225</v>
      </c>
      <c r="L895" s="3" t="s">
        <v>225</v>
      </c>
      <c r="M895" s="3" t="s">
        <v>4876</v>
      </c>
      <c r="N895" s="3" t="s">
        <v>592</v>
      </c>
      <c r="O895" s="3" t="s">
        <v>21</v>
      </c>
      <c r="P895" s="3" t="s">
        <v>206</v>
      </c>
      <c r="Q895" s="3" t="s">
        <v>355</v>
      </c>
      <c r="R895" s="3">
        <v>1</v>
      </c>
      <c r="S895" s="3">
        <v>40355.21</v>
      </c>
      <c r="T895" s="3">
        <v>5</v>
      </c>
      <c r="U895" s="3">
        <v>38337.449999999997</v>
      </c>
      <c r="V895" s="3">
        <v>25500.14</v>
      </c>
      <c r="W895" s="3">
        <v>12837.31</v>
      </c>
      <c r="X895" s="3">
        <v>33.49</v>
      </c>
      <c r="Y895" s="3">
        <v>149</v>
      </c>
      <c r="Z895" s="3" t="s">
        <v>48</v>
      </c>
      <c r="AA895" s="3" t="s">
        <v>186</v>
      </c>
      <c r="AB895" s="3" t="s">
        <v>101</v>
      </c>
      <c r="AC895" s="3"/>
    </row>
    <row r="896" spans="1:29" x14ac:dyDescent="0.3">
      <c r="A896" s="2" t="s">
        <v>4877</v>
      </c>
      <c r="B896" s="2" t="s">
        <v>4878</v>
      </c>
      <c r="C896" s="2" t="s">
        <v>759</v>
      </c>
      <c r="D896" s="2" t="s">
        <v>4879</v>
      </c>
      <c r="E896" s="2" t="s">
        <v>33</v>
      </c>
      <c r="F896" s="2" t="s">
        <v>2684</v>
      </c>
      <c r="G896" s="2" t="s">
        <v>4880</v>
      </c>
      <c r="H896" s="2" t="s">
        <v>3679</v>
      </c>
      <c r="I896" s="2">
        <v>6</v>
      </c>
      <c r="J896" s="2" t="s">
        <v>14</v>
      </c>
      <c r="K896" s="2" t="s">
        <v>712</v>
      </c>
      <c r="L896" s="2" t="s">
        <v>712</v>
      </c>
      <c r="M896" s="2" t="s">
        <v>4881</v>
      </c>
      <c r="N896" s="2" t="s">
        <v>217</v>
      </c>
      <c r="O896" s="2" t="s">
        <v>21</v>
      </c>
      <c r="P896" s="2" t="s">
        <v>206</v>
      </c>
      <c r="Q896" s="2" t="s">
        <v>99</v>
      </c>
      <c r="R896" s="2">
        <v>4</v>
      </c>
      <c r="S896" s="2">
        <v>38108.080000000002</v>
      </c>
      <c r="T896" s="2">
        <v>25</v>
      </c>
      <c r="U896" s="2">
        <v>114324.24</v>
      </c>
      <c r="V896" s="2">
        <v>64447.19</v>
      </c>
      <c r="W896" s="2">
        <v>49877.05</v>
      </c>
      <c r="X896" s="2">
        <v>43.63</v>
      </c>
      <c r="Y896" s="2">
        <v>0</v>
      </c>
      <c r="Z896" s="2" t="s">
        <v>15</v>
      </c>
      <c r="AA896" s="2" t="s">
        <v>100</v>
      </c>
      <c r="AB896" s="2" t="s">
        <v>101</v>
      </c>
      <c r="AC896" s="2"/>
    </row>
    <row r="897" spans="1:29" x14ac:dyDescent="0.3">
      <c r="A897" s="3" t="s">
        <v>4882</v>
      </c>
      <c r="B897" s="3" t="s">
        <v>1551</v>
      </c>
      <c r="C897" s="3" t="s">
        <v>1492</v>
      </c>
      <c r="D897" s="3" t="s">
        <v>4883</v>
      </c>
      <c r="E897" s="3" t="s">
        <v>18</v>
      </c>
      <c r="F897" s="3" t="s">
        <v>948</v>
      </c>
      <c r="G897" s="3" t="s">
        <v>312</v>
      </c>
      <c r="H897" s="3" t="s">
        <v>434</v>
      </c>
      <c r="I897" s="3">
        <v>4</v>
      </c>
      <c r="J897" s="3" t="s">
        <v>29</v>
      </c>
      <c r="K897" s="3" t="s">
        <v>334</v>
      </c>
      <c r="L897" s="3" t="s">
        <v>614</v>
      </c>
      <c r="M897" s="3" t="s">
        <v>3384</v>
      </c>
      <c r="N897" s="3" t="s">
        <v>205</v>
      </c>
      <c r="O897" s="3" t="s">
        <v>21</v>
      </c>
      <c r="P897" s="3" t="s">
        <v>206</v>
      </c>
      <c r="Q897" s="3" t="s">
        <v>509</v>
      </c>
      <c r="R897" s="3">
        <v>3</v>
      </c>
      <c r="S897" s="3">
        <v>14650.59</v>
      </c>
      <c r="T897" s="3">
        <v>15</v>
      </c>
      <c r="U897" s="3">
        <v>37359</v>
      </c>
      <c r="V897" s="3">
        <v>16844.810000000001</v>
      </c>
      <c r="W897" s="3">
        <v>20514.189999999999</v>
      </c>
      <c r="X897" s="3">
        <v>54.91</v>
      </c>
      <c r="Y897" s="3">
        <v>149</v>
      </c>
      <c r="Z897" s="3" t="s">
        <v>40</v>
      </c>
      <c r="AA897" s="3" t="s">
        <v>672</v>
      </c>
      <c r="AB897" s="3" t="s">
        <v>101</v>
      </c>
      <c r="AC897" s="3"/>
    </row>
    <row r="898" spans="1:29" x14ac:dyDescent="0.3">
      <c r="A898" s="2" t="s">
        <v>4884</v>
      </c>
      <c r="B898" s="2" t="s">
        <v>4885</v>
      </c>
      <c r="C898" s="2" t="s">
        <v>1364</v>
      </c>
      <c r="D898" s="2" t="s">
        <v>4886</v>
      </c>
      <c r="E898" s="2" t="s">
        <v>18</v>
      </c>
      <c r="F898" s="2" t="s">
        <v>224</v>
      </c>
      <c r="G898" s="2" t="s">
        <v>190</v>
      </c>
      <c r="H898" s="2" t="s">
        <v>1263</v>
      </c>
      <c r="I898" s="2">
        <v>7</v>
      </c>
      <c r="J898" s="2" t="s">
        <v>39</v>
      </c>
      <c r="K898" s="2" t="s">
        <v>225</v>
      </c>
      <c r="L898" s="2" t="s">
        <v>225</v>
      </c>
      <c r="M898" s="2" t="s">
        <v>4887</v>
      </c>
      <c r="N898" s="2" t="s">
        <v>125</v>
      </c>
      <c r="O898" s="2" t="s">
        <v>21</v>
      </c>
      <c r="P898" s="2" t="s">
        <v>126</v>
      </c>
      <c r="Q898" s="2" t="s">
        <v>127</v>
      </c>
      <c r="R898" s="2">
        <v>4</v>
      </c>
      <c r="S898" s="2">
        <v>34605.56</v>
      </c>
      <c r="T898" s="2">
        <v>25</v>
      </c>
      <c r="U898" s="2">
        <v>103816.68</v>
      </c>
      <c r="V898" s="2">
        <v>61960.42</v>
      </c>
      <c r="W898" s="2">
        <v>41856.26</v>
      </c>
      <c r="X898" s="2">
        <v>40.32</v>
      </c>
      <c r="Y898" s="2">
        <v>29</v>
      </c>
      <c r="Z898" s="2" t="s">
        <v>47</v>
      </c>
      <c r="AA898" s="2" t="s">
        <v>100</v>
      </c>
      <c r="AB898" s="2" t="s">
        <v>101</v>
      </c>
      <c r="AC898" s="2">
        <v>4</v>
      </c>
    </row>
    <row r="899" spans="1:29" x14ac:dyDescent="0.3">
      <c r="A899" s="3" t="s">
        <v>4888</v>
      </c>
      <c r="B899" s="3" t="s">
        <v>4889</v>
      </c>
      <c r="C899" s="3" t="s">
        <v>1183</v>
      </c>
      <c r="D899" s="3" t="s">
        <v>4890</v>
      </c>
      <c r="E899" s="3" t="s">
        <v>18</v>
      </c>
      <c r="F899" s="3" t="s">
        <v>960</v>
      </c>
      <c r="G899" s="3" t="s">
        <v>159</v>
      </c>
      <c r="H899" s="3" t="s">
        <v>538</v>
      </c>
      <c r="I899" s="3">
        <v>5</v>
      </c>
      <c r="J899" s="3" t="s">
        <v>29</v>
      </c>
      <c r="K899" s="3" t="s">
        <v>334</v>
      </c>
      <c r="L899" s="3" t="s">
        <v>335</v>
      </c>
      <c r="M899" s="3" t="s">
        <v>4891</v>
      </c>
      <c r="N899" s="3" t="s">
        <v>1051</v>
      </c>
      <c r="O899" s="3" t="s">
        <v>28</v>
      </c>
      <c r="P899" s="3" t="s">
        <v>151</v>
      </c>
      <c r="Q899" s="3" t="s">
        <v>608</v>
      </c>
      <c r="R899" s="3">
        <v>5</v>
      </c>
      <c r="S899" s="3">
        <v>13887.06</v>
      </c>
      <c r="T899" s="3">
        <v>20</v>
      </c>
      <c r="U899" s="3">
        <v>55548.24</v>
      </c>
      <c r="V899" s="3">
        <v>29181.15</v>
      </c>
      <c r="W899" s="3">
        <v>26367.09</v>
      </c>
      <c r="X899" s="3">
        <v>47.47</v>
      </c>
      <c r="Y899" s="3">
        <v>29</v>
      </c>
      <c r="Z899" s="3" t="s">
        <v>40</v>
      </c>
      <c r="AA899" s="3" t="s">
        <v>186</v>
      </c>
      <c r="AB899" s="3" t="s">
        <v>101</v>
      </c>
      <c r="AC899" s="3"/>
    </row>
    <row r="900" spans="1:29" x14ac:dyDescent="0.3">
      <c r="A900" s="2" t="s">
        <v>4892</v>
      </c>
      <c r="B900" s="2" t="s">
        <v>4893</v>
      </c>
      <c r="C900" s="2" t="s">
        <v>1700</v>
      </c>
      <c r="D900" s="2" t="s">
        <v>4894</v>
      </c>
      <c r="E900" s="2" t="s">
        <v>26</v>
      </c>
      <c r="F900" s="2" t="s">
        <v>2456</v>
      </c>
      <c r="G900" s="2" t="s">
        <v>598</v>
      </c>
      <c r="H900" s="2" t="s">
        <v>4895</v>
      </c>
      <c r="I900" s="2">
        <v>2</v>
      </c>
      <c r="J900" s="2" t="s">
        <v>39</v>
      </c>
      <c r="K900" s="2" t="s">
        <v>314</v>
      </c>
      <c r="L900" s="2" t="s">
        <v>314</v>
      </c>
      <c r="M900" s="2" t="s">
        <v>4896</v>
      </c>
      <c r="N900" s="2" t="s">
        <v>475</v>
      </c>
      <c r="O900" s="2" t="s">
        <v>13</v>
      </c>
      <c r="P900" s="2" t="s">
        <v>228</v>
      </c>
      <c r="Q900" s="2" t="s">
        <v>114</v>
      </c>
      <c r="R900" s="2">
        <v>2</v>
      </c>
      <c r="S900" s="2">
        <v>37569.86</v>
      </c>
      <c r="T900" s="2">
        <v>25</v>
      </c>
      <c r="U900" s="2">
        <v>56354.79</v>
      </c>
      <c r="V900" s="2">
        <v>36875.800000000003</v>
      </c>
      <c r="W900" s="2">
        <v>19478.990000000002</v>
      </c>
      <c r="X900" s="2">
        <v>34.56</v>
      </c>
      <c r="Y900" s="2">
        <v>49</v>
      </c>
      <c r="Z900" s="2" t="s">
        <v>43</v>
      </c>
      <c r="AA900" s="2" t="s">
        <v>186</v>
      </c>
      <c r="AB900" s="2" t="s">
        <v>101</v>
      </c>
      <c r="AC900" s="2"/>
    </row>
    <row r="901" spans="1:29" x14ac:dyDescent="0.3">
      <c r="A901" s="3" t="s">
        <v>4897</v>
      </c>
      <c r="B901" s="3" t="s">
        <v>4898</v>
      </c>
      <c r="C901" s="3" t="s">
        <v>104</v>
      </c>
      <c r="D901" s="3" t="s">
        <v>4899</v>
      </c>
      <c r="E901" s="3" t="s">
        <v>26</v>
      </c>
      <c r="F901" s="3" t="s">
        <v>3623</v>
      </c>
      <c r="G901" s="3" t="s">
        <v>1437</v>
      </c>
      <c r="H901" s="3" t="s">
        <v>1677</v>
      </c>
      <c r="I901" s="3">
        <v>7</v>
      </c>
      <c r="J901" s="3" t="s">
        <v>22</v>
      </c>
      <c r="K901" s="3" t="s">
        <v>122</v>
      </c>
      <c r="L901" s="3" t="s">
        <v>236</v>
      </c>
      <c r="M901" s="3" t="s">
        <v>4822</v>
      </c>
      <c r="N901" s="3" t="s">
        <v>195</v>
      </c>
      <c r="O901" s="3" t="s">
        <v>21</v>
      </c>
      <c r="P901" s="3" t="s">
        <v>196</v>
      </c>
      <c r="Q901" s="3" t="s">
        <v>99</v>
      </c>
      <c r="R901" s="3">
        <v>3</v>
      </c>
      <c r="S901" s="3">
        <v>14797.84</v>
      </c>
      <c r="T901" s="3">
        <v>30</v>
      </c>
      <c r="U901" s="3">
        <v>31075.46</v>
      </c>
      <c r="V901" s="3">
        <v>19625.939999999999</v>
      </c>
      <c r="W901" s="3">
        <v>11449.52</v>
      </c>
      <c r="X901" s="3">
        <v>36.840000000000003</v>
      </c>
      <c r="Y901" s="3">
        <v>0</v>
      </c>
      <c r="Z901" s="3" t="s">
        <v>23</v>
      </c>
      <c r="AA901" s="3" t="s">
        <v>100</v>
      </c>
      <c r="AB901" s="3" t="s">
        <v>101</v>
      </c>
      <c r="AC901" s="3">
        <v>2</v>
      </c>
    </row>
    <row r="902" spans="1:29" x14ac:dyDescent="0.3">
      <c r="A902" s="2" t="s">
        <v>4900</v>
      </c>
      <c r="B902" s="2" t="s">
        <v>1456</v>
      </c>
      <c r="C902" s="2" t="s">
        <v>2151</v>
      </c>
      <c r="D902" s="2" t="s">
        <v>4901</v>
      </c>
      <c r="E902" s="2" t="s">
        <v>26</v>
      </c>
      <c r="F902" s="2" t="s">
        <v>1021</v>
      </c>
      <c r="G902" s="2" t="s">
        <v>3525</v>
      </c>
      <c r="H902" s="2" t="s">
        <v>3834</v>
      </c>
      <c r="I902" s="2">
        <v>3</v>
      </c>
      <c r="J902" s="2" t="s">
        <v>14</v>
      </c>
      <c r="K902" s="2" t="s">
        <v>95</v>
      </c>
      <c r="L902" s="2" t="s">
        <v>95</v>
      </c>
      <c r="M902" s="2" t="s">
        <v>4902</v>
      </c>
      <c r="N902" s="2" t="s">
        <v>805</v>
      </c>
      <c r="O902" s="2" t="s">
        <v>28</v>
      </c>
      <c r="P902" s="2" t="s">
        <v>151</v>
      </c>
      <c r="Q902" s="2" t="s">
        <v>287</v>
      </c>
      <c r="R902" s="2">
        <v>5</v>
      </c>
      <c r="S902" s="2">
        <v>20998.94</v>
      </c>
      <c r="T902" s="2">
        <v>20</v>
      </c>
      <c r="U902" s="2">
        <v>83995.76</v>
      </c>
      <c r="V902" s="2">
        <v>58086.86</v>
      </c>
      <c r="W902" s="2">
        <v>25908.9</v>
      </c>
      <c r="X902" s="2">
        <v>30.85</v>
      </c>
      <c r="Y902" s="2">
        <v>199</v>
      </c>
      <c r="Z902" s="2" t="s">
        <v>47</v>
      </c>
      <c r="AA902" s="2" t="s">
        <v>275</v>
      </c>
      <c r="AB902" s="2" t="s">
        <v>101</v>
      </c>
      <c r="AC902" s="2"/>
    </row>
    <row r="903" spans="1:29" x14ac:dyDescent="0.3">
      <c r="A903" s="3" t="s">
        <v>4903</v>
      </c>
      <c r="B903" s="3" t="s">
        <v>4904</v>
      </c>
      <c r="C903" s="3" t="s">
        <v>2147</v>
      </c>
      <c r="D903" s="3" t="s">
        <v>4905</v>
      </c>
      <c r="E903" s="3" t="s">
        <v>18</v>
      </c>
      <c r="F903" s="3" t="s">
        <v>1343</v>
      </c>
      <c r="G903" s="3" t="s">
        <v>2979</v>
      </c>
      <c r="H903" s="3" t="s">
        <v>1888</v>
      </c>
      <c r="I903" s="3">
        <v>5</v>
      </c>
      <c r="J903" s="3" t="s">
        <v>14</v>
      </c>
      <c r="K903" s="3" t="s">
        <v>712</v>
      </c>
      <c r="L903" s="3" t="s">
        <v>712</v>
      </c>
      <c r="M903" s="3" t="s">
        <v>4906</v>
      </c>
      <c r="N903" s="3" t="s">
        <v>296</v>
      </c>
      <c r="O903" s="3" t="s">
        <v>19</v>
      </c>
      <c r="P903" s="3" t="s">
        <v>297</v>
      </c>
      <c r="Q903" s="3" t="s">
        <v>287</v>
      </c>
      <c r="R903" s="3">
        <v>4</v>
      </c>
      <c r="S903" s="3">
        <v>43723.09</v>
      </c>
      <c r="T903" s="3">
        <v>5</v>
      </c>
      <c r="U903" s="3">
        <v>166147.74</v>
      </c>
      <c r="V903" s="3">
        <v>113304.76</v>
      </c>
      <c r="W903" s="3">
        <v>52842.98</v>
      </c>
      <c r="X903" s="3">
        <v>31.8</v>
      </c>
      <c r="Y903" s="3">
        <v>0</v>
      </c>
      <c r="Z903" s="3" t="s">
        <v>43</v>
      </c>
      <c r="AA903" s="3" t="s">
        <v>275</v>
      </c>
      <c r="AB903" s="3" t="s">
        <v>101</v>
      </c>
      <c r="AC903" s="3"/>
    </row>
    <row r="904" spans="1:29" x14ac:dyDescent="0.3">
      <c r="A904" s="2" t="s">
        <v>4907</v>
      </c>
      <c r="B904" s="2" t="s">
        <v>4650</v>
      </c>
      <c r="C904" s="2" t="s">
        <v>759</v>
      </c>
      <c r="D904" s="2" t="s">
        <v>4908</v>
      </c>
      <c r="E904" s="2" t="s">
        <v>18</v>
      </c>
      <c r="F904" s="2" t="s">
        <v>262</v>
      </c>
      <c r="G904" s="2" t="s">
        <v>202</v>
      </c>
      <c r="H904" s="2" t="s">
        <v>2327</v>
      </c>
      <c r="I904" s="2">
        <v>3</v>
      </c>
      <c r="J904" s="2" t="s">
        <v>29</v>
      </c>
      <c r="K904" s="2" t="s">
        <v>334</v>
      </c>
      <c r="L904" s="2" t="s">
        <v>1073</v>
      </c>
      <c r="M904" s="2" t="s">
        <v>4909</v>
      </c>
      <c r="N904" s="2" t="s">
        <v>227</v>
      </c>
      <c r="O904" s="2" t="s">
        <v>13</v>
      </c>
      <c r="P904" s="2" t="s">
        <v>228</v>
      </c>
      <c r="Q904" s="2" t="s">
        <v>138</v>
      </c>
      <c r="R904" s="2">
        <v>3</v>
      </c>
      <c r="S904" s="2">
        <v>6686.38</v>
      </c>
      <c r="T904" s="2">
        <v>0</v>
      </c>
      <c r="U904" s="2">
        <v>20059.14</v>
      </c>
      <c r="V904" s="2">
        <v>9968.1</v>
      </c>
      <c r="W904" s="2">
        <v>10091.040000000001</v>
      </c>
      <c r="X904" s="2">
        <v>50.31</v>
      </c>
      <c r="Y904" s="2">
        <v>199</v>
      </c>
      <c r="Z904" s="2" t="s">
        <v>43</v>
      </c>
      <c r="AA904" s="2" t="s">
        <v>100</v>
      </c>
      <c r="AB904" s="2" t="s">
        <v>101</v>
      </c>
      <c r="AC904" s="2"/>
    </row>
    <row r="905" spans="1:29" x14ac:dyDescent="0.3">
      <c r="A905" s="3" t="s">
        <v>4910</v>
      </c>
      <c r="B905" s="3" t="s">
        <v>4911</v>
      </c>
      <c r="C905" s="3" t="s">
        <v>768</v>
      </c>
      <c r="D905" s="3" t="s">
        <v>1078</v>
      </c>
      <c r="E905" s="3" t="s">
        <v>33</v>
      </c>
      <c r="F905" s="3" t="s">
        <v>2518</v>
      </c>
      <c r="G905" s="3" t="s">
        <v>1192</v>
      </c>
      <c r="H905" s="3" t="s">
        <v>516</v>
      </c>
      <c r="I905" s="3">
        <v>7</v>
      </c>
      <c r="J905" s="3" t="s">
        <v>39</v>
      </c>
      <c r="K905" s="3" t="s">
        <v>324</v>
      </c>
      <c r="L905" s="3" t="s">
        <v>325</v>
      </c>
      <c r="M905" s="3" t="s">
        <v>2946</v>
      </c>
      <c r="N905" s="3" t="s">
        <v>518</v>
      </c>
      <c r="O905" s="3" t="s">
        <v>19</v>
      </c>
      <c r="P905" s="3" t="s">
        <v>365</v>
      </c>
      <c r="Q905" s="3" t="s">
        <v>246</v>
      </c>
      <c r="R905" s="3">
        <v>5</v>
      </c>
      <c r="S905" s="3">
        <v>14027.14</v>
      </c>
      <c r="T905" s="3">
        <v>30</v>
      </c>
      <c r="U905" s="3">
        <v>49094.99</v>
      </c>
      <c r="V905" s="3">
        <v>24409.1</v>
      </c>
      <c r="W905" s="3">
        <v>24685.89</v>
      </c>
      <c r="X905" s="3">
        <v>50.28</v>
      </c>
      <c r="Y905" s="3">
        <v>49</v>
      </c>
      <c r="Z905" s="3" t="s">
        <v>43</v>
      </c>
      <c r="AA905" s="3" t="s">
        <v>100</v>
      </c>
      <c r="AB905" s="3" t="s">
        <v>101</v>
      </c>
      <c r="AC905" s="3">
        <v>4</v>
      </c>
    </row>
    <row r="906" spans="1:29" x14ac:dyDescent="0.3">
      <c r="A906" s="2" t="s">
        <v>4912</v>
      </c>
      <c r="B906" s="2" t="s">
        <v>4913</v>
      </c>
      <c r="C906" s="2" t="s">
        <v>1866</v>
      </c>
      <c r="D906" s="2" t="s">
        <v>4914</v>
      </c>
      <c r="E906" s="2" t="s">
        <v>42</v>
      </c>
      <c r="F906" s="2" t="s">
        <v>906</v>
      </c>
      <c r="G906" s="2" t="s">
        <v>566</v>
      </c>
      <c r="H906" s="2" t="s">
        <v>312</v>
      </c>
      <c r="I906" s="2">
        <v>5</v>
      </c>
      <c r="J906" s="2" t="s">
        <v>22</v>
      </c>
      <c r="K906" s="2" t="s">
        <v>443</v>
      </c>
      <c r="L906" s="2" t="s">
        <v>498</v>
      </c>
      <c r="M906" s="2" t="s">
        <v>4915</v>
      </c>
      <c r="N906" s="2" t="s">
        <v>418</v>
      </c>
      <c r="O906" s="2" t="s">
        <v>13</v>
      </c>
      <c r="P906" s="2" t="s">
        <v>419</v>
      </c>
      <c r="Q906" s="2" t="s">
        <v>99</v>
      </c>
      <c r="R906" s="2">
        <v>3</v>
      </c>
      <c r="S906" s="2">
        <v>12419.1</v>
      </c>
      <c r="T906" s="2">
        <v>5</v>
      </c>
      <c r="U906" s="2">
        <v>35394.43</v>
      </c>
      <c r="V906" s="2">
        <v>21205.45</v>
      </c>
      <c r="W906" s="2">
        <v>14188.98</v>
      </c>
      <c r="X906" s="2">
        <v>40.090000000000003</v>
      </c>
      <c r="Y906" s="2">
        <v>99</v>
      </c>
      <c r="Z906" s="2" t="s">
        <v>47</v>
      </c>
      <c r="AA906" s="2" t="s">
        <v>275</v>
      </c>
      <c r="AB906" s="2" t="s">
        <v>101</v>
      </c>
      <c r="AC906" s="2"/>
    </row>
    <row r="907" spans="1:29" x14ac:dyDescent="0.3">
      <c r="A907" s="3" t="s">
        <v>4916</v>
      </c>
      <c r="B907" s="3" t="s">
        <v>4917</v>
      </c>
      <c r="C907" s="3" t="s">
        <v>1177</v>
      </c>
      <c r="D907" s="3" t="s">
        <v>4918</v>
      </c>
      <c r="E907" s="3" t="s">
        <v>33</v>
      </c>
      <c r="F907" s="3" t="s">
        <v>2968</v>
      </c>
      <c r="G907" s="3" t="s">
        <v>2113</v>
      </c>
      <c r="H907" s="3" t="s">
        <v>1833</v>
      </c>
      <c r="I907" s="3">
        <v>2</v>
      </c>
      <c r="J907" s="3" t="s">
        <v>39</v>
      </c>
      <c r="K907" s="3" t="s">
        <v>314</v>
      </c>
      <c r="L907" s="3" t="s">
        <v>314</v>
      </c>
      <c r="M907" s="3" t="s">
        <v>4919</v>
      </c>
      <c r="N907" s="3" t="s">
        <v>1611</v>
      </c>
      <c r="O907" s="3" t="s">
        <v>19</v>
      </c>
      <c r="P907" s="3" t="s">
        <v>365</v>
      </c>
      <c r="Q907" s="3" t="s">
        <v>355</v>
      </c>
      <c r="R907" s="3">
        <v>5</v>
      </c>
      <c r="S907" s="3">
        <v>40532.58</v>
      </c>
      <c r="T907" s="3">
        <v>20</v>
      </c>
      <c r="U907" s="3">
        <v>162130.32</v>
      </c>
      <c r="V907" s="3">
        <v>76270.73</v>
      </c>
      <c r="W907" s="3">
        <v>85859.59</v>
      </c>
      <c r="X907" s="3">
        <v>52.96</v>
      </c>
      <c r="Y907" s="3">
        <v>49</v>
      </c>
      <c r="Z907" s="3" t="s">
        <v>30</v>
      </c>
      <c r="AA907" s="3" t="s">
        <v>100</v>
      </c>
      <c r="AB907" s="3" t="s">
        <v>101</v>
      </c>
      <c r="AC907" s="3">
        <v>3</v>
      </c>
    </row>
    <row r="908" spans="1:29" x14ac:dyDescent="0.3">
      <c r="A908" s="2" t="s">
        <v>4920</v>
      </c>
      <c r="B908" s="2" t="s">
        <v>4921</v>
      </c>
      <c r="C908" s="2" t="s">
        <v>521</v>
      </c>
      <c r="D908" s="2" t="s">
        <v>4922</v>
      </c>
      <c r="E908" s="2" t="s">
        <v>26</v>
      </c>
      <c r="F908" s="2" t="s">
        <v>2414</v>
      </c>
      <c r="G908" s="2" t="s">
        <v>3201</v>
      </c>
      <c r="H908" s="2" t="s">
        <v>709</v>
      </c>
      <c r="I908" s="2">
        <v>7</v>
      </c>
      <c r="J908" s="2" t="s">
        <v>22</v>
      </c>
      <c r="K908" s="2" t="s">
        <v>283</v>
      </c>
      <c r="L908" s="2" t="s">
        <v>748</v>
      </c>
      <c r="M908" s="2" t="s">
        <v>2183</v>
      </c>
      <c r="N908" s="2" t="s">
        <v>475</v>
      </c>
      <c r="O908" s="2" t="s">
        <v>13</v>
      </c>
      <c r="P908" s="2" t="s">
        <v>228</v>
      </c>
      <c r="Q908" s="2" t="s">
        <v>197</v>
      </c>
      <c r="R908" s="2">
        <v>3</v>
      </c>
      <c r="S908" s="2">
        <v>49373.49</v>
      </c>
      <c r="T908" s="2">
        <v>15</v>
      </c>
      <c r="U908" s="2">
        <v>125902.39999999999</v>
      </c>
      <c r="V908" s="2">
        <v>67778.509999999995</v>
      </c>
      <c r="W908" s="2">
        <v>58123.89</v>
      </c>
      <c r="X908" s="2">
        <v>46.17</v>
      </c>
      <c r="Y908" s="2">
        <v>29</v>
      </c>
      <c r="Z908" s="2" t="s">
        <v>48</v>
      </c>
      <c r="AA908" s="2" t="s">
        <v>100</v>
      </c>
      <c r="AB908" s="2" t="s">
        <v>101</v>
      </c>
      <c r="AC908" s="2"/>
    </row>
    <row r="909" spans="1:29" x14ac:dyDescent="0.3">
      <c r="A909" s="3" t="s">
        <v>4923</v>
      </c>
      <c r="B909" s="3" t="s">
        <v>4924</v>
      </c>
      <c r="C909" s="3" t="s">
        <v>1484</v>
      </c>
      <c r="D909" s="3" t="s">
        <v>4925</v>
      </c>
      <c r="E909" s="3" t="s">
        <v>42</v>
      </c>
      <c r="F909" s="3" t="s">
        <v>1616</v>
      </c>
      <c r="G909" s="3" t="s">
        <v>938</v>
      </c>
      <c r="H909" s="3" t="s">
        <v>2414</v>
      </c>
      <c r="I909" s="3">
        <v>2</v>
      </c>
      <c r="J909" s="3" t="s">
        <v>29</v>
      </c>
      <c r="K909" s="3" t="s">
        <v>148</v>
      </c>
      <c r="L909" s="3" t="s">
        <v>148</v>
      </c>
      <c r="M909" s="3" t="s">
        <v>4926</v>
      </c>
      <c r="N909" s="3" t="s">
        <v>3017</v>
      </c>
      <c r="O909" s="3" t="s">
        <v>13</v>
      </c>
      <c r="P909" s="3" t="s">
        <v>419</v>
      </c>
      <c r="Q909" s="3" t="s">
        <v>509</v>
      </c>
      <c r="R909" s="3">
        <v>5</v>
      </c>
      <c r="S909" s="3">
        <v>10847.5</v>
      </c>
      <c r="T909" s="3">
        <v>10</v>
      </c>
      <c r="U909" s="3">
        <v>48813.75</v>
      </c>
      <c r="V909" s="3">
        <v>30102.34</v>
      </c>
      <c r="W909" s="3">
        <v>18711.41</v>
      </c>
      <c r="X909" s="3">
        <v>38.33</v>
      </c>
      <c r="Y909" s="3">
        <v>49</v>
      </c>
      <c r="Z909" s="3" t="s">
        <v>30</v>
      </c>
      <c r="AA909" s="3" t="s">
        <v>100</v>
      </c>
      <c r="AB909" s="3" t="s">
        <v>101</v>
      </c>
      <c r="AC909" s="3"/>
    </row>
    <row r="910" spans="1:29" x14ac:dyDescent="0.3">
      <c r="A910" s="2" t="s">
        <v>4927</v>
      </c>
      <c r="B910" s="2" t="s">
        <v>4928</v>
      </c>
      <c r="C910" s="2" t="s">
        <v>1335</v>
      </c>
      <c r="D910" s="2" t="s">
        <v>4929</v>
      </c>
      <c r="E910" s="2" t="s">
        <v>26</v>
      </c>
      <c r="F910" s="2" t="s">
        <v>629</v>
      </c>
      <c r="G910" s="2" t="s">
        <v>3238</v>
      </c>
      <c r="H910" s="2" t="s">
        <v>4325</v>
      </c>
      <c r="I910" s="2">
        <v>2</v>
      </c>
      <c r="J910" s="2" t="s">
        <v>39</v>
      </c>
      <c r="K910" s="2" t="s">
        <v>314</v>
      </c>
      <c r="L910" s="2" t="s">
        <v>314</v>
      </c>
      <c r="M910" s="2" t="s">
        <v>3446</v>
      </c>
      <c r="N910" s="2" t="s">
        <v>97</v>
      </c>
      <c r="O910" s="2" t="s">
        <v>13</v>
      </c>
      <c r="P910" s="2" t="s">
        <v>98</v>
      </c>
      <c r="Q910" s="2" t="s">
        <v>466</v>
      </c>
      <c r="R910" s="2">
        <v>2</v>
      </c>
      <c r="S910" s="2">
        <v>13694.41</v>
      </c>
      <c r="T910" s="2">
        <v>20</v>
      </c>
      <c r="U910" s="2">
        <v>21911.06</v>
      </c>
      <c r="V910" s="2">
        <v>13603.48</v>
      </c>
      <c r="W910" s="2">
        <v>8307.58</v>
      </c>
      <c r="X910" s="2">
        <v>37.92</v>
      </c>
      <c r="Y910" s="2">
        <v>29</v>
      </c>
      <c r="Z910" s="2" t="s">
        <v>43</v>
      </c>
      <c r="AA910" s="2" t="s">
        <v>100</v>
      </c>
      <c r="AB910" s="2" t="s">
        <v>101</v>
      </c>
      <c r="AC910" s="2">
        <v>4</v>
      </c>
    </row>
    <row r="911" spans="1:29" x14ac:dyDescent="0.3">
      <c r="A911" s="3" t="s">
        <v>4930</v>
      </c>
      <c r="B911" s="3" t="s">
        <v>4931</v>
      </c>
      <c r="C911" s="3" t="s">
        <v>1911</v>
      </c>
      <c r="D911" s="3" t="s">
        <v>4932</v>
      </c>
      <c r="E911" s="3" t="s">
        <v>42</v>
      </c>
      <c r="F911" s="3" t="s">
        <v>3139</v>
      </c>
      <c r="G911" s="3" t="s">
        <v>4933</v>
      </c>
      <c r="H911" s="3" t="s">
        <v>2872</v>
      </c>
      <c r="I911" s="3">
        <v>2</v>
      </c>
      <c r="J911" s="3" t="s">
        <v>29</v>
      </c>
      <c r="K911" s="3" t="s">
        <v>148</v>
      </c>
      <c r="L911" s="3" t="s">
        <v>148</v>
      </c>
      <c r="M911" s="3" t="s">
        <v>4934</v>
      </c>
      <c r="N911" s="3" t="s">
        <v>484</v>
      </c>
      <c r="O911" s="3" t="s">
        <v>13</v>
      </c>
      <c r="P911" s="3" t="s">
        <v>98</v>
      </c>
      <c r="Q911" s="3" t="s">
        <v>138</v>
      </c>
      <c r="R911" s="3">
        <v>4</v>
      </c>
      <c r="S911" s="3">
        <v>47786.74</v>
      </c>
      <c r="T911" s="3">
        <v>30</v>
      </c>
      <c r="U911" s="3">
        <v>133802.87</v>
      </c>
      <c r="V911" s="3">
        <v>71545.679999999993</v>
      </c>
      <c r="W911" s="3">
        <v>62257.19</v>
      </c>
      <c r="X911" s="3">
        <v>46.53</v>
      </c>
      <c r="Y911" s="3">
        <v>199</v>
      </c>
      <c r="Z911" s="3" t="s">
        <v>30</v>
      </c>
      <c r="AA911" s="3" t="s">
        <v>100</v>
      </c>
      <c r="AB911" s="3" t="s">
        <v>101</v>
      </c>
      <c r="AC911" s="3">
        <v>5</v>
      </c>
    </row>
    <row r="912" spans="1:29" x14ac:dyDescent="0.3">
      <c r="A912" s="2" t="s">
        <v>4935</v>
      </c>
      <c r="B912" s="2" t="s">
        <v>4936</v>
      </c>
      <c r="C912" s="2" t="s">
        <v>1253</v>
      </c>
      <c r="D912" s="2" t="s">
        <v>4937</v>
      </c>
      <c r="E912" s="2" t="s">
        <v>18</v>
      </c>
      <c r="F912" s="2" t="s">
        <v>3876</v>
      </c>
      <c r="G912" s="2" t="s">
        <v>1997</v>
      </c>
      <c r="H912" s="2" t="s">
        <v>1307</v>
      </c>
      <c r="I912" s="2">
        <v>4</v>
      </c>
      <c r="J912" s="2" t="s">
        <v>14</v>
      </c>
      <c r="K912" s="2" t="s">
        <v>712</v>
      </c>
      <c r="L912" s="2" t="s">
        <v>712</v>
      </c>
      <c r="M912" s="2" t="s">
        <v>4938</v>
      </c>
      <c r="N912" s="2" t="s">
        <v>805</v>
      </c>
      <c r="O912" s="2" t="s">
        <v>28</v>
      </c>
      <c r="P912" s="2" t="s">
        <v>151</v>
      </c>
      <c r="Q912" s="2" t="s">
        <v>509</v>
      </c>
      <c r="R912" s="2">
        <v>1</v>
      </c>
      <c r="S912" s="2">
        <v>22902.74</v>
      </c>
      <c r="T912" s="2">
        <v>20</v>
      </c>
      <c r="U912" s="2">
        <v>18322.189999999999</v>
      </c>
      <c r="V912" s="2">
        <v>8641.94</v>
      </c>
      <c r="W912" s="2">
        <v>9680.25</v>
      </c>
      <c r="X912" s="2">
        <v>52.83</v>
      </c>
      <c r="Y912" s="2">
        <v>0</v>
      </c>
      <c r="Z912" s="2" t="s">
        <v>43</v>
      </c>
      <c r="AA912" s="2" t="s">
        <v>100</v>
      </c>
      <c r="AB912" s="2" t="s">
        <v>101</v>
      </c>
      <c r="AC912" s="2">
        <v>3</v>
      </c>
    </row>
    <row r="913" spans="1:29" x14ac:dyDescent="0.3">
      <c r="A913" s="3" t="s">
        <v>4939</v>
      </c>
      <c r="B913" s="3" t="s">
        <v>4940</v>
      </c>
      <c r="C913" s="3" t="s">
        <v>143</v>
      </c>
      <c r="D913" s="3" t="s">
        <v>4941</v>
      </c>
      <c r="E913" s="3" t="s">
        <v>33</v>
      </c>
      <c r="F913" s="3" t="s">
        <v>655</v>
      </c>
      <c r="G913" s="3" t="s">
        <v>668</v>
      </c>
      <c r="H913" s="3" t="s">
        <v>669</v>
      </c>
      <c r="I913" s="3">
        <v>2</v>
      </c>
      <c r="J913" s="3" t="s">
        <v>39</v>
      </c>
      <c r="K913" s="3" t="s">
        <v>109</v>
      </c>
      <c r="L913" s="3" t="s">
        <v>344</v>
      </c>
      <c r="M913" s="3" t="s">
        <v>4942</v>
      </c>
      <c r="N913" s="3" t="s">
        <v>195</v>
      </c>
      <c r="O913" s="3" t="s">
        <v>21</v>
      </c>
      <c r="P913" s="3" t="s">
        <v>196</v>
      </c>
      <c r="Q913" s="3" t="s">
        <v>99</v>
      </c>
      <c r="R913" s="3">
        <v>5</v>
      </c>
      <c r="S913" s="3">
        <v>27827.31</v>
      </c>
      <c r="T913" s="3">
        <v>15</v>
      </c>
      <c r="U913" s="3">
        <v>118266.07</v>
      </c>
      <c r="V913" s="3">
        <v>61147.48</v>
      </c>
      <c r="W913" s="3">
        <v>57118.59</v>
      </c>
      <c r="X913" s="3">
        <v>48.3</v>
      </c>
      <c r="Y913" s="3">
        <v>0</v>
      </c>
      <c r="Z913" s="3" t="s">
        <v>40</v>
      </c>
      <c r="AA913" s="3" t="s">
        <v>100</v>
      </c>
      <c r="AB913" s="3" t="s">
        <v>101</v>
      </c>
      <c r="AC913" s="3">
        <v>2</v>
      </c>
    </row>
    <row r="914" spans="1:29" x14ac:dyDescent="0.3">
      <c r="A914" s="2" t="s">
        <v>4943</v>
      </c>
      <c r="B914" s="2" t="s">
        <v>4944</v>
      </c>
      <c r="C914" s="2" t="s">
        <v>651</v>
      </c>
      <c r="D914" s="2" t="s">
        <v>4945</v>
      </c>
      <c r="E914" s="2" t="s">
        <v>42</v>
      </c>
      <c r="F914" s="2" t="s">
        <v>2928</v>
      </c>
      <c r="G914" s="2" t="s">
        <v>3474</v>
      </c>
      <c r="H914" s="2" t="s">
        <v>454</v>
      </c>
      <c r="I914" s="2">
        <v>3</v>
      </c>
      <c r="J914" s="2" t="s">
        <v>22</v>
      </c>
      <c r="K914" s="2" t="s">
        <v>283</v>
      </c>
      <c r="L914" s="2" t="s">
        <v>284</v>
      </c>
      <c r="M914" s="2" t="s">
        <v>4946</v>
      </c>
      <c r="N914" s="2" t="s">
        <v>475</v>
      </c>
      <c r="O914" s="2" t="s">
        <v>13</v>
      </c>
      <c r="P914" s="2" t="s">
        <v>228</v>
      </c>
      <c r="Q914" s="2" t="s">
        <v>466</v>
      </c>
      <c r="R914" s="2">
        <v>3</v>
      </c>
      <c r="S914" s="2">
        <v>6595.23</v>
      </c>
      <c r="T914" s="2">
        <v>15</v>
      </c>
      <c r="U914" s="2">
        <v>16817.84</v>
      </c>
      <c r="V914" s="2">
        <v>8872.65</v>
      </c>
      <c r="W914" s="2">
        <v>7945.19</v>
      </c>
      <c r="X914" s="2">
        <v>47.24</v>
      </c>
      <c r="Y914" s="2">
        <v>49</v>
      </c>
      <c r="Z914" s="2" t="s">
        <v>15</v>
      </c>
      <c r="AA914" s="2" t="s">
        <v>672</v>
      </c>
      <c r="AB914" s="2" t="s">
        <v>101</v>
      </c>
      <c r="AC914" s="2"/>
    </row>
    <row r="915" spans="1:29" x14ac:dyDescent="0.3">
      <c r="A915" s="3" t="s">
        <v>4947</v>
      </c>
      <c r="B915" s="3" t="s">
        <v>4948</v>
      </c>
      <c r="C915" s="3" t="s">
        <v>478</v>
      </c>
      <c r="D915" s="3" t="s">
        <v>4949</v>
      </c>
      <c r="E915" s="3" t="s">
        <v>18</v>
      </c>
      <c r="F915" s="3" t="s">
        <v>145</v>
      </c>
      <c r="G915" s="3" t="s">
        <v>4534</v>
      </c>
      <c r="H915" s="3" t="s">
        <v>3839</v>
      </c>
      <c r="I915" s="3">
        <v>4</v>
      </c>
      <c r="J915" s="3" t="s">
        <v>22</v>
      </c>
      <c r="K915" s="3" t="s">
        <v>283</v>
      </c>
      <c r="L915" s="3" t="s">
        <v>748</v>
      </c>
      <c r="M915" s="3" t="s">
        <v>4950</v>
      </c>
      <c r="N915" s="3" t="s">
        <v>518</v>
      </c>
      <c r="O915" s="3" t="s">
        <v>19</v>
      </c>
      <c r="P915" s="3" t="s">
        <v>365</v>
      </c>
      <c r="Q915" s="3" t="s">
        <v>608</v>
      </c>
      <c r="R915" s="3">
        <v>3</v>
      </c>
      <c r="S915" s="3">
        <v>11227.81</v>
      </c>
      <c r="T915" s="3">
        <v>0</v>
      </c>
      <c r="U915" s="3">
        <v>33683.43</v>
      </c>
      <c r="V915" s="3">
        <v>19844.3</v>
      </c>
      <c r="W915" s="3">
        <v>13839.13</v>
      </c>
      <c r="X915" s="3">
        <v>41.09</v>
      </c>
      <c r="Y915" s="3">
        <v>0</v>
      </c>
      <c r="Z915" s="3" t="s">
        <v>40</v>
      </c>
      <c r="AA915" s="3" t="s">
        <v>100</v>
      </c>
      <c r="AB915" s="3" t="s">
        <v>101</v>
      </c>
      <c r="AC915" s="3">
        <v>3</v>
      </c>
    </row>
    <row r="916" spans="1:29" x14ac:dyDescent="0.3">
      <c r="A916" s="2" t="s">
        <v>4951</v>
      </c>
      <c r="B916" s="2" t="s">
        <v>4952</v>
      </c>
      <c r="C916" s="2" t="s">
        <v>1989</v>
      </c>
      <c r="D916" s="2" t="s">
        <v>4953</v>
      </c>
      <c r="E916" s="2" t="s">
        <v>18</v>
      </c>
      <c r="F916" s="2" t="s">
        <v>831</v>
      </c>
      <c r="G916" s="2" t="s">
        <v>3242</v>
      </c>
      <c r="H916" s="2" t="s">
        <v>793</v>
      </c>
      <c r="I916" s="2">
        <v>4</v>
      </c>
      <c r="J916" s="2" t="s">
        <v>29</v>
      </c>
      <c r="K916" s="2" t="s">
        <v>148</v>
      </c>
      <c r="L916" s="2" t="s">
        <v>148</v>
      </c>
      <c r="M916" s="2" t="s">
        <v>4954</v>
      </c>
      <c r="N916" s="2" t="s">
        <v>484</v>
      </c>
      <c r="O916" s="2" t="s">
        <v>13</v>
      </c>
      <c r="P916" s="2" t="s">
        <v>98</v>
      </c>
      <c r="Q916" s="2" t="s">
        <v>114</v>
      </c>
      <c r="R916" s="2">
        <v>4</v>
      </c>
      <c r="S916" s="2">
        <v>45059.67</v>
      </c>
      <c r="T916" s="2">
        <v>15</v>
      </c>
      <c r="U916" s="2">
        <v>153202.88</v>
      </c>
      <c r="V916" s="2">
        <v>98611.65</v>
      </c>
      <c r="W916" s="2">
        <v>54591.23</v>
      </c>
      <c r="X916" s="2">
        <v>35.630000000000003</v>
      </c>
      <c r="Y916" s="2">
        <v>29</v>
      </c>
      <c r="Z916" s="2" t="s">
        <v>43</v>
      </c>
      <c r="AA916" s="2" t="s">
        <v>100</v>
      </c>
      <c r="AB916" s="2" t="s">
        <v>101</v>
      </c>
      <c r="AC916" s="2">
        <v>3</v>
      </c>
    </row>
    <row r="917" spans="1:29" x14ac:dyDescent="0.3">
      <c r="A917" s="3" t="s">
        <v>4955</v>
      </c>
      <c r="B917" s="3" t="s">
        <v>4956</v>
      </c>
      <c r="C917" s="3" t="s">
        <v>290</v>
      </c>
      <c r="D917" s="3" t="s">
        <v>4957</v>
      </c>
      <c r="E917" s="3" t="s">
        <v>42</v>
      </c>
      <c r="F917" s="3" t="s">
        <v>1206</v>
      </c>
      <c r="G917" s="3" t="s">
        <v>2456</v>
      </c>
      <c r="H917" s="3" t="s">
        <v>2660</v>
      </c>
      <c r="I917" s="3">
        <v>7</v>
      </c>
      <c r="J917" s="3" t="s">
        <v>29</v>
      </c>
      <c r="K917" s="3" t="s">
        <v>148</v>
      </c>
      <c r="L917" s="3" t="s">
        <v>148</v>
      </c>
      <c r="M917" s="3" t="s">
        <v>4958</v>
      </c>
      <c r="N917" s="3" t="s">
        <v>1188</v>
      </c>
      <c r="O917" s="3" t="s">
        <v>27</v>
      </c>
      <c r="P917" s="3" t="s">
        <v>257</v>
      </c>
      <c r="Q917" s="3" t="s">
        <v>138</v>
      </c>
      <c r="R917" s="3">
        <v>3</v>
      </c>
      <c r="S917" s="3">
        <v>13971.03</v>
      </c>
      <c r="T917" s="3">
        <v>0</v>
      </c>
      <c r="U917" s="3">
        <v>41913.089999999997</v>
      </c>
      <c r="V917" s="3">
        <v>27560.21</v>
      </c>
      <c r="W917" s="3">
        <v>14352.88</v>
      </c>
      <c r="X917" s="3">
        <v>34.24</v>
      </c>
      <c r="Y917" s="3">
        <v>99</v>
      </c>
      <c r="Z917" s="3" t="s">
        <v>15</v>
      </c>
      <c r="AA917" s="3" t="s">
        <v>100</v>
      </c>
      <c r="AB917" s="3" t="s">
        <v>101</v>
      </c>
      <c r="AC917" s="3">
        <v>4</v>
      </c>
    </row>
    <row r="918" spans="1:29" x14ac:dyDescent="0.3">
      <c r="A918" s="2" t="s">
        <v>4959</v>
      </c>
      <c r="B918" s="2" t="s">
        <v>2897</v>
      </c>
      <c r="C918" s="2" t="s">
        <v>210</v>
      </c>
      <c r="D918" s="2" t="s">
        <v>4960</v>
      </c>
      <c r="E918" s="2" t="s">
        <v>42</v>
      </c>
      <c r="F918" s="2" t="s">
        <v>1005</v>
      </c>
      <c r="G918" s="2" t="s">
        <v>4961</v>
      </c>
      <c r="H918" s="2" t="s">
        <v>1950</v>
      </c>
      <c r="I918" s="2">
        <v>5</v>
      </c>
      <c r="J918" s="2" t="s">
        <v>22</v>
      </c>
      <c r="K918" s="2" t="s">
        <v>122</v>
      </c>
      <c r="L918" s="2" t="s">
        <v>812</v>
      </c>
      <c r="M918" s="2" t="s">
        <v>4140</v>
      </c>
      <c r="N918" s="2" t="s">
        <v>852</v>
      </c>
      <c r="O918" s="2" t="s">
        <v>27</v>
      </c>
      <c r="P918" s="2" t="s">
        <v>175</v>
      </c>
      <c r="Q918" s="2" t="s">
        <v>99</v>
      </c>
      <c r="R918" s="2">
        <v>3</v>
      </c>
      <c r="S918" s="2">
        <v>3839.41</v>
      </c>
      <c r="T918" s="2">
        <v>5</v>
      </c>
      <c r="U918" s="2">
        <v>10942.32</v>
      </c>
      <c r="V918" s="2">
        <v>5144.2</v>
      </c>
      <c r="W918" s="2">
        <v>5798.12</v>
      </c>
      <c r="X918" s="2">
        <v>52.99</v>
      </c>
      <c r="Y918" s="2">
        <v>29</v>
      </c>
      <c r="Z918" s="2" t="s">
        <v>23</v>
      </c>
      <c r="AA918" s="2" t="s">
        <v>100</v>
      </c>
      <c r="AB918" s="2" t="s">
        <v>101</v>
      </c>
      <c r="AC918" s="2"/>
    </row>
    <row r="919" spans="1:29" x14ac:dyDescent="0.3">
      <c r="A919" s="3" t="s">
        <v>4962</v>
      </c>
      <c r="B919" s="3" t="s">
        <v>4963</v>
      </c>
      <c r="C919" s="3" t="s">
        <v>4964</v>
      </c>
      <c r="D919" s="3" t="s">
        <v>4965</v>
      </c>
      <c r="E919" s="3" t="s">
        <v>42</v>
      </c>
      <c r="F919" s="3" t="s">
        <v>4966</v>
      </c>
      <c r="G919" s="3" t="s">
        <v>3262</v>
      </c>
      <c r="H919" s="3" t="s">
        <v>4192</v>
      </c>
      <c r="I919" s="3">
        <v>2</v>
      </c>
      <c r="J919" s="3" t="s">
        <v>14</v>
      </c>
      <c r="K919" s="3" t="s">
        <v>95</v>
      </c>
      <c r="L919" s="3" t="s">
        <v>95</v>
      </c>
      <c r="M919" s="3" t="s">
        <v>4967</v>
      </c>
      <c r="N919" s="3" t="s">
        <v>551</v>
      </c>
      <c r="O919" s="3" t="s">
        <v>13</v>
      </c>
      <c r="P919" s="3" t="s">
        <v>98</v>
      </c>
      <c r="Q919" s="3" t="s">
        <v>246</v>
      </c>
      <c r="R919" s="3">
        <v>1</v>
      </c>
      <c r="S919" s="3">
        <v>5588.72</v>
      </c>
      <c r="T919" s="3">
        <v>30</v>
      </c>
      <c r="U919" s="3">
        <v>3912.1</v>
      </c>
      <c r="V919" s="3">
        <v>2693.21</v>
      </c>
      <c r="W919" s="3">
        <v>1218.8900000000001</v>
      </c>
      <c r="X919" s="3">
        <v>31.16</v>
      </c>
      <c r="Y919" s="3">
        <v>149</v>
      </c>
      <c r="Z919" s="3" t="s">
        <v>30</v>
      </c>
      <c r="AA919" s="3" t="s">
        <v>186</v>
      </c>
      <c r="AB919" s="3" t="s">
        <v>101</v>
      </c>
      <c r="AC919" s="3"/>
    </row>
    <row r="920" spans="1:29" x14ac:dyDescent="0.3">
      <c r="A920" s="2" t="s">
        <v>4968</v>
      </c>
      <c r="B920" s="2" t="s">
        <v>4969</v>
      </c>
      <c r="C920" s="2" t="s">
        <v>1885</v>
      </c>
      <c r="D920" s="2" t="s">
        <v>4970</v>
      </c>
      <c r="E920" s="2" t="s">
        <v>18</v>
      </c>
      <c r="F920" s="2" t="s">
        <v>4614</v>
      </c>
      <c r="G920" s="2" t="s">
        <v>2514</v>
      </c>
      <c r="H920" s="2" t="s">
        <v>1384</v>
      </c>
      <c r="I920" s="2">
        <v>3</v>
      </c>
      <c r="J920" s="2" t="s">
        <v>14</v>
      </c>
      <c r="K920" s="2" t="s">
        <v>215</v>
      </c>
      <c r="L920" s="2" t="s">
        <v>215</v>
      </c>
      <c r="M920" s="2" t="s">
        <v>4971</v>
      </c>
      <c r="N920" s="2" t="s">
        <v>274</v>
      </c>
      <c r="O920" s="2" t="s">
        <v>21</v>
      </c>
      <c r="P920" s="2" t="s">
        <v>126</v>
      </c>
      <c r="Q920" s="2" t="s">
        <v>114</v>
      </c>
      <c r="R920" s="2">
        <v>4</v>
      </c>
      <c r="S920" s="2">
        <v>12785.96</v>
      </c>
      <c r="T920" s="2">
        <v>0</v>
      </c>
      <c r="U920" s="2">
        <v>51143.839999999997</v>
      </c>
      <c r="V920" s="2">
        <v>26427.56</v>
      </c>
      <c r="W920" s="2">
        <v>24716.28</v>
      </c>
      <c r="X920" s="2">
        <v>48.33</v>
      </c>
      <c r="Y920" s="2">
        <v>149</v>
      </c>
      <c r="Z920" s="2" t="s">
        <v>47</v>
      </c>
      <c r="AA920" s="2" t="s">
        <v>139</v>
      </c>
      <c r="AB920" s="2" t="s">
        <v>140</v>
      </c>
      <c r="AC920" s="2"/>
    </row>
    <row r="921" spans="1:29" x14ac:dyDescent="0.3">
      <c r="A921" s="3" t="s">
        <v>4972</v>
      </c>
      <c r="B921" s="3" t="s">
        <v>4973</v>
      </c>
      <c r="C921" s="3" t="s">
        <v>178</v>
      </c>
      <c r="D921" s="3" t="s">
        <v>4974</v>
      </c>
      <c r="E921" s="3" t="s">
        <v>42</v>
      </c>
      <c r="F921" s="3" t="s">
        <v>1034</v>
      </c>
      <c r="G921" s="3" t="s">
        <v>914</v>
      </c>
      <c r="H921" s="3" t="s">
        <v>556</v>
      </c>
      <c r="I921" s="3">
        <v>5</v>
      </c>
      <c r="J921" s="3" t="s">
        <v>39</v>
      </c>
      <c r="K921" s="3" t="s">
        <v>193</v>
      </c>
      <c r="L921" s="3" t="s">
        <v>193</v>
      </c>
      <c r="M921" s="3" t="s">
        <v>4975</v>
      </c>
      <c r="N921" s="3" t="s">
        <v>150</v>
      </c>
      <c r="O921" s="3" t="s">
        <v>28</v>
      </c>
      <c r="P921" s="3" t="s">
        <v>151</v>
      </c>
      <c r="Q921" s="3" t="s">
        <v>355</v>
      </c>
      <c r="R921" s="3">
        <v>4</v>
      </c>
      <c r="S921" s="3">
        <v>26359.46</v>
      </c>
      <c r="T921" s="3">
        <v>10</v>
      </c>
      <c r="U921" s="3">
        <v>94894.06</v>
      </c>
      <c r="V921" s="3">
        <v>48178.1</v>
      </c>
      <c r="W921" s="3">
        <v>46715.96</v>
      </c>
      <c r="X921" s="3">
        <v>49.23</v>
      </c>
      <c r="Y921" s="3">
        <v>29</v>
      </c>
      <c r="Z921" s="3" t="s">
        <v>48</v>
      </c>
      <c r="AA921" s="3" t="s">
        <v>186</v>
      </c>
      <c r="AB921" s="3" t="s">
        <v>101</v>
      </c>
      <c r="AC921" s="3"/>
    </row>
    <row r="922" spans="1:29" x14ac:dyDescent="0.3">
      <c r="A922" s="2" t="s">
        <v>4976</v>
      </c>
      <c r="B922" s="2" t="s">
        <v>4977</v>
      </c>
      <c r="C922" s="2" t="s">
        <v>2729</v>
      </c>
      <c r="D922" s="2" t="s">
        <v>4978</v>
      </c>
      <c r="E922" s="2" t="s">
        <v>42</v>
      </c>
      <c r="F922" s="2" t="s">
        <v>1950</v>
      </c>
      <c r="G922" s="2" t="s">
        <v>2764</v>
      </c>
      <c r="H922" s="2" t="s">
        <v>3405</v>
      </c>
      <c r="I922" s="2">
        <v>8</v>
      </c>
      <c r="J922" s="2" t="s">
        <v>29</v>
      </c>
      <c r="K922" s="2" t="s">
        <v>427</v>
      </c>
      <c r="L922" s="2" t="s">
        <v>428</v>
      </c>
      <c r="M922" s="2" t="s">
        <v>4979</v>
      </c>
      <c r="N922" s="2" t="s">
        <v>217</v>
      </c>
      <c r="O922" s="2" t="s">
        <v>21</v>
      </c>
      <c r="P922" s="2" t="s">
        <v>206</v>
      </c>
      <c r="Q922" s="2" t="s">
        <v>218</v>
      </c>
      <c r="R922" s="2">
        <v>4</v>
      </c>
      <c r="S922" s="2">
        <v>49217.56</v>
      </c>
      <c r="T922" s="2">
        <v>25</v>
      </c>
      <c r="U922" s="2">
        <v>147652.68</v>
      </c>
      <c r="V922" s="2">
        <v>80143.78</v>
      </c>
      <c r="W922" s="2">
        <v>67508.899999999994</v>
      </c>
      <c r="X922" s="2">
        <v>45.72</v>
      </c>
      <c r="Y922" s="2">
        <v>99</v>
      </c>
      <c r="Z922" s="2" t="s">
        <v>15</v>
      </c>
      <c r="AA922" s="2" t="s">
        <v>139</v>
      </c>
      <c r="AB922" s="2" t="s">
        <v>140</v>
      </c>
      <c r="AC922" s="2"/>
    </row>
    <row r="923" spans="1:29" x14ac:dyDescent="0.3">
      <c r="A923" s="3" t="s">
        <v>4980</v>
      </c>
      <c r="B923" s="3" t="s">
        <v>4981</v>
      </c>
      <c r="C923" s="3" t="s">
        <v>368</v>
      </c>
      <c r="D923" s="3" t="s">
        <v>4982</v>
      </c>
      <c r="E923" s="3" t="s">
        <v>33</v>
      </c>
      <c r="F923" s="3" t="s">
        <v>2387</v>
      </c>
      <c r="G923" s="3" t="s">
        <v>1996</v>
      </c>
      <c r="H923" s="3" t="s">
        <v>424</v>
      </c>
      <c r="I923" s="3">
        <v>7</v>
      </c>
      <c r="J923" s="3" t="s">
        <v>22</v>
      </c>
      <c r="K923" s="3" t="s">
        <v>443</v>
      </c>
      <c r="L923" s="3" t="s">
        <v>567</v>
      </c>
      <c r="M923" s="3" t="s">
        <v>4983</v>
      </c>
      <c r="N923" s="3" t="s">
        <v>354</v>
      </c>
      <c r="O923" s="3" t="s">
        <v>21</v>
      </c>
      <c r="P923" s="3" t="s">
        <v>196</v>
      </c>
      <c r="Q923" s="3" t="s">
        <v>207</v>
      </c>
      <c r="R923" s="3">
        <v>4</v>
      </c>
      <c r="S923" s="3">
        <v>16131.13</v>
      </c>
      <c r="T923" s="3">
        <v>20</v>
      </c>
      <c r="U923" s="3">
        <v>51619.62</v>
      </c>
      <c r="V923" s="3">
        <v>23504.27</v>
      </c>
      <c r="W923" s="3">
        <v>28115.35</v>
      </c>
      <c r="X923" s="3">
        <v>54.47</v>
      </c>
      <c r="Y923" s="3">
        <v>49</v>
      </c>
      <c r="Z923" s="3" t="s">
        <v>47</v>
      </c>
      <c r="AA923" s="3" t="s">
        <v>100</v>
      </c>
      <c r="AB923" s="3" t="s">
        <v>101</v>
      </c>
      <c r="AC923" s="3">
        <v>2</v>
      </c>
    </row>
    <row r="924" spans="1:29" x14ac:dyDescent="0.3">
      <c r="A924" s="2" t="s">
        <v>4984</v>
      </c>
      <c r="B924" s="2" t="s">
        <v>4985</v>
      </c>
      <c r="C924" s="2" t="s">
        <v>1590</v>
      </c>
      <c r="D924" s="2" t="s">
        <v>4986</v>
      </c>
      <c r="E924" s="2" t="s">
        <v>26</v>
      </c>
      <c r="F924" s="2" t="s">
        <v>3461</v>
      </c>
      <c r="G924" s="2" t="s">
        <v>3886</v>
      </c>
      <c r="H924" s="2" t="s">
        <v>2708</v>
      </c>
      <c r="I924" s="2">
        <v>8</v>
      </c>
      <c r="J924" s="2" t="s">
        <v>29</v>
      </c>
      <c r="K924" s="2" t="s">
        <v>160</v>
      </c>
      <c r="L924" s="2" t="s">
        <v>976</v>
      </c>
      <c r="M924" s="2" t="s">
        <v>827</v>
      </c>
      <c r="N924" s="2" t="s">
        <v>1611</v>
      </c>
      <c r="O924" s="2" t="s">
        <v>19</v>
      </c>
      <c r="P924" s="2" t="s">
        <v>365</v>
      </c>
      <c r="Q924" s="2" t="s">
        <v>99</v>
      </c>
      <c r="R924" s="2">
        <v>5</v>
      </c>
      <c r="S924" s="2">
        <v>33382.239999999998</v>
      </c>
      <c r="T924" s="2">
        <v>0</v>
      </c>
      <c r="U924" s="2">
        <v>166911.20000000001</v>
      </c>
      <c r="V924" s="2">
        <v>83825.06</v>
      </c>
      <c r="W924" s="2">
        <v>83086.14</v>
      </c>
      <c r="X924" s="2">
        <v>49.78</v>
      </c>
      <c r="Y924" s="2">
        <v>149</v>
      </c>
      <c r="Z924" s="2" t="s">
        <v>15</v>
      </c>
      <c r="AA924" s="2" t="s">
        <v>100</v>
      </c>
      <c r="AB924" s="2" t="s">
        <v>101</v>
      </c>
      <c r="AC924" s="2">
        <v>1</v>
      </c>
    </row>
    <row r="925" spans="1:29" x14ac:dyDescent="0.3">
      <c r="A925" s="3" t="s">
        <v>4987</v>
      </c>
      <c r="B925" s="3" t="s">
        <v>4988</v>
      </c>
      <c r="C925" s="3" t="s">
        <v>278</v>
      </c>
      <c r="D925" s="3" t="s">
        <v>4989</v>
      </c>
      <c r="E925" s="3" t="s">
        <v>42</v>
      </c>
      <c r="F925" s="3" t="s">
        <v>761</v>
      </c>
      <c r="G925" s="3" t="s">
        <v>4706</v>
      </c>
      <c r="H925" s="3" t="s">
        <v>3144</v>
      </c>
      <c r="I925" s="3">
        <v>3</v>
      </c>
      <c r="J925" s="3" t="s">
        <v>29</v>
      </c>
      <c r="K925" s="3" t="s">
        <v>334</v>
      </c>
      <c r="L925" s="3" t="s">
        <v>335</v>
      </c>
      <c r="M925" s="3" t="s">
        <v>3079</v>
      </c>
      <c r="N925" s="3" t="s">
        <v>185</v>
      </c>
      <c r="O925" s="3" t="s">
        <v>28</v>
      </c>
      <c r="P925" s="3" t="s">
        <v>151</v>
      </c>
      <c r="Q925" s="3" t="s">
        <v>99</v>
      </c>
      <c r="R925" s="3">
        <v>2</v>
      </c>
      <c r="S925" s="3">
        <v>24944.45</v>
      </c>
      <c r="T925" s="3">
        <v>0</v>
      </c>
      <c r="U925" s="3">
        <v>49888.9</v>
      </c>
      <c r="V925" s="3">
        <v>33867.69</v>
      </c>
      <c r="W925" s="3">
        <v>16021.21</v>
      </c>
      <c r="X925" s="3">
        <v>32.11</v>
      </c>
      <c r="Y925" s="3">
        <v>0</v>
      </c>
      <c r="Z925" s="3" t="s">
        <v>43</v>
      </c>
      <c r="AA925" s="3" t="s">
        <v>100</v>
      </c>
      <c r="AB925" s="3" t="s">
        <v>101</v>
      </c>
      <c r="AC925" s="3">
        <v>5</v>
      </c>
    </row>
    <row r="926" spans="1:29" x14ac:dyDescent="0.3">
      <c r="A926" s="2" t="s">
        <v>4990</v>
      </c>
      <c r="B926" s="2" t="s">
        <v>4991</v>
      </c>
      <c r="C926" s="2" t="s">
        <v>1737</v>
      </c>
      <c r="D926" s="2" t="s">
        <v>4992</v>
      </c>
      <c r="E926" s="2" t="s">
        <v>18</v>
      </c>
      <c r="F926" s="2" t="s">
        <v>1677</v>
      </c>
      <c r="G926" s="2" t="s">
        <v>2300</v>
      </c>
      <c r="H926" s="2" t="s">
        <v>745</v>
      </c>
      <c r="I926" s="2">
        <v>3</v>
      </c>
      <c r="J926" s="2" t="s">
        <v>14</v>
      </c>
      <c r="K926" s="2" t="s">
        <v>215</v>
      </c>
      <c r="L926" s="2" t="s">
        <v>215</v>
      </c>
      <c r="M926" s="2" t="s">
        <v>1727</v>
      </c>
      <c r="N926" s="2" t="s">
        <v>217</v>
      </c>
      <c r="O926" s="2" t="s">
        <v>21</v>
      </c>
      <c r="P926" s="2" t="s">
        <v>206</v>
      </c>
      <c r="Q926" s="2" t="s">
        <v>509</v>
      </c>
      <c r="R926" s="2">
        <v>5</v>
      </c>
      <c r="S926" s="2">
        <v>41653.339999999997</v>
      </c>
      <c r="T926" s="2">
        <v>20</v>
      </c>
      <c r="U926" s="2">
        <v>166613.35999999999</v>
      </c>
      <c r="V926" s="2">
        <v>80382.03</v>
      </c>
      <c r="W926" s="2">
        <v>86231.33</v>
      </c>
      <c r="X926" s="2">
        <v>51.76</v>
      </c>
      <c r="Y926" s="2">
        <v>29</v>
      </c>
      <c r="Z926" s="2" t="s">
        <v>15</v>
      </c>
      <c r="AA926" s="2" t="s">
        <v>100</v>
      </c>
      <c r="AB926" s="2" t="s">
        <v>140</v>
      </c>
      <c r="AC926" s="2">
        <v>3</v>
      </c>
    </row>
    <row r="927" spans="1:29" x14ac:dyDescent="0.3">
      <c r="A927" s="3" t="s">
        <v>4993</v>
      </c>
      <c r="B927" s="3" t="s">
        <v>4994</v>
      </c>
      <c r="C927" s="3" t="s">
        <v>1335</v>
      </c>
      <c r="D927" s="3" t="s">
        <v>4995</v>
      </c>
      <c r="E927" s="3" t="s">
        <v>26</v>
      </c>
      <c r="F927" s="3" t="s">
        <v>2392</v>
      </c>
      <c r="G927" s="3" t="s">
        <v>523</v>
      </c>
      <c r="H927" s="3" t="s">
        <v>524</v>
      </c>
      <c r="I927" s="3">
        <v>3</v>
      </c>
      <c r="J927" s="3" t="s">
        <v>14</v>
      </c>
      <c r="K927" s="3" t="s">
        <v>171</v>
      </c>
      <c r="L927" s="3" t="s">
        <v>541</v>
      </c>
      <c r="M927" s="3" t="s">
        <v>4996</v>
      </c>
      <c r="N927" s="3" t="s">
        <v>837</v>
      </c>
      <c r="O927" s="3" t="s">
        <v>27</v>
      </c>
      <c r="P927" s="3" t="s">
        <v>257</v>
      </c>
      <c r="Q927" s="3" t="s">
        <v>114</v>
      </c>
      <c r="R927" s="3">
        <v>1</v>
      </c>
      <c r="S927" s="3">
        <v>46263.95</v>
      </c>
      <c r="T927" s="3">
        <v>0</v>
      </c>
      <c r="U927" s="3">
        <v>46263.95</v>
      </c>
      <c r="V927" s="3">
        <v>32176.22</v>
      </c>
      <c r="W927" s="3">
        <v>14087.73</v>
      </c>
      <c r="X927" s="3">
        <v>30.45</v>
      </c>
      <c r="Y927" s="3">
        <v>149</v>
      </c>
      <c r="Z927" s="3" t="s">
        <v>40</v>
      </c>
      <c r="AA927" s="3" t="s">
        <v>100</v>
      </c>
      <c r="AB927" s="3" t="s">
        <v>101</v>
      </c>
      <c r="AC927" s="3">
        <v>5</v>
      </c>
    </row>
    <row r="928" spans="1:29" x14ac:dyDescent="0.3">
      <c r="A928" s="2" t="s">
        <v>4997</v>
      </c>
      <c r="B928" s="2" t="s">
        <v>4998</v>
      </c>
      <c r="C928" s="2" t="s">
        <v>2729</v>
      </c>
      <c r="D928" s="2" t="s">
        <v>4999</v>
      </c>
      <c r="E928" s="2" t="s">
        <v>18</v>
      </c>
      <c r="F928" s="2" t="s">
        <v>2698</v>
      </c>
      <c r="G928" s="2" t="s">
        <v>983</v>
      </c>
      <c r="H928" s="2" t="s">
        <v>3088</v>
      </c>
      <c r="I928" s="2">
        <v>5</v>
      </c>
      <c r="J928" s="2" t="s">
        <v>29</v>
      </c>
      <c r="K928" s="2" t="s">
        <v>160</v>
      </c>
      <c r="L928" s="2" t="s">
        <v>976</v>
      </c>
      <c r="M928" s="2" t="s">
        <v>5000</v>
      </c>
      <c r="N928" s="2" t="s">
        <v>533</v>
      </c>
      <c r="O928" s="2" t="s">
        <v>19</v>
      </c>
      <c r="P928" s="2" t="s">
        <v>297</v>
      </c>
      <c r="Q928" s="2" t="s">
        <v>207</v>
      </c>
      <c r="R928" s="2">
        <v>1</v>
      </c>
      <c r="S928" s="2">
        <v>34401.01</v>
      </c>
      <c r="T928" s="2">
        <v>25</v>
      </c>
      <c r="U928" s="2">
        <v>25800.76</v>
      </c>
      <c r="V928" s="2">
        <v>16029.94</v>
      </c>
      <c r="W928" s="2">
        <v>9770.82</v>
      </c>
      <c r="X928" s="2">
        <v>37.869999999999997</v>
      </c>
      <c r="Y928" s="2">
        <v>29</v>
      </c>
      <c r="Z928" s="2" t="s">
        <v>47</v>
      </c>
      <c r="AA928" s="2" t="s">
        <v>186</v>
      </c>
      <c r="AB928" s="2" t="s">
        <v>101</v>
      </c>
      <c r="AC928" s="2"/>
    </row>
    <row r="929" spans="1:29" x14ac:dyDescent="0.3">
      <c r="A929" s="3" t="s">
        <v>5001</v>
      </c>
      <c r="B929" s="3" t="s">
        <v>5002</v>
      </c>
      <c r="C929" s="3" t="s">
        <v>2202</v>
      </c>
      <c r="D929" s="3" t="s">
        <v>5003</v>
      </c>
      <c r="E929" s="3" t="s">
        <v>26</v>
      </c>
      <c r="F929" s="3" t="s">
        <v>1733</v>
      </c>
      <c r="G929" s="3" t="s">
        <v>5004</v>
      </c>
      <c r="H929" s="3" t="s">
        <v>4044</v>
      </c>
      <c r="I929" s="3">
        <v>7</v>
      </c>
      <c r="J929" s="3" t="s">
        <v>39</v>
      </c>
      <c r="K929" s="3" t="s">
        <v>109</v>
      </c>
      <c r="L929" s="3" t="s">
        <v>344</v>
      </c>
      <c r="M929" s="3" t="s">
        <v>5005</v>
      </c>
      <c r="N929" s="3" t="s">
        <v>3017</v>
      </c>
      <c r="O929" s="3" t="s">
        <v>13</v>
      </c>
      <c r="P929" s="3" t="s">
        <v>419</v>
      </c>
      <c r="Q929" s="3" t="s">
        <v>466</v>
      </c>
      <c r="R929" s="3">
        <v>3</v>
      </c>
      <c r="S929" s="3">
        <v>26820.03</v>
      </c>
      <c r="T929" s="3">
        <v>20</v>
      </c>
      <c r="U929" s="3">
        <v>64368.07</v>
      </c>
      <c r="V929" s="3">
        <v>30755.18</v>
      </c>
      <c r="W929" s="3">
        <v>33612.89</v>
      </c>
      <c r="X929" s="3">
        <v>52.22</v>
      </c>
      <c r="Y929" s="3">
        <v>0</v>
      </c>
      <c r="Z929" s="3" t="s">
        <v>23</v>
      </c>
      <c r="AA929" s="3" t="s">
        <v>139</v>
      </c>
      <c r="AB929" s="3" t="s">
        <v>140</v>
      </c>
      <c r="AC929" s="3"/>
    </row>
    <row r="930" spans="1:29" x14ac:dyDescent="0.3">
      <c r="A930" s="2" t="s">
        <v>5006</v>
      </c>
      <c r="B930" s="2" t="s">
        <v>5007</v>
      </c>
      <c r="C930" s="2" t="s">
        <v>269</v>
      </c>
      <c r="D930" s="2" t="s">
        <v>5008</v>
      </c>
      <c r="E930" s="2" t="s">
        <v>42</v>
      </c>
      <c r="F930" s="2" t="s">
        <v>2271</v>
      </c>
      <c r="G930" s="2" t="s">
        <v>4268</v>
      </c>
      <c r="H930" s="2" t="s">
        <v>2341</v>
      </c>
      <c r="I930" s="2">
        <v>2</v>
      </c>
      <c r="J930" s="2" t="s">
        <v>22</v>
      </c>
      <c r="K930" s="2" t="s">
        <v>122</v>
      </c>
      <c r="L930" s="2" t="s">
        <v>123</v>
      </c>
      <c r="M930" s="2" t="s">
        <v>5009</v>
      </c>
      <c r="N930" s="2" t="s">
        <v>185</v>
      </c>
      <c r="O930" s="2" t="s">
        <v>28</v>
      </c>
      <c r="P930" s="2" t="s">
        <v>151</v>
      </c>
      <c r="Q930" s="2" t="s">
        <v>114</v>
      </c>
      <c r="R930" s="2">
        <v>2</v>
      </c>
      <c r="S930" s="2">
        <v>32230.26</v>
      </c>
      <c r="T930" s="2">
        <v>5</v>
      </c>
      <c r="U930" s="2">
        <v>61237.49</v>
      </c>
      <c r="V930" s="2">
        <v>28198.41</v>
      </c>
      <c r="W930" s="2">
        <v>33039.08</v>
      </c>
      <c r="X930" s="2">
        <v>53.95</v>
      </c>
      <c r="Y930" s="2">
        <v>0</v>
      </c>
      <c r="Z930" s="2" t="s">
        <v>43</v>
      </c>
      <c r="AA930" s="2" t="s">
        <v>275</v>
      </c>
      <c r="AB930" s="2" t="s">
        <v>101</v>
      </c>
      <c r="AC930" s="2"/>
    </row>
    <row r="931" spans="1:29" x14ac:dyDescent="0.3">
      <c r="A931" s="3" t="s">
        <v>5010</v>
      </c>
      <c r="B931" s="3" t="s">
        <v>5011</v>
      </c>
      <c r="C931" s="3" t="s">
        <v>1364</v>
      </c>
      <c r="D931" s="3" t="s">
        <v>5012</v>
      </c>
      <c r="E931" s="3" t="s">
        <v>26</v>
      </c>
      <c r="F931" s="3" t="s">
        <v>2563</v>
      </c>
      <c r="G931" s="3" t="s">
        <v>2564</v>
      </c>
      <c r="H931" s="3" t="s">
        <v>2349</v>
      </c>
      <c r="I931" s="3">
        <v>8</v>
      </c>
      <c r="J931" s="3" t="s">
        <v>39</v>
      </c>
      <c r="K931" s="3" t="s">
        <v>193</v>
      </c>
      <c r="L931" s="3" t="s">
        <v>193</v>
      </c>
      <c r="M931" s="3" t="s">
        <v>5013</v>
      </c>
      <c r="N931" s="3" t="s">
        <v>217</v>
      </c>
      <c r="O931" s="3" t="s">
        <v>21</v>
      </c>
      <c r="P931" s="3" t="s">
        <v>206</v>
      </c>
      <c r="Q931" s="3" t="s">
        <v>218</v>
      </c>
      <c r="R931" s="3">
        <v>3</v>
      </c>
      <c r="S931" s="3">
        <v>13409.78</v>
      </c>
      <c r="T931" s="3">
        <v>0</v>
      </c>
      <c r="U931" s="3">
        <v>40229.339999999997</v>
      </c>
      <c r="V931" s="3">
        <v>23221.919999999998</v>
      </c>
      <c r="W931" s="3">
        <v>17007.419999999998</v>
      </c>
      <c r="X931" s="3">
        <v>42.28</v>
      </c>
      <c r="Y931" s="3">
        <v>149</v>
      </c>
      <c r="Z931" s="3" t="s">
        <v>15</v>
      </c>
      <c r="AA931" s="3" t="s">
        <v>275</v>
      </c>
      <c r="AB931" s="3" t="s">
        <v>101</v>
      </c>
      <c r="AC931" s="3"/>
    </row>
    <row r="932" spans="1:29" x14ac:dyDescent="0.3">
      <c r="A932" s="2" t="s">
        <v>5014</v>
      </c>
      <c r="B932" s="2" t="s">
        <v>5015</v>
      </c>
      <c r="C932" s="2" t="s">
        <v>1038</v>
      </c>
      <c r="D932" s="2" t="s">
        <v>5016</v>
      </c>
      <c r="E932" s="2" t="s">
        <v>18</v>
      </c>
      <c r="F932" s="2" t="s">
        <v>786</v>
      </c>
      <c r="G932" s="2" t="s">
        <v>960</v>
      </c>
      <c r="H932" s="2" t="s">
        <v>962</v>
      </c>
      <c r="I932" s="2">
        <v>7</v>
      </c>
      <c r="J932" s="2" t="s">
        <v>14</v>
      </c>
      <c r="K932" s="2" t="s">
        <v>171</v>
      </c>
      <c r="L932" s="2" t="s">
        <v>172</v>
      </c>
      <c r="M932" s="2" t="s">
        <v>5017</v>
      </c>
      <c r="N932" s="2" t="s">
        <v>185</v>
      </c>
      <c r="O932" s="2" t="s">
        <v>28</v>
      </c>
      <c r="P932" s="2" t="s">
        <v>151</v>
      </c>
      <c r="Q932" s="2" t="s">
        <v>287</v>
      </c>
      <c r="R932" s="2">
        <v>4</v>
      </c>
      <c r="S932" s="2">
        <v>37449.97</v>
      </c>
      <c r="T932" s="2">
        <v>0</v>
      </c>
      <c r="U932" s="2">
        <v>149799.88</v>
      </c>
      <c r="V932" s="2">
        <v>73225.78</v>
      </c>
      <c r="W932" s="2">
        <v>76574.100000000006</v>
      </c>
      <c r="X932" s="2">
        <v>51.12</v>
      </c>
      <c r="Y932" s="2">
        <v>149</v>
      </c>
      <c r="Z932" s="2" t="s">
        <v>40</v>
      </c>
      <c r="AA932" s="2" t="s">
        <v>100</v>
      </c>
      <c r="AB932" s="2" t="s">
        <v>101</v>
      </c>
      <c r="AC932" s="2">
        <v>2</v>
      </c>
    </row>
    <row r="933" spans="1:29" x14ac:dyDescent="0.3">
      <c r="A933" s="3" t="s">
        <v>5018</v>
      </c>
      <c r="B933" s="3" t="s">
        <v>5019</v>
      </c>
      <c r="C933" s="3" t="s">
        <v>1019</v>
      </c>
      <c r="D933" s="3" t="s">
        <v>5020</v>
      </c>
      <c r="E933" s="3" t="s">
        <v>42</v>
      </c>
      <c r="F933" s="3" t="s">
        <v>928</v>
      </c>
      <c r="G933" s="3" t="s">
        <v>556</v>
      </c>
      <c r="H933" s="3" t="s">
        <v>557</v>
      </c>
      <c r="I933" s="3">
        <v>2</v>
      </c>
      <c r="J933" s="3" t="s">
        <v>22</v>
      </c>
      <c r="K933" s="3" t="s">
        <v>283</v>
      </c>
      <c r="L933" s="3" t="s">
        <v>284</v>
      </c>
      <c r="M933" s="3" t="s">
        <v>5021</v>
      </c>
      <c r="N933" s="3" t="s">
        <v>446</v>
      </c>
      <c r="O933" s="3" t="s">
        <v>19</v>
      </c>
      <c r="P933" s="3" t="s">
        <v>447</v>
      </c>
      <c r="Q933" s="3" t="s">
        <v>152</v>
      </c>
      <c r="R933" s="3">
        <v>5</v>
      </c>
      <c r="S933" s="3">
        <v>35214.800000000003</v>
      </c>
      <c r="T933" s="3">
        <v>5</v>
      </c>
      <c r="U933" s="3">
        <v>167270.29999999999</v>
      </c>
      <c r="V933" s="3">
        <v>114107.71</v>
      </c>
      <c r="W933" s="3">
        <v>53162.59</v>
      </c>
      <c r="X933" s="3">
        <v>31.78</v>
      </c>
      <c r="Y933" s="3">
        <v>29</v>
      </c>
      <c r="Z933" s="3" t="s">
        <v>48</v>
      </c>
      <c r="AA933" s="3" t="s">
        <v>100</v>
      </c>
      <c r="AB933" s="3" t="s">
        <v>101</v>
      </c>
      <c r="AC933" s="3">
        <v>2</v>
      </c>
    </row>
    <row r="934" spans="1:29" x14ac:dyDescent="0.3">
      <c r="A934" s="2" t="s">
        <v>5022</v>
      </c>
      <c r="B934" s="2" t="s">
        <v>5023</v>
      </c>
      <c r="C934" s="2" t="s">
        <v>2534</v>
      </c>
      <c r="D934" s="2" t="s">
        <v>5024</v>
      </c>
      <c r="E934" s="2" t="s">
        <v>26</v>
      </c>
      <c r="F934" s="2" t="s">
        <v>4552</v>
      </c>
      <c r="G934" s="2" t="s">
        <v>885</v>
      </c>
      <c r="H934" s="2" t="s">
        <v>887</v>
      </c>
      <c r="I934" s="2">
        <v>6</v>
      </c>
      <c r="J934" s="2" t="s">
        <v>22</v>
      </c>
      <c r="K934" s="2" t="s">
        <v>254</v>
      </c>
      <c r="L934" s="2" t="s">
        <v>254</v>
      </c>
      <c r="M934" s="2" t="s">
        <v>5025</v>
      </c>
      <c r="N934" s="2" t="s">
        <v>837</v>
      </c>
      <c r="O934" s="2" t="s">
        <v>27</v>
      </c>
      <c r="P934" s="2" t="s">
        <v>257</v>
      </c>
      <c r="Q934" s="2" t="s">
        <v>287</v>
      </c>
      <c r="R934" s="2">
        <v>1</v>
      </c>
      <c r="S934" s="2">
        <v>47297.02</v>
      </c>
      <c r="T934" s="2">
        <v>15</v>
      </c>
      <c r="U934" s="2">
        <v>40202.47</v>
      </c>
      <c r="V934" s="2">
        <v>26064.02</v>
      </c>
      <c r="W934" s="2">
        <v>14138.45</v>
      </c>
      <c r="X934" s="2">
        <v>35.17</v>
      </c>
      <c r="Y934" s="2">
        <v>99</v>
      </c>
      <c r="Z934" s="2" t="s">
        <v>47</v>
      </c>
      <c r="AA934" s="2" t="s">
        <v>100</v>
      </c>
      <c r="AB934" s="2" t="s">
        <v>101</v>
      </c>
      <c r="AC934" s="2">
        <v>5</v>
      </c>
    </row>
    <row r="935" spans="1:29" x14ac:dyDescent="0.3">
      <c r="A935" s="3" t="s">
        <v>5026</v>
      </c>
      <c r="B935" s="3" t="s">
        <v>5027</v>
      </c>
      <c r="C935" s="3" t="s">
        <v>1152</v>
      </c>
      <c r="D935" s="3" t="s">
        <v>5028</v>
      </c>
      <c r="E935" s="3" t="s">
        <v>18</v>
      </c>
      <c r="F935" s="3" t="s">
        <v>5029</v>
      </c>
      <c r="G935" s="3" t="s">
        <v>820</v>
      </c>
      <c r="H935" s="3" t="s">
        <v>928</v>
      </c>
      <c r="I935" s="3">
        <v>2</v>
      </c>
      <c r="J935" s="3" t="s">
        <v>29</v>
      </c>
      <c r="K935" s="3" t="s">
        <v>334</v>
      </c>
      <c r="L935" s="3" t="s">
        <v>335</v>
      </c>
      <c r="M935" s="3" t="s">
        <v>5030</v>
      </c>
      <c r="N935" s="3" t="s">
        <v>1332</v>
      </c>
      <c r="O935" s="3" t="s">
        <v>19</v>
      </c>
      <c r="P935" s="3" t="s">
        <v>447</v>
      </c>
      <c r="Q935" s="3" t="s">
        <v>197</v>
      </c>
      <c r="R935" s="3">
        <v>5</v>
      </c>
      <c r="S935" s="3">
        <v>31438.32</v>
      </c>
      <c r="T935" s="3">
        <v>0</v>
      </c>
      <c r="U935" s="3">
        <v>157191.6</v>
      </c>
      <c r="V935" s="3">
        <v>108038.21</v>
      </c>
      <c r="W935" s="3">
        <v>49153.39</v>
      </c>
      <c r="X935" s="3">
        <v>31.27</v>
      </c>
      <c r="Y935" s="3">
        <v>199</v>
      </c>
      <c r="Z935" s="3" t="s">
        <v>30</v>
      </c>
      <c r="AA935" s="3" t="s">
        <v>186</v>
      </c>
      <c r="AB935" s="3" t="s">
        <v>101</v>
      </c>
      <c r="AC935" s="3"/>
    </row>
    <row r="936" spans="1:29" x14ac:dyDescent="0.3">
      <c r="A936" s="2" t="s">
        <v>5031</v>
      </c>
      <c r="B936" s="2" t="s">
        <v>5032</v>
      </c>
      <c r="C936" s="2" t="s">
        <v>1492</v>
      </c>
      <c r="D936" s="2" t="s">
        <v>5033</v>
      </c>
      <c r="E936" s="2" t="s">
        <v>18</v>
      </c>
      <c r="F936" s="2" t="s">
        <v>1047</v>
      </c>
      <c r="G936" s="2" t="s">
        <v>1048</v>
      </c>
      <c r="H936" s="2" t="s">
        <v>3615</v>
      </c>
      <c r="I936" s="2">
        <v>2</v>
      </c>
      <c r="J936" s="2" t="s">
        <v>22</v>
      </c>
      <c r="K936" s="2" t="s">
        <v>283</v>
      </c>
      <c r="L936" s="2" t="s">
        <v>284</v>
      </c>
      <c r="M936" s="2" t="s">
        <v>5034</v>
      </c>
      <c r="N936" s="2" t="s">
        <v>256</v>
      </c>
      <c r="O936" s="2" t="s">
        <v>27</v>
      </c>
      <c r="P936" s="2" t="s">
        <v>257</v>
      </c>
      <c r="Q936" s="2" t="s">
        <v>127</v>
      </c>
      <c r="R936" s="2">
        <v>3</v>
      </c>
      <c r="S936" s="2">
        <v>44810</v>
      </c>
      <c r="T936" s="2">
        <v>10</v>
      </c>
      <c r="U936" s="2">
        <v>120987</v>
      </c>
      <c r="V936" s="2">
        <v>81287.149999999994</v>
      </c>
      <c r="W936" s="2">
        <v>39699.85</v>
      </c>
      <c r="X936" s="2">
        <v>32.81</v>
      </c>
      <c r="Y936" s="2">
        <v>149</v>
      </c>
      <c r="Z936" s="2" t="s">
        <v>40</v>
      </c>
      <c r="AA936" s="2" t="s">
        <v>100</v>
      </c>
      <c r="AB936" s="2" t="s">
        <v>101</v>
      </c>
      <c r="AC936" s="2">
        <v>2</v>
      </c>
    </row>
    <row r="937" spans="1:29" x14ac:dyDescent="0.3">
      <c r="A937" s="3" t="s">
        <v>5035</v>
      </c>
      <c r="B937" s="3" t="s">
        <v>5036</v>
      </c>
      <c r="C937" s="3" t="s">
        <v>934</v>
      </c>
      <c r="D937" s="3" t="s">
        <v>5037</v>
      </c>
      <c r="E937" s="3" t="s">
        <v>26</v>
      </c>
      <c r="F937" s="3" t="s">
        <v>2237</v>
      </c>
      <c r="G937" s="3" t="s">
        <v>263</v>
      </c>
      <c r="H937" s="3" t="s">
        <v>203</v>
      </c>
      <c r="I937" s="3">
        <v>8</v>
      </c>
      <c r="J937" s="3" t="s">
        <v>22</v>
      </c>
      <c r="K937" s="3" t="s">
        <v>122</v>
      </c>
      <c r="L937" s="3" t="s">
        <v>123</v>
      </c>
      <c r="M937" s="3" t="s">
        <v>5038</v>
      </c>
      <c r="N937" s="3" t="s">
        <v>266</v>
      </c>
      <c r="O937" s="3" t="s">
        <v>28</v>
      </c>
      <c r="P937" s="3" t="s">
        <v>151</v>
      </c>
      <c r="Q937" s="3" t="s">
        <v>152</v>
      </c>
      <c r="R937" s="3">
        <v>1</v>
      </c>
      <c r="S937" s="3">
        <v>45722.68</v>
      </c>
      <c r="T937" s="3">
        <v>5</v>
      </c>
      <c r="U937" s="3">
        <v>43436.55</v>
      </c>
      <c r="V937" s="3">
        <v>28312.97</v>
      </c>
      <c r="W937" s="3">
        <v>15123.58</v>
      </c>
      <c r="X937" s="3">
        <v>34.82</v>
      </c>
      <c r="Y937" s="3">
        <v>49</v>
      </c>
      <c r="Z937" s="3" t="s">
        <v>23</v>
      </c>
      <c r="AA937" s="3" t="s">
        <v>100</v>
      </c>
      <c r="AB937" s="3" t="s">
        <v>101</v>
      </c>
      <c r="AC937" s="3">
        <v>4</v>
      </c>
    </row>
    <row r="938" spans="1:29" x14ac:dyDescent="0.3">
      <c r="A938" s="2" t="s">
        <v>5039</v>
      </c>
      <c r="B938" s="2" t="s">
        <v>5040</v>
      </c>
      <c r="C938" s="2" t="s">
        <v>603</v>
      </c>
      <c r="D938" s="2" t="s">
        <v>5041</v>
      </c>
      <c r="E938" s="2" t="s">
        <v>26</v>
      </c>
      <c r="F938" s="2" t="s">
        <v>1146</v>
      </c>
      <c r="G938" s="2" t="s">
        <v>3069</v>
      </c>
      <c r="H938" s="2" t="s">
        <v>2786</v>
      </c>
      <c r="I938" s="2">
        <v>7</v>
      </c>
      <c r="J938" s="2" t="s">
        <v>29</v>
      </c>
      <c r="K938" s="2" t="s">
        <v>427</v>
      </c>
      <c r="L938" s="2" t="s">
        <v>1081</v>
      </c>
      <c r="M938" s="2" t="s">
        <v>4766</v>
      </c>
      <c r="N938" s="2" t="s">
        <v>1051</v>
      </c>
      <c r="O938" s="2" t="s">
        <v>28</v>
      </c>
      <c r="P938" s="2" t="s">
        <v>151</v>
      </c>
      <c r="Q938" s="2" t="s">
        <v>466</v>
      </c>
      <c r="R938" s="2">
        <v>2</v>
      </c>
      <c r="S938" s="2">
        <v>11574.85</v>
      </c>
      <c r="T938" s="2">
        <v>5</v>
      </c>
      <c r="U938" s="2">
        <v>21992.22</v>
      </c>
      <c r="V938" s="2">
        <v>11664.68</v>
      </c>
      <c r="W938" s="2">
        <v>10327.540000000001</v>
      </c>
      <c r="X938" s="2">
        <v>46.96</v>
      </c>
      <c r="Y938" s="2">
        <v>199</v>
      </c>
      <c r="Z938" s="2" t="s">
        <v>40</v>
      </c>
      <c r="AA938" s="2" t="s">
        <v>275</v>
      </c>
      <c r="AB938" s="2" t="s">
        <v>101</v>
      </c>
      <c r="AC938" s="2"/>
    </row>
    <row r="939" spans="1:29" x14ac:dyDescent="0.3">
      <c r="A939" s="3" t="s">
        <v>5042</v>
      </c>
      <c r="B939" s="3" t="s">
        <v>5043</v>
      </c>
      <c r="C939" s="3" t="s">
        <v>1630</v>
      </c>
      <c r="D939" s="3" t="s">
        <v>5044</v>
      </c>
      <c r="E939" s="3" t="s">
        <v>42</v>
      </c>
      <c r="F939" s="3" t="s">
        <v>1197</v>
      </c>
      <c r="G939" s="3" t="s">
        <v>2831</v>
      </c>
      <c r="H939" s="3" t="s">
        <v>637</v>
      </c>
      <c r="I939" s="3">
        <v>2</v>
      </c>
      <c r="J939" s="3" t="s">
        <v>29</v>
      </c>
      <c r="K939" s="3" t="s">
        <v>834</v>
      </c>
      <c r="L939" s="3" t="s">
        <v>835</v>
      </c>
      <c r="M939" s="3" t="s">
        <v>5045</v>
      </c>
      <c r="N939" s="3" t="s">
        <v>390</v>
      </c>
      <c r="O939" s="3" t="s">
        <v>19</v>
      </c>
      <c r="P939" s="3" t="s">
        <v>297</v>
      </c>
      <c r="Q939" s="3" t="s">
        <v>355</v>
      </c>
      <c r="R939" s="3">
        <v>1</v>
      </c>
      <c r="S939" s="3">
        <v>21860.21</v>
      </c>
      <c r="T939" s="3">
        <v>15</v>
      </c>
      <c r="U939" s="3">
        <v>18581.18</v>
      </c>
      <c r="V939" s="3">
        <v>9802.5400000000009</v>
      </c>
      <c r="W939" s="3">
        <v>8778.64</v>
      </c>
      <c r="X939" s="3">
        <v>47.24</v>
      </c>
      <c r="Y939" s="3">
        <v>0</v>
      </c>
      <c r="Z939" s="3" t="s">
        <v>48</v>
      </c>
      <c r="AA939" s="3" t="s">
        <v>275</v>
      </c>
      <c r="AB939" s="3" t="s">
        <v>101</v>
      </c>
      <c r="AC939" s="3"/>
    </row>
    <row r="940" spans="1:29" x14ac:dyDescent="0.3">
      <c r="A940" s="2" t="s">
        <v>5046</v>
      </c>
      <c r="B940" s="2" t="s">
        <v>5047</v>
      </c>
      <c r="C940" s="2" t="s">
        <v>1918</v>
      </c>
      <c r="D940" s="2" t="s">
        <v>5048</v>
      </c>
      <c r="E940" s="2" t="s">
        <v>42</v>
      </c>
      <c r="F940" s="2" t="s">
        <v>435</v>
      </c>
      <c r="G940" s="2" t="s">
        <v>436</v>
      </c>
      <c r="H940" s="2" t="s">
        <v>4241</v>
      </c>
      <c r="I940" s="2">
        <v>3</v>
      </c>
      <c r="J940" s="2" t="s">
        <v>14</v>
      </c>
      <c r="K940" s="2" t="s">
        <v>171</v>
      </c>
      <c r="L940" s="2" t="s">
        <v>172</v>
      </c>
      <c r="M940" s="2" t="s">
        <v>5049</v>
      </c>
      <c r="N940" s="2" t="s">
        <v>195</v>
      </c>
      <c r="O940" s="2" t="s">
        <v>21</v>
      </c>
      <c r="P940" s="2" t="s">
        <v>196</v>
      </c>
      <c r="Q940" s="2" t="s">
        <v>197</v>
      </c>
      <c r="R940" s="2">
        <v>3</v>
      </c>
      <c r="S940" s="2">
        <v>11030.81</v>
      </c>
      <c r="T940" s="2">
        <v>25</v>
      </c>
      <c r="U940" s="2">
        <v>24819.32</v>
      </c>
      <c r="V940" s="2">
        <v>13057.54</v>
      </c>
      <c r="W940" s="2">
        <v>11761.78</v>
      </c>
      <c r="X940" s="2">
        <v>47.39</v>
      </c>
      <c r="Y940" s="2">
        <v>0</v>
      </c>
      <c r="Z940" s="2" t="s">
        <v>30</v>
      </c>
      <c r="AA940" s="2" t="s">
        <v>672</v>
      </c>
      <c r="AB940" s="2" t="s">
        <v>101</v>
      </c>
      <c r="AC940" s="2"/>
    </row>
    <row r="941" spans="1:29" x14ac:dyDescent="0.3">
      <c r="A941" s="3" t="s">
        <v>5050</v>
      </c>
      <c r="B941" s="3" t="s">
        <v>5051</v>
      </c>
      <c r="C941" s="3" t="s">
        <v>1054</v>
      </c>
      <c r="D941" s="3" t="s">
        <v>5052</v>
      </c>
      <c r="E941" s="3" t="s">
        <v>42</v>
      </c>
      <c r="F941" s="3" t="s">
        <v>2433</v>
      </c>
      <c r="G941" s="3" t="s">
        <v>900</v>
      </c>
      <c r="H941" s="3" t="s">
        <v>1841</v>
      </c>
      <c r="I941" s="3">
        <v>2</v>
      </c>
      <c r="J941" s="3" t="s">
        <v>29</v>
      </c>
      <c r="K941" s="3" t="s">
        <v>427</v>
      </c>
      <c r="L941" s="3" t="s">
        <v>1871</v>
      </c>
      <c r="M941" s="3" t="s">
        <v>5053</v>
      </c>
      <c r="N941" s="3" t="s">
        <v>354</v>
      </c>
      <c r="O941" s="3" t="s">
        <v>21</v>
      </c>
      <c r="P941" s="3" t="s">
        <v>196</v>
      </c>
      <c r="Q941" s="3" t="s">
        <v>138</v>
      </c>
      <c r="R941" s="3">
        <v>1</v>
      </c>
      <c r="S941" s="3">
        <v>33335.42</v>
      </c>
      <c r="T941" s="3">
        <v>30</v>
      </c>
      <c r="U941" s="3">
        <v>23334.79</v>
      </c>
      <c r="V941" s="3">
        <v>15856.78</v>
      </c>
      <c r="W941" s="3">
        <v>7478.01</v>
      </c>
      <c r="X941" s="3">
        <v>32.049999999999997</v>
      </c>
      <c r="Y941" s="3">
        <v>49</v>
      </c>
      <c r="Z941" s="3" t="s">
        <v>15</v>
      </c>
      <c r="AA941" s="3" t="s">
        <v>100</v>
      </c>
      <c r="AB941" s="3" t="s">
        <v>101</v>
      </c>
      <c r="AC941" s="3">
        <v>2</v>
      </c>
    </row>
    <row r="942" spans="1:29" x14ac:dyDescent="0.3">
      <c r="A942" s="2" t="s">
        <v>5054</v>
      </c>
      <c r="B942" s="2" t="s">
        <v>4928</v>
      </c>
      <c r="C942" s="2" t="s">
        <v>1011</v>
      </c>
      <c r="D942" s="2" t="s">
        <v>5055</v>
      </c>
      <c r="E942" s="2" t="s">
        <v>42</v>
      </c>
      <c r="F942" s="2" t="s">
        <v>2093</v>
      </c>
      <c r="G942" s="2" t="s">
        <v>2074</v>
      </c>
      <c r="H942" s="2" t="s">
        <v>2973</v>
      </c>
      <c r="I942" s="2">
        <v>5</v>
      </c>
      <c r="J942" s="2" t="s">
        <v>29</v>
      </c>
      <c r="K942" s="2" t="s">
        <v>834</v>
      </c>
      <c r="L942" s="2" t="s">
        <v>835</v>
      </c>
      <c r="M942" s="2" t="s">
        <v>5056</v>
      </c>
      <c r="N942" s="2" t="s">
        <v>125</v>
      </c>
      <c r="O942" s="2" t="s">
        <v>21</v>
      </c>
      <c r="P942" s="2" t="s">
        <v>126</v>
      </c>
      <c r="Q942" s="2" t="s">
        <v>355</v>
      </c>
      <c r="R942" s="2">
        <v>5</v>
      </c>
      <c r="S942" s="2">
        <v>13835.82</v>
      </c>
      <c r="T942" s="2">
        <v>0</v>
      </c>
      <c r="U942" s="2">
        <v>69179.100000000006</v>
      </c>
      <c r="V942" s="2">
        <v>47821.75</v>
      </c>
      <c r="W942" s="2">
        <v>21357.35</v>
      </c>
      <c r="X942" s="2">
        <v>30.87</v>
      </c>
      <c r="Y942" s="2">
        <v>199</v>
      </c>
      <c r="Z942" s="2" t="s">
        <v>40</v>
      </c>
      <c r="AA942" s="2" t="s">
        <v>275</v>
      </c>
      <c r="AB942" s="2" t="s">
        <v>101</v>
      </c>
      <c r="AC942" s="2"/>
    </row>
    <row r="943" spans="1:29" x14ac:dyDescent="0.3">
      <c r="A943" s="3" t="s">
        <v>5057</v>
      </c>
      <c r="B943" s="3" t="s">
        <v>347</v>
      </c>
      <c r="C943" s="3" t="s">
        <v>221</v>
      </c>
      <c r="D943" s="3" t="s">
        <v>5058</v>
      </c>
      <c r="E943" s="3" t="s">
        <v>33</v>
      </c>
      <c r="F943" s="3" t="s">
        <v>168</v>
      </c>
      <c r="G943" s="3" t="s">
        <v>169</v>
      </c>
      <c r="H943" s="3" t="s">
        <v>1894</v>
      </c>
      <c r="I943" s="3">
        <v>6</v>
      </c>
      <c r="J943" s="3" t="s">
        <v>14</v>
      </c>
      <c r="K943" s="3" t="s">
        <v>183</v>
      </c>
      <c r="L943" s="3" t="s">
        <v>183</v>
      </c>
      <c r="M943" s="3" t="s">
        <v>4896</v>
      </c>
      <c r="N943" s="3" t="s">
        <v>266</v>
      </c>
      <c r="O943" s="3" t="s">
        <v>28</v>
      </c>
      <c r="P943" s="3" t="s">
        <v>151</v>
      </c>
      <c r="Q943" s="3" t="s">
        <v>127</v>
      </c>
      <c r="R943" s="3">
        <v>2</v>
      </c>
      <c r="S943" s="3">
        <v>44577.37</v>
      </c>
      <c r="T943" s="3">
        <v>0</v>
      </c>
      <c r="U943" s="3">
        <v>89154.74</v>
      </c>
      <c r="V943" s="3">
        <v>54350.71</v>
      </c>
      <c r="W943" s="3">
        <v>34804.03</v>
      </c>
      <c r="X943" s="3">
        <v>39.04</v>
      </c>
      <c r="Y943" s="3">
        <v>0</v>
      </c>
      <c r="Z943" s="3" t="s">
        <v>23</v>
      </c>
      <c r="AA943" s="3" t="s">
        <v>186</v>
      </c>
      <c r="AB943" s="3" t="s">
        <v>101</v>
      </c>
      <c r="AC943" s="3"/>
    </row>
    <row r="944" spans="1:29" x14ac:dyDescent="0.3">
      <c r="A944" s="2" t="s">
        <v>5059</v>
      </c>
      <c r="B944" s="2" t="s">
        <v>5060</v>
      </c>
      <c r="C944" s="2" t="s">
        <v>680</v>
      </c>
      <c r="D944" s="2" t="s">
        <v>5061</v>
      </c>
      <c r="E944" s="2" t="s">
        <v>26</v>
      </c>
      <c r="F944" s="2" t="s">
        <v>3399</v>
      </c>
      <c r="G944" s="2" t="s">
        <v>1300</v>
      </c>
      <c r="H944" s="2" t="s">
        <v>3973</v>
      </c>
      <c r="I944" s="2">
        <v>3</v>
      </c>
      <c r="J944" s="2" t="s">
        <v>29</v>
      </c>
      <c r="K944" s="2" t="s">
        <v>834</v>
      </c>
      <c r="L944" s="2" t="s">
        <v>901</v>
      </c>
      <c r="M944" s="2" t="s">
        <v>5062</v>
      </c>
      <c r="N944" s="2" t="s">
        <v>924</v>
      </c>
      <c r="O944" s="2" t="s">
        <v>13</v>
      </c>
      <c r="P944" s="2" t="s">
        <v>228</v>
      </c>
      <c r="Q944" s="2" t="s">
        <v>138</v>
      </c>
      <c r="R944" s="2">
        <v>3</v>
      </c>
      <c r="S944" s="2">
        <v>43928.62</v>
      </c>
      <c r="T944" s="2">
        <v>20</v>
      </c>
      <c r="U944" s="2">
        <v>105428.69</v>
      </c>
      <c r="V944" s="2">
        <v>50063.11</v>
      </c>
      <c r="W944" s="2">
        <v>55365.58</v>
      </c>
      <c r="X944" s="2">
        <v>52.51</v>
      </c>
      <c r="Y944" s="2">
        <v>99</v>
      </c>
      <c r="Z944" s="2" t="s">
        <v>48</v>
      </c>
      <c r="AA944" s="2" t="s">
        <v>100</v>
      </c>
      <c r="AB944" s="2" t="s">
        <v>101</v>
      </c>
      <c r="AC944" s="2">
        <v>4</v>
      </c>
    </row>
    <row r="945" spans="1:29" x14ac:dyDescent="0.3">
      <c r="A945" s="3" t="s">
        <v>5063</v>
      </c>
      <c r="B945" s="3" t="s">
        <v>5064</v>
      </c>
      <c r="C945" s="3" t="s">
        <v>1068</v>
      </c>
      <c r="D945" s="3" t="s">
        <v>5065</v>
      </c>
      <c r="E945" s="3" t="s">
        <v>26</v>
      </c>
      <c r="F945" s="3" t="s">
        <v>1585</v>
      </c>
      <c r="G945" s="3" t="s">
        <v>1586</v>
      </c>
      <c r="H945" s="3" t="s">
        <v>1058</v>
      </c>
      <c r="I945" s="3">
        <v>8</v>
      </c>
      <c r="J945" s="3" t="s">
        <v>22</v>
      </c>
      <c r="K945" s="3" t="s">
        <v>254</v>
      </c>
      <c r="L945" s="3" t="s">
        <v>254</v>
      </c>
      <c r="M945" s="3" t="s">
        <v>5066</v>
      </c>
      <c r="N945" s="3" t="s">
        <v>306</v>
      </c>
      <c r="O945" s="3" t="s">
        <v>21</v>
      </c>
      <c r="P945" s="3" t="s">
        <v>126</v>
      </c>
      <c r="Q945" s="3" t="s">
        <v>608</v>
      </c>
      <c r="R945" s="3">
        <v>1</v>
      </c>
      <c r="S945" s="3">
        <v>5044.8100000000004</v>
      </c>
      <c r="T945" s="3">
        <v>0</v>
      </c>
      <c r="U945" s="3">
        <v>5044.8100000000004</v>
      </c>
      <c r="V945" s="3">
        <v>2978.47</v>
      </c>
      <c r="W945" s="3">
        <v>2066.34</v>
      </c>
      <c r="X945" s="3">
        <v>40.96</v>
      </c>
      <c r="Y945" s="3">
        <v>199</v>
      </c>
      <c r="Z945" s="3" t="s">
        <v>30</v>
      </c>
      <c r="AA945" s="3" t="s">
        <v>275</v>
      </c>
      <c r="AB945" s="3" t="s">
        <v>101</v>
      </c>
      <c r="AC945" s="3"/>
    </row>
    <row r="946" spans="1:29" x14ac:dyDescent="0.3">
      <c r="A946" s="2" t="s">
        <v>5067</v>
      </c>
      <c r="B946" s="2" t="s">
        <v>5068</v>
      </c>
      <c r="C946" s="2" t="s">
        <v>1955</v>
      </c>
      <c r="D946" s="2" t="s">
        <v>5069</v>
      </c>
      <c r="E946" s="2" t="s">
        <v>26</v>
      </c>
      <c r="F946" s="2" t="s">
        <v>1330</v>
      </c>
      <c r="G946" s="2" t="s">
        <v>612</v>
      </c>
      <c r="H946" s="2" t="s">
        <v>2806</v>
      </c>
      <c r="I946" s="2">
        <v>8</v>
      </c>
      <c r="J946" s="2" t="s">
        <v>14</v>
      </c>
      <c r="K946" s="2" t="s">
        <v>95</v>
      </c>
      <c r="L946" s="2" t="s">
        <v>95</v>
      </c>
      <c r="M946" s="2" t="s">
        <v>5070</v>
      </c>
      <c r="N946" s="2" t="s">
        <v>1051</v>
      </c>
      <c r="O946" s="2" t="s">
        <v>28</v>
      </c>
      <c r="P946" s="2" t="s">
        <v>151</v>
      </c>
      <c r="Q946" s="2" t="s">
        <v>138</v>
      </c>
      <c r="R946" s="2">
        <v>1</v>
      </c>
      <c r="S946" s="2">
        <v>24740.95</v>
      </c>
      <c r="T946" s="2">
        <v>10</v>
      </c>
      <c r="U946" s="2">
        <v>22266.85</v>
      </c>
      <c r="V946" s="2">
        <v>10750.84</v>
      </c>
      <c r="W946" s="2">
        <v>11516.01</v>
      </c>
      <c r="X946" s="2">
        <v>51.72</v>
      </c>
      <c r="Y946" s="2">
        <v>149</v>
      </c>
      <c r="Z946" s="2" t="s">
        <v>15</v>
      </c>
      <c r="AA946" s="2" t="s">
        <v>100</v>
      </c>
      <c r="AB946" s="2" t="s">
        <v>101</v>
      </c>
      <c r="AC946" s="2">
        <v>5</v>
      </c>
    </row>
    <row r="947" spans="1:29" x14ac:dyDescent="0.3">
      <c r="A947" s="3" t="s">
        <v>5071</v>
      </c>
      <c r="B947" s="3" t="s">
        <v>5072</v>
      </c>
      <c r="C947" s="3" t="s">
        <v>1233</v>
      </c>
      <c r="D947" s="3" t="s">
        <v>5073</v>
      </c>
      <c r="E947" s="3" t="s">
        <v>33</v>
      </c>
      <c r="F947" s="3" t="s">
        <v>1211</v>
      </c>
      <c r="G947" s="3" t="s">
        <v>2106</v>
      </c>
      <c r="H947" s="3" t="s">
        <v>131</v>
      </c>
      <c r="I947" s="3">
        <v>4</v>
      </c>
      <c r="J947" s="3" t="s">
        <v>29</v>
      </c>
      <c r="K947" s="3" t="s">
        <v>160</v>
      </c>
      <c r="L947" s="3" t="s">
        <v>976</v>
      </c>
      <c r="M947" s="3" t="s">
        <v>5074</v>
      </c>
      <c r="N947" s="3" t="s">
        <v>1535</v>
      </c>
      <c r="O947" s="3" t="s">
        <v>13</v>
      </c>
      <c r="P947" s="3" t="s">
        <v>98</v>
      </c>
      <c r="Q947" s="3" t="s">
        <v>207</v>
      </c>
      <c r="R947" s="3">
        <v>2</v>
      </c>
      <c r="S947" s="3">
        <v>17215.71</v>
      </c>
      <c r="T947" s="3">
        <v>25</v>
      </c>
      <c r="U947" s="3">
        <v>25823.56</v>
      </c>
      <c r="V947" s="3">
        <v>11911.84</v>
      </c>
      <c r="W947" s="3">
        <v>13911.72</v>
      </c>
      <c r="X947" s="3">
        <v>53.87</v>
      </c>
      <c r="Y947" s="3">
        <v>29</v>
      </c>
      <c r="Z947" s="3" t="s">
        <v>23</v>
      </c>
      <c r="AA947" s="3" t="s">
        <v>100</v>
      </c>
      <c r="AB947" s="3" t="s">
        <v>101</v>
      </c>
      <c r="AC947" s="3">
        <v>2</v>
      </c>
    </row>
    <row r="948" spans="1:29" x14ac:dyDescent="0.3">
      <c r="A948" s="2" t="s">
        <v>5075</v>
      </c>
      <c r="B948" s="2" t="s">
        <v>5076</v>
      </c>
      <c r="C948" s="2" t="s">
        <v>695</v>
      </c>
      <c r="D948" s="2" t="s">
        <v>5077</v>
      </c>
      <c r="E948" s="2" t="s">
        <v>26</v>
      </c>
      <c r="F948" s="2" t="s">
        <v>3940</v>
      </c>
      <c r="G948" s="2" t="s">
        <v>3957</v>
      </c>
      <c r="H948" s="2" t="s">
        <v>3886</v>
      </c>
      <c r="I948" s="2">
        <v>7</v>
      </c>
      <c r="J948" s="2" t="s">
        <v>29</v>
      </c>
      <c r="K948" s="2" t="s">
        <v>834</v>
      </c>
      <c r="L948" s="2" t="s">
        <v>1000</v>
      </c>
      <c r="M948" s="2" t="s">
        <v>5078</v>
      </c>
      <c r="N948" s="2" t="s">
        <v>1380</v>
      </c>
      <c r="O948" s="2" t="s">
        <v>28</v>
      </c>
      <c r="P948" s="2" t="s">
        <v>137</v>
      </c>
      <c r="Q948" s="2" t="s">
        <v>355</v>
      </c>
      <c r="R948" s="2">
        <v>4</v>
      </c>
      <c r="S948" s="2">
        <v>15574.06</v>
      </c>
      <c r="T948" s="2">
        <v>0</v>
      </c>
      <c r="U948" s="2">
        <v>62296.24</v>
      </c>
      <c r="V948" s="2">
        <v>37937.870000000003</v>
      </c>
      <c r="W948" s="2">
        <v>24358.37</v>
      </c>
      <c r="X948" s="2">
        <v>39.1</v>
      </c>
      <c r="Y948" s="2">
        <v>149</v>
      </c>
      <c r="Z948" s="2" t="s">
        <v>43</v>
      </c>
      <c r="AA948" s="2" t="s">
        <v>100</v>
      </c>
      <c r="AB948" s="2" t="s">
        <v>101</v>
      </c>
      <c r="AC948" s="2">
        <v>2</v>
      </c>
    </row>
    <row r="949" spans="1:29" x14ac:dyDescent="0.3">
      <c r="A949" s="3" t="s">
        <v>5079</v>
      </c>
      <c r="B949" s="3" t="s">
        <v>5080</v>
      </c>
      <c r="C949" s="3" t="s">
        <v>2124</v>
      </c>
      <c r="D949" s="3" t="s">
        <v>5081</v>
      </c>
      <c r="E949" s="3" t="s">
        <v>33</v>
      </c>
      <c r="F949" s="3" t="s">
        <v>1609</v>
      </c>
      <c r="G949" s="3" t="s">
        <v>5082</v>
      </c>
      <c r="H949" s="3" t="s">
        <v>719</v>
      </c>
      <c r="I949" s="3">
        <v>8</v>
      </c>
      <c r="J949" s="3" t="s">
        <v>39</v>
      </c>
      <c r="K949" s="3" t="s">
        <v>193</v>
      </c>
      <c r="L949" s="3" t="s">
        <v>193</v>
      </c>
      <c r="M949" s="3" t="s">
        <v>5083</v>
      </c>
      <c r="N949" s="3" t="s">
        <v>136</v>
      </c>
      <c r="O949" s="3" t="s">
        <v>28</v>
      </c>
      <c r="P949" s="3" t="s">
        <v>137</v>
      </c>
      <c r="Q949" s="3" t="s">
        <v>197</v>
      </c>
      <c r="R949" s="3">
        <v>3</v>
      </c>
      <c r="S949" s="3">
        <v>41443.269999999997</v>
      </c>
      <c r="T949" s="3">
        <v>30</v>
      </c>
      <c r="U949" s="3">
        <v>87030.87</v>
      </c>
      <c r="V949" s="3">
        <v>60379.5</v>
      </c>
      <c r="W949" s="3">
        <v>26651.37</v>
      </c>
      <c r="X949" s="3">
        <v>30.62</v>
      </c>
      <c r="Y949" s="3">
        <v>49</v>
      </c>
      <c r="Z949" s="3" t="s">
        <v>30</v>
      </c>
      <c r="AA949" s="3" t="s">
        <v>100</v>
      </c>
      <c r="AB949" s="3" t="s">
        <v>101</v>
      </c>
      <c r="AC949" s="3"/>
    </row>
    <row r="950" spans="1:29" x14ac:dyDescent="0.3">
      <c r="A950" s="2" t="s">
        <v>5084</v>
      </c>
      <c r="B950" s="2" t="s">
        <v>5085</v>
      </c>
      <c r="C950" s="2" t="s">
        <v>1286</v>
      </c>
      <c r="D950" s="2" t="s">
        <v>5086</v>
      </c>
      <c r="E950" s="2" t="s">
        <v>18</v>
      </c>
      <c r="F950" s="2" t="s">
        <v>989</v>
      </c>
      <c r="G950" s="2" t="s">
        <v>990</v>
      </c>
      <c r="H950" s="2" t="s">
        <v>1087</v>
      </c>
      <c r="I950" s="2">
        <v>7</v>
      </c>
      <c r="J950" s="2" t="s">
        <v>22</v>
      </c>
      <c r="K950" s="2" t="s">
        <v>738</v>
      </c>
      <c r="L950" s="2" t="s">
        <v>738</v>
      </c>
      <c r="M950" s="2" t="s">
        <v>5087</v>
      </c>
      <c r="N950" s="2" t="s">
        <v>889</v>
      </c>
      <c r="O950" s="2" t="s">
        <v>27</v>
      </c>
      <c r="P950" s="2" t="s">
        <v>257</v>
      </c>
      <c r="Q950" s="2" t="s">
        <v>287</v>
      </c>
      <c r="R950" s="2">
        <v>3</v>
      </c>
      <c r="S950" s="2">
        <v>11063.48</v>
      </c>
      <c r="T950" s="2">
        <v>25</v>
      </c>
      <c r="U950" s="2">
        <v>24892.83</v>
      </c>
      <c r="V950" s="2">
        <v>14266.56</v>
      </c>
      <c r="W950" s="2">
        <v>10626.27</v>
      </c>
      <c r="X950" s="2">
        <v>42.69</v>
      </c>
      <c r="Y950" s="2">
        <v>29</v>
      </c>
      <c r="Z950" s="2" t="s">
        <v>43</v>
      </c>
      <c r="AA950" s="2" t="s">
        <v>275</v>
      </c>
      <c r="AB950" s="2" t="s">
        <v>101</v>
      </c>
      <c r="AC950" s="2"/>
    </row>
    <row r="951" spans="1:29" x14ac:dyDescent="0.3">
      <c r="A951" s="3" t="s">
        <v>5088</v>
      </c>
      <c r="B951" s="3" t="s">
        <v>5089</v>
      </c>
      <c r="C951" s="3" t="s">
        <v>2286</v>
      </c>
      <c r="D951" s="3" t="s">
        <v>5090</v>
      </c>
      <c r="E951" s="3" t="s">
        <v>33</v>
      </c>
      <c r="F951" s="3" t="s">
        <v>2069</v>
      </c>
      <c r="G951" s="3" t="s">
        <v>719</v>
      </c>
      <c r="H951" s="3" t="s">
        <v>1507</v>
      </c>
      <c r="I951" s="3">
        <v>8</v>
      </c>
      <c r="J951" s="3" t="s">
        <v>22</v>
      </c>
      <c r="K951" s="3" t="s">
        <v>443</v>
      </c>
      <c r="L951" s="3" t="s">
        <v>498</v>
      </c>
      <c r="M951" s="3" t="s">
        <v>5091</v>
      </c>
      <c r="N951" s="3" t="s">
        <v>205</v>
      </c>
      <c r="O951" s="3" t="s">
        <v>21</v>
      </c>
      <c r="P951" s="3" t="s">
        <v>206</v>
      </c>
      <c r="Q951" s="3" t="s">
        <v>608</v>
      </c>
      <c r="R951" s="3">
        <v>3</v>
      </c>
      <c r="S951" s="3">
        <v>672.54</v>
      </c>
      <c r="T951" s="3">
        <v>10</v>
      </c>
      <c r="U951" s="3">
        <v>1815.86</v>
      </c>
      <c r="V951" s="3">
        <v>986.79</v>
      </c>
      <c r="W951" s="3">
        <v>829.07</v>
      </c>
      <c r="X951" s="3">
        <v>45.66</v>
      </c>
      <c r="Y951" s="3">
        <v>149</v>
      </c>
      <c r="Z951" s="3" t="s">
        <v>48</v>
      </c>
      <c r="AA951" s="3" t="s">
        <v>100</v>
      </c>
      <c r="AB951" s="3" t="s">
        <v>101</v>
      </c>
      <c r="AC951" s="3">
        <v>2</v>
      </c>
    </row>
    <row r="952" spans="1:29" x14ac:dyDescent="0.3">
      <c r="A952" s="2" t="s">
        <v>5092</v>
      </c>
      <c r="B952" s="2" t="s">
        <v>5093</v>
      </c>
      <c r="C952" s="2" t="s">
        <v>1159</v>
      </c>
      <c r="D952" s="2" t="s">
        <v>5094</v>
      </c>
      <c r="E952" s="2" t="s">
        <v>18</v>
      </c>
      <c r="F952" s="2" t="s">
        <v>3503</v>
      </c>
      <c r="G952" s="2" t="s">
        <v>2707</v>
      </c>
      <c r="H952" s="2" t="s">
        <v>3047</v>
      </c>
      <c r="I952" s="2">
        <v>7</v>
      </c>
      <c r="J952" s="2" t="s">
        <v>14</v>
      </c>
      <c r="K952" s="2" t="s">
        <v>95</v>
      </c>
      <c r="L952" s="2" t="s">
        <v>95</v>
      </c>
      <c r="M952" s="2" t="s">
        <v>2548</v>
      </c>
      <c r="N952" s="2" t="s">
        <v>97</v>
      </c>
      <c r="O952" s="2" t="s">
        <v>13</v>
      </c>
      <c r="P952" s="2" t="s">
        <v>98</v>
      </c>
      <c r="Q952" s="2" t="s">
        <v>197</v>
      </c>
      <c r="R952" s="2">
        <v>3</v>
      </c>
      <c r="S952" s="2">
        <v>1101.6300000000001</v>
      </c>
      <c r="T952" s="2">
        <v>20</v>
      </c>
      <c r="U952" s="2">
        <v>2643.91</v>
      </c>
      <c r="V952" s="2">
        <v>1287.47</v>
      </c>
      <c r="W952" s="2">
        <v>1356.44</v>
      </c>
      <c r="X952" s="2">
        <v>51.3</v>
      </c>
      <c r="Y952" s="2">
        <v>29</v>
      </c>
      <c r="Z952" s="2" t="s">
        <v>30</v>
      </c>
      <c r="AA952" s="2" t="s">
        <v>100</v>
      </c>
      <c r="AB952" s="2" t="s">
        <v>101</v>
      </c>
      <c r="AC952" s="2">
        <v>1</v>
      </c>
    </row>
    <row r="953" spans="1:29" x14ac:dyDescent="0.3">
      <c r="A953" s="3" t="s">
        <v>5095</v>
      </c>
      <c r="B953" s="3" t="s">
        <v>1418</v>
      </c>
      <c r="C953" s="3" t="s">
        <v>1730</v>
      </c>
      <c r="D953" s="3" t="s">
        <v>5096</v>
      </c>
      <c r="E953" s="3" t="s">
        <v>26</v>
      </c>
      <c r="F953" s="3" t="s">
        <v>1033</v>
      </c>
      <c r="G953" s="3" t="s">
        <v>818</v>
      </c>
      <c r="H953" s="3" t="s">
        <v>928</v>
      </c>
      <c r="I953" s="3">
        <v>8</v>
      </c>
      <c r="J953" s="3" t="s">
        <v>22</v>
      </c>
      <c r="K953" s="3" t="s">
        <v>254</v>
      </c>
      <c r="L953" s="3" t="s">
        <v>254</v>
      </c>
      <c r="M953" s="3" t="s">
        <v>5097</v>
      </c>
      <c r="N953" s="3" t="s">
        <v>508</v>
      </c>
      <c r="O953" s="3" t="s">
        <v>19</v>
      </c>
      <c r="P953" s="3" t="s">
        <v>365</v>
      </c>
      <c r="Q953" s="3" t="s">
        <v>287</v>
      </c>
      <c r="R953" s="3">
        <v>4</v>
      </c>
      <c r="S953" s="3">
        <v>11201.85</v>
      </c>
      <c r="T953" s="3">
        <v>10</v>
      </c>
      <c r="U953" s="3">
        <v>40326.660000000003</v>
      </c>
      <c r="V953" s="3">
        <v>21113.200000000001</v>
      </c>
      <c r="W953" s="3">
        <v>19213.46</v>
      </c>
      <c r="X953" s="3">
        <v>47.64</v>
      </c>
      <c r="Y953" s="3">
        <v>149</v>
      </c>
      <c r="Z953" s="3" t="s">
        <v>15</v>
      </c>
      <c r="AA953" s="3" t="s">
        <v>100</v>
      </c>
      <c r="AB953" s="3" t="s">
        <v>101</v>
      </c>
      <c r="AC953" s="3">
        <v>1</v>
      </c>
    </row>
    <row r="954" spans="1:29" x14ac:dyDescent="0.3">
      <c r="A954" s="2" t="s">
        <v>5098</v>
      </c>
      <c r="B954" s="2" t="s">
        <v>5099</v>
      </c>
      <c r="C954" s="2" t="s">
        <v>1433</v>
      </c>
      <c r="D954" s="2" t="s">
        <v>5100</v>
      </c>
      <c r="E954" s="2" t="s">
        <v>18</v>
      </c>
      <c r="F954" s="2" t="s">
        <v>660</v>
      </c>
      <c r="G954" s="2" t="s">
        <v>4723</v>
      </c>
      <c r="H954" s="2" t="s">
        <v>3041</v>
      </c>
      <c r="I954" s="2">
        <v>3</v>
      </c>
      <c r="J954" s="2" t="s">
        <v>29</v>
      </c>
      <c r="K954" s="2" t="s">
        <v>427</v>
      </c>
      <c r="L954" s="2" t="s">
        <v>1871</v>
      </c>
      <c r="M954" s="2" t="s">
        <v>5101</v>
      </c>
      <c r="N954" s="2" t="s">
        <v>112</v>
      </c>
      <c r="O954" s="2" t="s">
        <v>27</v>
      </c>
      <c r="P954" s="2" t="s">
        <v>113</v>
      </c>
      <c r="Q954" s="2" t="s">
        <v>114</v>
      </c>
      <c r="R954" s="2">
        <v>3</v>
      </c>
      <c r="S954" s="2">
        <v>11991.34</v>
      </c>
      <c r="T954" s="2">
        <v>5</v>
      </c>
      <c r="U954" s="2">
        <v>34175.32</v>
      </c>
      <c r="V954" s="2">
        <v>19453.57</v>
      </c>
      <c r="W954" s="2">
        <v>14721.75</v>
      </c>
      <c r="X954" s="2">
        <v>43.08</v>
      </c>
      <c r="Y954" s="2">
        <v>199</v>
      </c>
      <c r="Z954" s="2" t="s">
        <v>23</v>
      </c>
      <c r="AA954" s="2" t="s">
        <v>100</v>
      </c>
      <c r="AB954" s="2" t="s">
        <v>101</v>
      </c>
      <c r="AC954" s="2">
        <v>1</v>
      </c>
    </row>
    <row r="955" spans="1:29" x14ac:dyDescent="0.3">
      <c r="A955" s="3" t="s">
        <v>5102</v>
      </c>
      <c r="B955" s="3" t="s">
        <v>5103</v>
      </c>
      <c r="C955" s="3" t="s">
        <v>1792</v>
      </c>
      <c r="D955" s="3" t="s">
        <v>5104</v>
      </c>
      <c r="E955" s="3" t="s">
        <v>33</v>
      </c>
      <c r="F955" s="3" t="s">
        <v>1546</v>
      </c>
      <c r="G955" s="3" t="s">
        <v>842</v>
      </c>
      <c r="H955" s="3" t="s">
        <v>5105</v>
      </c>
      <c r="I955" s="3">
        <v>3</v>
      </c>
      <c r="J955" s="3" t="s">
        <v>29</v>
      </c>
      <c r="K955" s="3" t="s">
        <v>334</v>
      </c>
      <c r="L955" s="3" t="s">
        <v>1073</v>
      </c>
      <c r="M955" s="3" t="s">
        <v>5106</v>
      </c>
      <c r="N955" s="3" t="s">
        <v>1802</v>
      </c>
      <c r="O955" s="3" t="s">
        <v>28</v>
      </c>
      <c r="P955" s="3" t="s">
        <v>137</v>
      </c>
      <c r="Q955" s="3" t="s">
        <v>197</v>
      </c>
      <c r="R955" s="3">
        <v>3</v>
      </c>
      <c r="S955" s="3">
        <v>36052.76</v>
      </c>
      <c r="T955" s="3">
        <v>25</v>
      </c>
      <c r="U955" s="3">
        <v>81118.710000000006</v>
      </c>
      <c r="V955" s="3">
        <v>36987.410000000003</v>
      </c>
      <c r="W955" s="3">
        <v>44131.3</v>
      </c>
      <c r="X955" s="3">
        <v>54.4</v>
      </c>
      <c r="Y955" s="3">
        <v>49</v>
      </c>
      <c r="Z955" s="3" t="s">
        <v>15</v>
      </c>
      <c r="AA955" s="3" t="s">
        <v>100</v>
      </c>
      <c r="AB955" s="3" t="s">
        <v>101</v>
      </c>
      <c r="AC955" s="3">
        <v>1</v>
      </c>
    </row>
    <row r="956" spans="1:29" x14ac:dyDescent="0.3">
      <c r="A956" s="2" t="s">
        <v>5107</v>
      </c>
      <c r="B956" s="2" t="s">
        <v>5108</v>
      </c>
      <c r="C956" s="2" t="s">
        <v>1077</v>
      </c>
      <c r="D956" s="2" t="s">
        <v>5109</v>
      </c>
      <c r="E956" s="2" t="s">
        <v>26</v>
      </c>
      <c r="F956" s="2" t="s">
        <v>3423</v>
      </c>
      <c r="G956" s="2" t="s">
        <v>2944</v>
      </c>
      <c r="H956" s="2" t="s">
        <v>2564</v>
      </c>
      <c r="I956" s="2">
        <v>4</v>
      </c>
      <c r="J956" s="2" t="s">
        <v>22</v>
      </c>
      <c r="K956" s="2" t="s">
        <v>122</v>
      </c>
      <c r="L956" s="2" t="s">
        <v>812</v>
      </c>
      <c r="M956" s="2" t="s">
        <v>599</v>
      </c>
      <c r="N956" s="2" t="s">
        <v>964</v>
      </c>
      <c r="O956" s="2" t="s">
        <v>13</v>
      </c>
      <c r="P956" s="2" t="s">
        <v>98</v>
      </c>
      <c r="Q956" s="2" t="s">
        <v>152</v>
      </c>
      <c r="R956" s="2">
        <v>1</v>
      </c>
      <c r="S956" s="2">
        <v>26730.720000000001</v>
      </c>
      <c r="T956" s="2">
        <v>25</v>
      </c>
      <c r="U956" s="2">
        <v>20048.04</v>
      </c>
      <c r="V956" s="2">
        <v>12916.16</v>
      </c>
      <c r="W956" s="2">
        <v>7131.88</v>
      </c>
      <c r="X956" s="2">
        <v>35.57</v>
      </c>
      <c r="Y956" s="2">
        <v>0</v>
      </c>
      <c r="Z956" s="2" t="s">
        <v>30</v>
      </c>
      <c r="AA956" s="2" t="s">
        <v>186</v>
      </c>
      <c r="AB956" s="2" t="s">
        <v>101</v>
      </c>
      <c r="AC956" s="2"/>
    </row>
    <row r="957" spans="1:29" x14ac:dyDescent="0.3">
      <c r="A957" s="3" t="s">
        <v>5110</v>
      </c>
      <c r="B957" s="3" t="s">
        <v>5111</v>
      </c>
      <c r="C957" s="3" t="s">
        <v>2882</v>
      </c>
      <c r="D957" s="3" t="s">
        <v>5112</v>
      </c>
      <c r="E957" s="3" t="s">
        <v>42</v>
      </c>
      <c r="F957" s="3" t="s">
        <v>1242</v>
      </c>
      <c r="G957" s="3" t="s">
        <v>580</v>
      </c>
      <c r="H957" s="3" t="s">
        <v>1726</v>
      </c>
      <c r="I957" s="3">
        <v>4</v>
      </c>
      <c r="J957" s="3" t="s">
        <v>14</v>
      </c>
      <c r="K957" s="3" t="s">
        <v>712</v>
      </c>
      <c r="L957" s="3" t="s">
        <v>712</v>
      </c>
      <c r="M957" s="3" t="s">
        <v>5113</v>
      </c>
      <c r="N957" s="3" t="s">
        <v>508</v>
      </c>
      <c r="O957" s="3" t="s">
        <v>19</v>
      </c>
      <c r="P957" s="3" t="s">
        <v>365</v>
      </c>
      <c r="Q957" s="3" t="s">
        <v>509</v>
      </c>
      <c r="R957" s="3">
        <v>3</v>
      </c>
      <c r="S957" s="3">
        <v>16137.69</v>
      </c>
      <c r="T957" s="3">
        <v>30</v>
      </c>
      <c r="U957" s="3">
        <v>33889.15</v>
      </c>
      <c r="V957" s="3">
        <v>22213.360000000001</v>
      </c>
      <c r="W957" s="3">
        <v>11675.79</v>
      </c>
      <c r="X957" s="3">
        <v>34.450000000000003</v>
      </c>
      <c r="Y957" s="3">
        <v>199</v>
      </c>
      <c r="Z957" s="3" t="s">
        <v>48</v>
      </c>
      <c r="AA957" s="3" t="s">
        <v>100</v>
      </c>
      <c r="AB957" s="3" t="s">
        <v>101</v>
      </c>
      <c r="AC957" s="3">
        <v>5</v>
      </c>
    </row>
    <row r="958" spans="1:29" x14ac:dyDescent="0.3">
      <c r="A958" s="2" t="s">
        <v>5114</v>
      </c>
      <c r="B958" s="2" t="s">
        <v>5115</v>
      </c>
      <c r="C958" s="2" t="s">
        <v>231</v>
      </c>
      <c r="D958" s="2" t="s">
        <v>5116</v>
      </c>
      <c r="E958" s="2" t="s">
        <v>26</v>
      </c>
      <c r="F958" s="2" t="s">
        <v>4191</v>
      </c>
      <c r="G958" s="2" t="s">
        <v>4966</v>
      </c>
      <c r="H958" s="2" t="s">
        <v>4192</v>
      </c>
      <c r="I958" s="2">
        <v>4</v>
      </c>
      <c r="J958" s="2" t="s">
        <v>22</v>
      </c>
      <c r="K958" s="2" t="s">
        <v>254</v>
      </c>
      <c r="L958" s="2" t="s">
        <v>254</v>
      </c>
      <c r="M958" s="2" t="s">
        <v>5117</v>
      </c>
      <c r="N958" s="2" t="s">
        <v>1380</v>
      </c>
      <c r="O958" s="2" t="s">
        <v>28</v>
      </c>
      <c r="P958" s="2" t="s">
        <v>137</v>
      </c>
      <c r="Q958" s="2" t="s">
        <v>355</v>
      </c>
      <c r="R958" s="2">
        <v>2</v>
      </c>
      <c r="S958" s="2">
        <v>30970.400000000001</v>
      </c>
      <c r="T958" s="2">
        <v>15</v>
      </c>
      <c r="U958" s="2">
        <v>52649.68</v>
      </c>
      <c r="V958" s="2">
        <v>29142.66</v>
      </c>
      <c r="W958" s="2">
        <v>23507.02</v>
      </c>
      <c r="X958" s="2">
        <v>44.65</v>
      </c>
      <c r="Y958" s="2">
        <v>29</v>
      </c>
      <c r="Z958" s="2" t="s">
        <v>47</v>
      </c>
      <c r="AA958" s="2" t="s">
        <v>186</v>
      </c>
      <c r="AB958" s="2" t="s">
        <v>101</v>
      </c>
      <c r="AC958" s="2"/>
    </row>
    <row r="959" spans="1:29" x14ac:dyDescent="0.3">
      <c r="A959" s="3" t="s">
        <v>5118</v>
      </c>
      <c r="B959" s="3" t="s">
        <v>5119</v>
      </c>
      <c r="C959" s="3" t="s">
        <v>571</v>
      </c>
      <c r="D959" s="3" t="s">
        <v>5120</v>
      </c>
      <c r="E959" s="3" t="s">
        <v>26</v>
      </c>
      <c r="F959" s="3" t="s">
        <v>1435</v>
      </c>
      <c r="G959" s="3" t="s">
        <v>3383</v>
      </c>
      <c r="H959" s="3" t="s">
        <v>1719</v>
      </c>
      <c r="I959" s="3">
        <v>5</v>
      </c>
      <c r="J959" s="3" t="s">
        <v>14</v>
      </c>
      <c r="K959" s="3" t="s">
        <v>183</v>
      </c>
      <c r="L959" s="3" t="s">
        <v>183</v>
      </c>
      <c r="M959" s="3" t="s">
        <v>5121</v>
      </c>
      <c r="N959" s="3" t="s">
        <v>3017</v>
      </c>
      <c r="O959" s="3" t="s">
        <v>13</v>
      </c>
      <c r="P959" s="3" t="s">
        <v>419</v>
      </c>
      <c r="Q959" s="3" t="s">
        <v>197</v>
      </c>
      <c r="R959" s="3">
        <v>5</v>
      </c>
      <c r="S959" s="3">
        <v>32539.01</v>
      </c>
      <c r="T959" s="3">
        <v>20</v>
      </c>
      <c r="U959" s="3">
        <v>130156.04</v>
      </c>
      <c r="V959" s="3">
        <v>63456.31</v>
      </c>
      <c r="W959" s="3">
        <v>66699.73</v>
      </c>
      <c r="X959" s="3">
        <v>51.25</v>
      </c>
      <c r="Y959" s="3">
        <v>49</v>
      </c>
      <c r="Z959" s="3" t="s">
        <v>40</v>
      </c>
      <c r="AA959" s="3" t="s">
        <v>275</v>
      </c>
      <c r="AB959" s="3" t="s">
        <v>101</v>
      </c>
      <c r="AC959" s="3"/>
    </row>
    <row r="960" spans="1:29" x14ac:dyDescent="0.3">
      <c r="A960" s="2" t="s">
        <v>5122</v>
      </c>
      <c r="B960" s="2" t="s">
        <v>5123</v>
      </c>
      <c r="C960" s="2" t="s">
        <v>1989</v>
      </c>
      <c r="D960" s="2" t="s">
        <v>5124</v>
      </c>
      <c r="E960" s="2" t="s">
        <v>26</v>
      </c>
      <c r="F960" s="2" t="s">
        <v>3378</v>
      </c>
      <c r="G960" s="2" t="s">
        <v>2740</v>
      </c>
      <c r="H960" s="2" t="s">
        <v>2320</v>
      </c>
      <c r="I960" s="2">
        <v>3</v>
      </c>
      <c r="J960" s="2" t="s">
        <v>29</v>
      </c>
      <c r="K960" s="2" t="s">
        <v>160</v>
      </c>
      <c r="L960" s="2" t="s">
        <v>161</v>
      </c>
      <c r="M960" s="2" t="s">
        <v>2087</v>
      </c>
      <c r="N960" s="2" t="s">
        <v>390</v>
      </c>
      <c r="O960" s="2" t="s">
        <v>19</v>
      </c>
      <c r="P960" s="2" t="s">
        <v>297</v>
      </c>
      <c r="Q960" s="2" t="s">
        <v>246</v>
      </c>
      <c r="R960" s="2">
        <v>2</v>
      </c>
      <c r="S960" s="2">
        <v>2699.19</v>
      </c>
      <c r="T960" s="2">
        <v>0</v>
      </c>
      <c r="U960" s="2">
        <v>5398.38</v>
      </c>
      <c r="V960" s="2">
        <v>3304.97</v>
      </c>
      <c r="W960" s="2">
        <v>2093.41</v>
      </c>
      <c r="X960" s="2">
        <v>38.78</v>
      </c>
      <c r="Y960" s="2">
        <v>0</v>
      </c>
      <c r="Z960" s="2" t="s">
        <v>48</v>
      </c>
      <c r="AA960" s="2" t="s">
        <v>672</v>
      </c>
      <c r="AB960" s="2" t="s">
        <v>101</v>
      </c>
      <c r="AC960" s="2"/>
    </row>
    <row r="961" spans="1:29" x14ac:dyDescent="0.3">
      <c r="A961" s="3" t="s">
        <v>5125</v>
      </c>
      <c r="B961" s="3" t="s">
        <v>5126</v>
      </c>
      <c r="C961" s="3" t="s">
        <v>995</v>
      </c>
      <c r="D961" s="3" t="s">
        <v>5127</v>
      </c>
      <c r="E961" s="3" t="s">
        <v>18</v>
      </c>
      <c r="F961" s="3" t="s">
        <v>1041</v>
      </c>
      <c r="G961" s="3" t="s">
        <v>2023</v>
      </c>
      <c r="H961" s="3" t="s">
        <v>213</v>
      </c>
      <c r="I961" s="3">
        <v>4</v>
      </c>
      <c r="J961" s="3" t="s">
        <v>29</v>
      </c>
      <c r="K961" s="3" t="s">
        <v>160</v>
      </c>
      <c r="L961" s="3" t="s">
        <v>559</v>
      </c>
      <c r="M961" s="3" t="s">
        <v>5128</v>
      </c>
      <c r="N961" s="3" t="s">
        <v>418</v>
      </c>
      <c r="O961" s="3" t="s">
        <v>13</v>
      </c>
      <c r="P961" s="3" t="s">
        <v>419</v>
      </c>
      <c r="Q961" s="3" t="s">
        <v>152</v>
      </c>
      <c r="R961" s="3">
        <v>3</v>
      </c>
      <c r="S961" s="3">
        <v>34165.019999999997</v>
      </c>
      <c r="T961" s="3">
        <v>20</v>
      </c>
      <c r="U961" s="3">
        <v>81996.05</v>
      </c>
      <c r="V961" s="3">
        <v>40999.81</v>
      </c>
      <c r="W961" s="3">
        <v>40996.239999999998</v>
      </c>
      <c r="X961" s="3">
        <v>50</v>
      </c>
      <c r="Y961" s="3">
        <v>99</v>
      </c>
      <c r="Z961" s="3" t="s">
        <v>40</v>
      </c>
      <c r="AA961" s="3" t="s">
        <v>275</v>
      </c>
      <c r="AB961" s="3" t="s">
        <v>101</v>
      </c>
      <c r="AC961" s="3"/>
    </row>
    <row r="962" spans="1:29" x14ac:dyDescent="0.3">
      <c r="A962" s="2" t="s">
        <v>5129</v>
      </c>
      <c r="B962" s="2" t="s">
        <v>5130</v>
      </c>
      <c r="C962" s="2" t="s">
        <v>759</v>
      </c>
      <c r="D962" s="2" t="s">
        <v>5131</v>
      </c>
      <c r="E962" s="2" t="s">
        <v>33</v>
      </c>
      <c r="F962" s="2" t="s">
        <v>580</v>
      </c>
      <c r="G962" s="2" t="s">
        <v>1479</v>
      </c>
      <c r="H962" s="2" t="s">
        <v>3106</v>
      </c>
      <c r="I962" s="2">
        <v>5</v>
      </c>
      <c r="J962" s="2" t="s">
        <v>39</v>
      </c>
      <c r="K962" s="2" t="s">
        <v>225</v>
      </c>
      <c r="L962" s="2" t="s">
        <v>225</v>
      </c>
      <c r="M962" s="2" t="s">
        <v>5132</v>
      </c>
      <c r="N962" s="2" t="s">
        <v>1802</v>
      </c>
      <c r="O962" s="2" t="s">
        <v>28</v>
      </c>
      <c r="P962" s="2" t="s">
        <v>137</v>
      </c>
      <c r="Q962" s="2" t="s">
        <v>138</v>
      </c>
      <c r="R962" s="2">
        <v>3</v>
      </c>
      <c r="S962" s="2">
        <v>45493.63</v>
      </c>
      <c r="T962" s="2">
        <v>20</v>
      </c>
      <c r="U962" s="2">
        <v>109184.71</v>
      </c>
      <c r="V962" s="2">
        <v>67998.42</v>
      </c>
      <c r="W962" s="2">
        <v>41186.29</v>
      </c>
      <c r="X962" s="2">
        <v>37.72</v>
      </c>
      <c r="Y962" s="2">
        <v>199</v>
      </c>
      <c r="Z962" s="2" t="s">
        <v>47</v>
      </c>
      <c r="AA962" s="2" t="s">
        <v>672</v>
      </c>
      <c r="AB962" s="2" t="s">
        <v>101</v>
      </c>
      <c r="AC962" s="2"/>
    </row>
    <row r="963" spans="1:29" x14ac:dyDescent="0.3">
      <c r="A963" s="3" t="s">
        <v>5133</v>
      </c>
      <c r="B963" s="3" t="s">
        <v>5134</v>
      </c>
      <c r="C963" s="3" t="s">
        <v>3938</v>
      </c>
      <c r="D963" s="3" t="s">
        <v>5135</v>
      </c>
      <c r="E963" s="3" t="s">
        <v>26</v>
      </c>
      <c r="F963" s="3" t="s">
        <v>1320</v>
      </c>
      <c r="G963" s="3" t="s">
        <v>251</v>
      </c>
      <c r="H963" s="3" t="s">
        <v>5136</v>
      </c>
      <c r="I963" s="3">
        <v>6</v>
      </c>
      <c r="J963" s="3" t="s">
        <v>29</v>
      </c>
      <c r="K963" s="3" t="s">
        <v>334</v>
      </c>
      <c r="L963" s="3" t="s">
        <v>614</v>
      </c>
      <c r="M963" s="3" t="s">
        <v>5137</v>
      </c>
      <c r="N963" s="3" t="s">
        <v>704</v>
      </c>
      <c r="O963" s="3" t="s">
        <v>13</v>
      </c>
      <c r="P963" s="3" t="s">
        <v>419</v>
      </c>
      <c r="Q963" s="3" t="s">
        <v>99</v>
      </c>
      <c r="R963" s="3">
        <v>4</v>
      </c>
      <c r="S963" s="3">
        <v>6719.97</v>
      </c>
      <c r="T963" s="3">
        <v>15</v>
      </c>
      <c r="U963" s="3">
        <v>22847.9</v>
      </c>
      <c r="V963" s="3">
        <v>12877.99</v>
      </c>
      <c r="W963" s="3">
        <v>9969.91</v>
      </c>
      <c r="X963" s="3">
        <v>43.64</v>
      </c>
      <c r="Y963" s="3">
        <v>0</v>
      </c>
      <c r="Z963" s="3" t="s">
        <v>48</v>
      </c>
      <c r="AA963" s="3" t="s">
        <v>672</v>
      </c>
      <c r="AB963" s="3" t="s">
        <v>101</v>
      </c>
      <c r="AC963" s="3"/>
    </row>
    <row r="964" spans="1:29" x14ac:dyDescent="0.3">
      <c r="A964" s="2" t="s">
        <v>5138</v>
      </c>
      <c r="B964" s="2" t="s">
        <v>5139</v>
      </c>
      <c r="C964" s="2" t="s">
        <v>918</v>
      </c>
      <c r="D964" s="2" t="s">
        <v>5140</v>
      </c>
      <c r="E964" s="2" t="s">
        <v>33</v>
      </c>
      <c r="F964" s="2" t="s">
        <v>5141</v>
      </c>
      <c r="G964" s="2" t="s">
        <v>2132</v>
      </c>
      <c r="H964" s="2" t="s">
        <v>1599</v>
      </c>
      <c r="I964" s="2">
        <v>6</v>
      </c>
      <c r="J964" s="2" t="s">
        <v>22</v>
      </c>
      <c r="K964" s="2" t="s">
        <v>254</v>
      </c>
      <c r="L964" s="2" t="s">
        <v>254</v>
      </c>
      <c r="M964" s="2" t="s">
        <v>5142</v>
      </c>
      <c r="N964" s="2" t="s">
        <v>788</v>
      </c>
      <c r="O964" s="2" t="s">
        <v>27</v>
      </c>
      <c r="P964" s="2" t="s">
        <v>113</v>
      </c>
      <c r="Q964" s="2" t="s">
        <v>355</v>
      </c>
      <c r="R964" s="2">
        <v>2</v>
      </c>
      <c r="S964" s="2">
        <v>6061.07</v>
      </c>
      <c r="T964" s="2">
        <v>25</v>
      </c>
      <c r="U964" s="2">
        <v>9091.6</v>
      </c>
      <c r="V964" s="2">
        <v>5552.44</v>
      </c>
      <c r="W964" s="2">
        <v>3539.16</v>
      </c>
      <c r="X964" s="2">
        <v>38.93</v>
      </c>
      <c r="Y964" s="2">
        <v>199</v>
      </c>
      <c r="Z964" s="2" t="s">
        <v>23</v>
      </c>
      <c r="AA964" s="2" t="s">
        <v>100</v>
      </c>
      <c r="AB964" s="2" t="s">
        <v>101</v>
      </c>
      <c r="AC964" s="2">
        <v>3</v>
      </c>
    </row>
    <row r="965" spans="1:29" x14ac:dyDescent="0.3">
      <c r="A965" s="3" t="s">
        <v>5143</v>
      </c>
      <c r="B965" s="3" t="s">
        <v>5144</v>
      </c>
      <c r="C965" s="3" t="s">
        <v>2136</v>
      </c>
      <c r="D965" s="3" t="s">
        <v>5145</v>
      </c>
      <c r="E965" s="3" t="s">
        <v>26</v>
      </c>
      <c r="F965" s="3" t="s">
        <v>4895</v>
      </c>
      <c r="G965" s="3" t="s">
        <v>4673</v>
      </c>
      <c r="H965" s="3" t="s">
        <v>3792</v>
      </c>
      <c r="I965" s="3">
        <v>6</v>
      </c>
      <c r="J965" s="3" t="s">
        <v>29</v>
      </c>
      <c r="K965" s="3" t="s">
        <v>160</v>
      </c>
      <c r="L965" s="3" t="s">
        <v>976</v>
      </c>
      <c r="M965" s="3" t="s">
        <v>4691</v>
      </c>
      <c r="N965" s="3" t="s">
        <v>889</v>
      </c>
      <c r="O965" s="3" t="s">
        <v>27</v>
      </c>
      <c r="P965" s="3" t="s">
        <v>257</v>
      </c>
      <c r="Q965" s="3" t="s">
        <v>114</v>
      </c>
      <c r="R965" s="3">
        <v>1</v>
      </c>
      <c r="S965" s="3">
        <v>34814.25</v>
      </c>
      <c r="T965" s="3">
        <v>5</v>
      </c>
      <c r="U965" s="3">
        <v>33073.54</v>
      </c>
      <c r="V965" s="3">
        <v>18688.14</v>
      </c>
      <c r="W965" s="3">
        <v>14385.4</v>
      </c>
      <c r="X965" s="3">
        <v>43.5</v>
      </c>
      <c r="Y965" s="3">
        <v>29</v>
      </c>
      <c r="Z965" s="3" t="s">
        <v>43</v>
      </c>
      <c r="AA965" s="3" t="s">
        <v>100</v>
      </c>
      <c r="AB965" s="3" t="s">
        <v>101</v>
      </c>
      <c r="AC965" s="3"/>
    </row>
    <row r="966" spans="1:29" x14ac:dyDescent="0.3">
      <c r="A966" s="2" t="s">
        <v>5146</v>
      </c>
      <c r="B966" s="2" t="s">
        <v>5147</v>
      </c>
      <c r="C966" s="2" t="s">
        <v>716</v>
      </c>
      <c r="D966" s="2" t="s">
        <v>5148</v>
      </c>
      <c r="E966" s="2" t="s">
        <v>42</v>
      </c>
      <c r="F966" s="2" t="s">
        <v>1846</v>
      </c>
      <c r="G966" s="2" t="s">
        <v>505</v>
      </c>
      <c r="H966" s="2" t="s">
        <v>2888</v>
      </c>
      <c r="I966" s="2">
        <v>2</v>
      </c>
      <c r="J966" s="2" t="s">
        <v>29</v>
      </c>
      <c r="K966" s="2" t="s">
        <v>148</v>
      </c>
      <c r="L966" s="2" t="s">
        <v>148</v>
      </c>
      <c r="M966" s="2" t="s">
        <v>5149</v>
      </c>
      <c r="N966" s="2" t="s">
        <v>889</v>
      </c>
      <c r="O966" s="2" t="s">
        <v>27</v>
      </c>
      <c r="P966" s="2" t="s">
        <v>257</v>
      </c>
      <c r="Q966" s="2" t="s">
        <v>355</v>
      </c>
      <c r="R966" s="2">
        <v>2</v>
      </c>
      <c r="S966" s="2">
        <v>33232.769999999997</v>
      </c>
      <c r="T966" s="2">
        <v>10</v>
      </c>
      <c r="U966" s="2">
        <v>59818.99</v>
      </c>
      <c r="V966" s="2">
        <v>39835.730000000003</v>
      </c>
      <c r="W966" s="2">
        <v>19983.259999999998</v>
      </c>
      <c r="X966" s="2">
        <v>33.409999999999997</v>
      </c>
      <c r="Y966" s="2">
        <v>29</v>
      </c>
      <c r="Z966" s="2" t="s">
        <v>23</v>
      </c>
      <c r="AA966" s="2" t="s">
        <v>100</v>
      </c>
      <c r="AB966" s="2" t="s">
        <v>101</v>
      </c>
      <c r="AC966" s="2">
        <v>1</v>
      </c>
    </row>
    <row r="967" spans="1:29" x14ac:dyDescent="0.3">
      <c r="A967" s="3" t="s">
        <v>5150</v>
      </c>
      <c r="B967" s="3" t="s">
        <v>5151</v>
      </c>
      <c r="C967" s="3" t="s">
        <v>918</v>
      </c>
      <c r="D967" s="3" t="s">
        <v>5152</v>
      </c>
      <c r="E967" s="3" t="s">
        <v>26</v>
      </c>
      <c r="F967" s="3" t="s">
        <v>5153</v>
      </c>
      <c r="G967" s="3" t="s">
        <v>1888</v>
      </c>
      <c r="H967" s="3" t="s">
        <v>2167</v>
      </c>
      <c r="I967" s="3">
        <v>2</v>
      </c>
      <c r="J967" s="3" t="s">
        <v>14</v>
      </c>
      <c r="K967" s="3" t="s">
        <v>171</v>
      </c>
      <c r="L967" s="3" t="s">
        <v>407</v>
      </c>
      <c r="M967" s="3" t="s">
        <v>5045</v>
      </c>
      <c r="N967" s="3" t="s">
        <v>484</v>
      </c>
      <c r="O967" s="3" t="s">
        <v>13</v>
      </c>
      <c r="P967" s="3" t="s">
        <v>98</v>
      </c>
      <c r="Q967" s="3" t="s">
        <v>152</v>
      </c>
      <c r="R967" s="3">
        <v>2</v>
      </c>
      <c r="S967" s="3">
        <v>14979.28</v>
      </c>
      <c r="T967" s="3">
        <v>30</v>
      </c>
      <c r="U967" s="3">
        <v>20970.990000000002</v>
      </c>
      <c r="V967" s="3">
        <v>14154.39</v>
      </c>
      <c r="W967" s="3">
        <v>6816.6</v>
      </c>
      <c r="X967" s="3">
        <v>32.5</v>
      </c>
      <c r="Y967" s="3">
        <v>149</v>
      </c>
      <c r="Z967" s="3" t="s">
        <v>43</v>
      </c>
      <c r="AA967" s="3" t="s">
        <v>100</v>
      </c>
      <c r="AB967" s="3" t="s">
        <v>101</v>
      </c>
      <c r="AC967" s="3">
        <v>5</v>
      </c>
    </row>
    <row r="968" spans="1:29" x14ac:dyDescent="0.3">
      <c r="A968" s="2" t="s">
        <v>5154</v>
      </c>
      <c r="B968" s="2" t="s">
        <v>5155</v>
      </c>
      <c r="C968" s="2" t="s">
        <v>603</v>
      </c>
      <c r="D968" s="2" t="s">
        <v>5156</v>
      </c>
      <c r="E968" s="2" t="s">
        <v>42</v>
      </c>
      <c r="F968" s="2" t="s">
        <v>2099</v>
      </c>
      <c r="G968" s="2" t="s">
        <v>1108</v>
      </c>
      <c r="H968" s="2" t="s">
        <v>1241</v>
      </c>
      <c r="I968" s="2">
        <v>7</v>
      </c>
      <c r="J968" s="2" t="s">
        <v>39</v>
      </c>
      <c r="K968" s="2" t="s">
        <v>109</v>
      </c>
      <c r="L968" s="2" t="s">
        <v>134</v>
      </c>
      <c r="M968" s="2" t="s">
        <v>5157</v>
      </c>
      <c r="N968" s="2" t="s">
        <v>327</v>
      </c>
      <c r="O968" s="2" t="s">
        <v>27</v>
      </c>
      <c r="P968" s="2" t="s">
        <v>113</v>
      </c>
      <c r="Q968" s="2" t="s">
        <v>400</v>
      </c>
      <c r="R968" s="2">
        <v>5</v>
      </c>
      <c r="S968" s="2">
        <v>22272.44</v>
      </c>
      <c r="T968" s="2">
        <v>5</v>
      </c>
      <c r="U968" s="2">
        <v>105794.09</v>
      </c>
      <c r="V968" s="2">
        <v>62669.99</v>
      </c>
      <c r="W968" s="2">
        <v>43124.1</v>
      </c>
      <c r="X968" s="2">
        <v>40.76</v>
      </c>
      <c r="Y968" s="2">
        <v>149</v>
      </c>
      <c r="Z968" s="2" t="s">
        <v>23</v>
      </c>
      <c r="AA968" s="2" t="s">
        <v>672</v>
      </c>
      <c r="AB968" s="2" t="s">
        <v>101</v>
      </c>
      <c r="AC968" s="2"/>
    </row>
    <row r="969" spans="1:29" x14ac:dyDescent="0.3">
      <c r="A969" s="3" t="s">
        <v>5158</v>
      </c>
      <c r="B969" s="3" t="s">
        <v>5159</v>
      </c>
      <c r="C969" s="3" t="s">
        <v>1246</v>
      </c>
      <c r="D969" s="3" t="s">
        <v>5160</v>
      </c>
      <c r="E969" s="3" t="s">
        <v>42</v>
      </c>
      <c r="F969" s="3" t="s">
        <v>3791</v>
      </c>
      <c r="G969" s="3" t="s">
        <v>3286</v>
      </c>
      <c r="H969" s="3" t="s">
        <v>4614</v>
      </c>
      <c r="I969" s="3">
        <v>7</v>
      </c>
      <c r="J969" s="3" t="s">
        <v>14</v>
      </c>
      <c r="K969" s="3" t="s">
        <v>95</v>
      </c>
      <c r="L969" s="3" t="s">
        <v>95</v>
      </c>
      <c r="M969" s="3" t="s">
        <v>4164</v>
      </c>
      <c r="N969" s="3" t="s">
        <v>508</v>
      </c>
      <c r="O969" s="3" t="s">
        <v>19</v>
      </c>
      <c r="P969" s="3" t="s">
        <v>365</v>
      </c>
      <c r="Q969" s="3" t="s">
        <v>400</v>
      </c>
      <c r="R969" s="3">
        <v>4</v>
      </c>
      <c r="S969" s="3">
        <v>18094.22</v>
      </c>
      <c r="T969" s="3">
        <v>0</v>
      </c>
      <c r="U969" s="3">
        <v>72376.88</v>
      </c>
      <c r="V969" s="3">
        <v>37216.800000000003</v>
      </c>
      <c r="W969" s="3">
        <v>35160.080000000002</v>
      </c>
      <c r="X969" s="3">
        <v>48.58</v>
      </c>
      <c r="Y969" s="3">
        <v>199</v>
      </c>
      <c r="Z969" s="3" t="s">
        <v>23</v>
      </c>
      <c r="AA969" s="3" t="s">
        <v>100</v>
      </c>
      <c r="AB969" s="3" t="s">
        <v>101</v>
      </c>
      <c r="AC969" s="3"/>
    </row>
    <row r="970" spans="1:29" x14ac:dyDescent="0.3">
      <c r="A970" s="2" t="s">
        <v>5161</v>
      </c>
      <c r="B970" s="2" t="s">
        <v>5162</v>
      </c>
      <c r="C970" s="2" t="s">
        <v>1911</v>
      </c>
      <c r="D970" s="2" t="s">
        <v>5163</v>
      </c>
      <c r="E970" s="2" t="s">
        <v>26</v>
      </c>
      <c r="F970" s="2" t="s">
        <v>3317</v>
      </c>
      <c r="G970" s="2" t="s">
        <v>1995</v>
      </c>
      <c r="H970" s="2" t="s">
        <v>1997</v>
      </c>
      <c r="I970" s="2">
        <v>6</v>
      </c>
      <c r="J970" s="2" t="s">
        <v>29</v>
      </c>
      <c r="K970" s="2" t="s">
        <v>334</v>
      </c>
      <c r="L970" s="2" t="s">
        <v>614</v>
      </c>
      <c r="M970" s="2" t="s">
        <v>5164</v>
      </c>
      <c r="N970" s="2" t="s">
        <v>1188</v>
      </c>
      <c r="O970" s="2" t="s">
        <v>27</v>
      </c>
      <c r="P970" s="2" t="s">
        <v>257</v>
      </c>
      <c r="Q970" s="2" t="s">
        <v>152</v>
      </c>
      <c r="R970" s="2">
        <v>4</v>
      </c>
      <c r="S970" s="2">
        <v>42632.52</v>
      </c>
      <c r="T970" s="2">
        <v>20</v>
      </c>
      <c r="U970" s="2">
        <v>136424.06</v>
      </c>
      <c r="V970" s="2">
        <v>83787.56</v>
      </c>
      <c r="W970" s="2">
        <v>52636.5</v>
      </c>
      <c r="X970" s="2">
        <v>38.58</v>
      </c>
      <c r="Y970" s="2">
        <v>199</v>
      </c>
      <c r="Z970" s="2" t="s">
        <v>43</v>
      </c>
      <c r="AA970" s="2" t="s">
        <v>100</v>
      </c>
      <c r="AB970" s="2" t="s">
        <v>101</v>
      </c>
      <c r="AC970" s="2">
        <v>3</v>
      </c>
    </row>
    <row r="971" spans="1:29" x14ac:dyDescent="0.3">
      <c r="A971" s="3" t="s">
        <v>5165</v>
      </c>
      <c r="B971" s="3" t="s">
        <v>431</v>
      </c>
      <c r="C971" s="3" t="s">
        <v>1597</v>
      </c>
      <c r="D971" s="3" t="s">
        <v>5166</v>
      </c>
      <c r="E971" s="3" t="s">
        <v>26</v>
      </c>
      <c r="F971" s="3" t="s">
        <v>874</v>
      </c>
      <c r="G971" s="3" t="s">
        <v>1868</v>
      </c>
      <c r="H971" s="3" t="s">
        <v>396</v>
      </c>
      <c r="I971" s="3">
        <v>5</v>
      </c>
      <c r="J971" s="3" t="s">
        <v>22</v>
      </c>
      <c r="K971" s="3" t="s">
        <v>443</v>
      </c>
      <c r="L971" s="3" t="s">
        <v>498</v>
      </c>
      <c r="M971" s="3" t="s">
        <v>4906</v>
      </c>
      <c r="N971" s="3" t="s">
        <v>592</v>
      </c>
      <c r="O971" s="3" t="s">
        <v>21</v>
      </c>
      <c r="P971" s="3" t="s">
        <v>206</v>
      </c>
      <c r="Q971" s="3" t="s">
        <v>218</v>
      </c>
      <c r="R971" s="3">
        <v>2</v>
      </c>
      <c r="S971" s="3">
        <v>33987.58</v>
      </c>
      <c r="T971" s="3">
        <v>10</v>
      </c>
      <c r="U971" s="3">
        <v>61177.64</v>
      </c>
      <c r="V971" s="3">
        <v>40391.800000000003</v>
      </c>
      <c r="W971" s="3">
        <v>20785.84</v>
      </c>
      <c r="X971" s="3">
        <v>33.979999999999997</v>
      </c>
      <c r="Y971" s="3">
        <v>99</v>
      </c>
      <c r="Z971" s="3" t="s">
        <v>47</v>
      </c>
      <c r="AA971" s="3" t="s">
        <v>100</v>
      </c>
      <c r="AB971" s="3" t="s">
        <v>101</v>
      </c>
      <c r="AC971" s="3">
        <v>3</v>
      </c>
    </row>
    <row r="972" spans="1:29" x14ac:dyDescent="0.3">
      <c r="A972" s="2" t="s">
        <v>5167</v>
      </c>
      <c r="B972" s="2" t="s">
        <v>5168</v>
      </c>
      <c r="C972" s="2" t="s">
        <v>973</v>
      </c>
      <c r="D972" s="2" t="s">
        <v>5169</v>
      </c>
      <c r="E972" s="2" t="s">
        <v>42</v>
      </c>
      <c r="F972" s="2" t="s">
        <v>1750</v>
      </c>
      <c r="G972" s="2" t="s">
        <v>1976</v>
      </c>
      <c r="H972" s="2" t="s">
        <v>1751</v>
      </c>
      <c r="I972" s="2">
        <v>2</v>
      </c>
      <c r="J972" s="2" t="s">
        <v>14</v>
      </c>
      <c r="K972" s="2" t="s">
        <v>712</v>
      </c>
      <c r="L972" s="2" t="s">
        <v>712</v>
      </c>
      <c r="M972" s="2" t="s">
        <v>5170</v>
      </c>
      <c r="N972" s="2" t="s">
        <v>924</v>
      </c>
      <c r="O972" s="2" t="s">
        <v>13</v>
      </c>
      <c r="P972" s="2" t="s">
        <v>228</v>
      </c>
      <c r="Q972" s="2" t="s">
        <v>355</v>
      </c>
      <c r="R972" s="2">
        <v>5</v>
      </c>
      <c r="S972" s="2">
        <v>10095.19</v>
      </c>
      <c r="T972" s="2">
        <v>30</v>
      </c>
      <c r="U972" s="2">
        <v>35333.17</v>
      </c>
      <c r="V972" s="2">
        <v>20942.740000000002</v>
      </c>
      <c r="W972" s="2">
        <v>14390.43</v>
      </c>
      <c r="X972" s="2">
        <v>40.729999999999997</v>
      </c>
      <c r="Y972" s="2">
        <v>29</v>
      </c>
      <c r="Z972" s="2" t="s">
        <v>30</v>
      </c>
      <c r="AA972" s="2" t="s">
        <v>100</v>
      </c>
      <c r="AB972" s="2" t="s">
        <v>101</v>
      </c>
      <c r="AC972" s="2">
        <v>4</v>
      </c>
    </row>
    <row r="973" spans="1:29" x14ac:dyDescent="0.3">
      <c r="A973" s="3" t="s">
        <v>5171</v>
      </c>
      <c r="B973" s="3" t="s">
        <v>5172</v>
      </c>
      <c r="C973" s="3" t="s">
        <v>260</v>
      </c>
      <c r="D973" s="3" t="s">
        <v>5173</v>
      </c>
      <c r="E973" s="3" t="s">
        <v>26</v>
      </c>
      <c r="F973" s="3" t="s">
        <v>2293</v>
      </c>
      <c r="G973" s="3" t="s">
        <v>2013</v>
      </c>
      <c r="H973" s="3" t="s">
        <v>1256</v>
      </c>
      <c r="I973" s="3">
        <v>7</v>
      </c>
      <c r="J973" s="3" t="s">
        <v>14</v>
      </c>
      <c r="K973" s="3" t="s">
        <v>712</v>
      </c>
      <c r="L973" s="3" t="s">
        <v>712</v>
      </c>
      <c r="M973" s="3" t="s">
        <v>5174</v>
      </c>
      <c r="N973" s="3" t="s">
        <v>475</v>
      </c>
      <c r="O973" s="3" t="s">
        <v>13</v>
      </c>
      <c r="P973" s="3" t="s">
        <v>228</v>
      </c>
      <c r="Q973" s="3" t="s">
        <v>138</v>
      </c>
      <c r="R973" s="3">
        <v>3</v>
      </c>
      <c r="S973" s="3">
        <v>28415.43</v>
      </c>
      <c r="T973" s="3">
        <v>10</v>
      </c>
      <c r="U973" s="3">
        <v>76721.66</v>
      </c>
      <c r="V973" s="3">
        <v>52768.98</v>
      </c>
      <c r="W973" s="3">
        <v>23952.68</v>
      </c>
      <c r="X973" s="3">
        <v>31.22</v>
      </c>
      <c r="Y973" s="3">
        <v>199</v>
      </c>
      <c r="Z973" s="3" t="s">
        <v>30</v>
      </c>
      <c r="AA973" s="3" t="s">
        <v>672</v>
      </c>
      <c r="AB973" s="3" t="s">
        <v>101</v>
      </c>
      <c r="AC973" s="3"/>
    </row>
    <row r="974" spans="1:29" x14ac:dyDescent="0.3">
      <c r="A974" s="2" t="s">
        <v>5175</v>
      </c>
      <c r="B974" s="2" t="s">
        <v>1165</v>
      </c>
      <c r="C974" s="2" t="s">
        <v>799</v>
      </c>
      <c r="D974" s="2" t="s">
        <v>5176</v>
      </c>
      <c r="E974" s="2" t="s">
        <v>18</v>
      </c>
      <c r="F974" s="2" t="s">
        <v>2775</v>
      </c>
      <c r="G974" s="2" t="s">
        <v>872</v>
      </c>
      <c r="H974" s="2" t="s">
        <v>1840</v>
      </c>
      <c r="I974" s="2">
        <v>5</v>
      </c>
      <c r="J974" s="2" t="s">
        <v>39</v>
      </c>
      <c r="K974" s="2" t="s">
        <v>225</v>
      </c>
      <c r="L974" s="2" t="s">
        <v>225</v>
      </c>
      <c r="M974" s="2" t="s">
        <v>5177</v>
      </c>
      <c r="N974" s="2" t="s">
        <v>150</v>
      </c>
      <c r="O974" s="2" t="s">
        <v>28</v>
      </c>
      <c r="P974" s="2" t="s">
        <v>151</v>
      </c>
      <c r="Q974" s="2" t="s">
        <v>99</v>
      </c>
      <c r="R974" s="2">
        <v>5</v>
      </c>
      <c r="S974" s="2">
        <v>41131.75</v>
      </c>
      <c r="T974" s="2">
        <v>15</v>
      </c>
      <c r="U974" s="2">
        <v>174809.94</v>
      </c>
      <c r="V974" s="2">
        <v>83505.570000000007</v>
      </c>
      <c r="W974" s="2">
        <v>91304.37</v>
      </c>
      <c r="X974" s="2">
        <v>52.23</v>
      </c>
      <c r="Y974" s="2">
        <v>149</v>
      </c>
      <c r="Z974" s="2" t="s">
        <v>47</v>
      </c>
      <c r="AA974" s="2" t="s">
        <v>100</v>
      </c>
      <c r="AB974" s="2" t="s">
        <v>140</v>
      </c>
      <c r="AC974" s="2">
        <v>5</v>
      </c>
    </row>
    <row r="975" spans="1:29" x14ac:dyDescent="0.3">
      <c r="A975" s="3" t="s">
        <v>5178</v>
      </c>
      <c r="B975" s="3" t="s">
        <v>5179</v>
      </c>
      <c r="C975" s="3" t="s">
        <v>1484</v>
      </c>
      <c r="D975" s="3" t="s">
        <v>5180</v>
      </c>
      <c r="E975" s="3" t="s">
        <v>26</v>
      </c>
      <c r="F975" s="3" t="s">
        <v>710</v>
      </c>
      <c r="G975" s="3" t="s">
        <v>1784</v>
      </c>
      <c r="H975" s="3" t="s">
        <v>859</v>
      </c>
      <c r="I975" s="3">
        <v>8</v>
      </c>
      <c r="J975" s="3" t="s">
        <v>39</v>
      </c>
      <c r="K975" s="3" t="s">
        <v>314</v>
      </c>
      <c r="L975" s="3" t="s">
        <v>314</v>
      </c>
      <c r="M975" s="3" t="s">
        <v>2960</v>
      </c>
      <c r="N975" s="3" t="s">
        <v>1188</v>
      </c>
      <c r="O975" s="3" t="s">
        <v>27</v>
      </c>
      <c r="P975" s="3" t="s">
        <v>257</v>
      </c>
      <c r="Q975" s="3" t="s">
        <v>400</v>
      </c>
      <c r="R975" s="3">
        <v>2</v>
      </c>
      <c r="S975" s="3">
        <v>8049.62</v>
      </c>
      <c r="T975" s="3">
        <v>0</v>
      </c>
      <c r="U975" s="3">
        <v>16099.24</v>
      </c>
      <c r="V975" s="3">
        <v>9854.15</v>
      </c>
      <c r="W975" s="3">
        <v>6245.09</v>
      </c>
      <c r="X975" s="3">
        <v>38.79</v>
      </c>
      <c r="Y975" s="3">
        <v>29</v>
      </c>
      <c r="Z975" s="3" t="s">
        <v>15</v>
      </c>
      <c r="AA975" s="3" t="s">
        <v>100</v>
      </c>
      <c r="AB975" s="3" t="s">
        <v>101</v>
      </c>
      <c r="AC975" s="3">
        <v>2</v>
      </c>
    </row>
    <row r="976" spans="1:29" x14ac:dyDescent="0.3">
      <c r="A976" s="2" t="s">
        <v>5181</v>
      </c>
      <c r="B976" s="2" t="s">
        <v>5162</v>
      </c>
      <c r="C976" s="2" t="s">
        <v>1335</v>
      </c>
      <c r="D976" s="2" t="s">
        <v>5182</v>
      </c>
      <c r="E976" s="2" t="s">
        <v>26</v>
      </c>
      <c r="F976" s="2" t="s">
        <v>745</v>
      </c>
      <c r="G976" s="2" t="s">
        <v>746</v>
      </c>
      <c r="H976" s="2" t="s">
        <v>1652</v>
      </c>
      <c r="I976" s="2">
        <v>4</v>
      </c>
      <c r="J976" s="2" t="s">
        <v>14</v>
      </c>
      <c r="K976" s="2" t="s">
        <v>171</v>
      </c>
      <c r="L976" s="2" t="s">
        <v>407</v>
      </c>
      <c r="M976" s="2" t="s">
        <v>5183</v>
      </c>
      <c r="N976" s="2" t="s">
        <v>3017</v>
      </c>
      <c r="O976" s="2" t="s">
        <v>13</v>
      </c>
      <c r="P976" s="2" t="s">
        <v>419</v>
      </c>
      <c r="Q976" s="2" t="s">
        <v>509</v>
      </c>
      <c r="R976" s="2">
        <v>1</v>
      </c>
      <c r="S976" s="2">
        <v>7436.07</v>
      </c>
      <c r="T976" s="2">
        <v>0</v>
      </c>
      <c r="U976" s="2">
        <v>7436.07</v>
      </c>
      <c r="V976" s="2">
        <v>3661.06</v>
      </c>
      <c r="W976" s="2">
        <v>3775.01</v>
      </c>
      <c r="X976" s="2">
        <v>50.77</v>
      </c>
      <c r="Y976" s="2">
        <v>49</v>
      </c>
      <c r="Z976" s="2" t="s">
        <v>43</v>
      </c>
      <c r="AA976" s="2" t="s">
        <v>100</v>
      </c>
      <c r="AB976" s="2" t="s">
        <v>101</v>
      </c>
      <c r="AC976" s="2">
        <v>2</v>
      </c>
    </row>
    <row r="977" spans="1:29" x14ac:dyDescent="0.3">
      <c r="A977" s="3" t="s">
        <v>5184</v>
      </c>
      <c r="B977" s="3" t="s">
        <v>5185</v>
      </c>
      <c r="C977" s="3" t="s">
        <v>4964</v>
      </c>
      <c r="D977" s="3" t="s">
        <v>5186</v>
      </c>
      <c r="E977" s="3" t="s">
        <v>42</v>
      </c>
      <c r="F977" s="3" t="s">
        <v>1984</v>
      </c>
      <c r="G977" s="3" t="s">
        <v>5187</v>
      </c>
      <c r="H977" s="3" t="s">
        <v>3373</v>
      </c>
      <c r="I977" s="3">
        <v>8</v>
      </c>
      <c r="J977" s="3" t="s">
        <v>14</v>
      </c>
      <c r="K977" s="3" t="s">
        <v>171</v>
      </c>
      <c r="L977" s="3" t="s">
        <v>172</v>
      </c>
      <c r="M977" s="3" t="s">
        <v>5188</v>
      </c>
      <c r="N977" s="3" t="s">
        <v>722</v>
      </c>
      <c r="O977" s="3" t="s">
        <v>27</v>
      </c>
      <c r="P977" s="3" t="s">
        <v>175</v>
      </c>
      <c r="Q977" s="3" t="s">
        <v>99</v>
      </c>
      <c r="R977" s="3">
        <v>5</v>
      </c>
      <c r="S977" s="3">
        <v>28046.880000000001</v>
      </c>
      <c r="T977" s="3">
        <v>15</v>
      </c>
      <c r="U977" s="3">
        <v>119199.24</v>
      </c>
      <c r="V977" s="3">
        <v>62674.61</v>
      </c>
      <c r="W977" s="3">
        <v>56524.63</v>
      </c>
      <c r="X977" s="3">
        <v>47.42</v>
      </c>
      <c r="Y977" s="3">
        <v>149</v>
      </c>
      <c r="Z977" s="3" t="s">
        <v>48</v>
      </c>
      <c r="AA977" s="3" t="s">
        <v>100</v>
      </c>
      <c r="AB977" s="3" t="s">
        <v>101</v>
      </c>
      <c r="AC977" s="3">
        <v>4</v>
      </c>
    </row>
    <row r="978" spans="1:29" x14ac:dyDescent="0.3">
      <c r="A978" s="2" t="s">
        <v>5189</v>
      </c>
      <c r="B978" s="2" t="s">
        <v>3412</v>
      </c>
      <c r="C978" s="2" t="s">
        <v>2590</v>
      </c>
      <c r="D978" s="2" t="s">
        <v>5190</v>
      </c>
      <c r="E978" s="2" t="s">
        <v>26</v>
      </c>
      <c r="F978" s="2" t="s">
        <v>5191</v>
      </c>
      <c r="G978" s="2" t="s">
        <v>5136</v>
      </c>
      <c r="H978" s="2" t="s">
        <v>5192</v>
      </c>
      <c r="I978" s="2">
        <v>6</v>
      </c>
      <c r="J978" s="2" t="s">
        <v>29</v>
      </c>
      <c r="K978" s="2" t="s">
        <v>334</v>
      </c>
      <c r="L978" s="2" t="s">
        <v>335</v>
      </c>
      <c r="M978" s="2" t="s">
        <v>5193</v>
      </c>
      <c r="N978" s="2" t="s">
        <v>623</v>
      </c>
      <c r="O978" s="2" t="s">
        <v>19</v>
      </c>
      <c r="P978" s="2" t="s">
        <v>297</v>
      </c>
      <c r="Q978" s="2" t="s">
        <v>466</v>
      </c>
      <c r="R978" s="2">
        <v>3</v>
      </c>
      <c r="S978" s="2">
        <v>11854.78</v>
      </c>
      <c r="T978" s="2">
        <v>5</v>
      </c>
      <c r="U978" s="2">
        <v>33786.120000000003</v>
      </c>
      <c r="V978" s="2">
        <v>19513.169999999998</v>
      </c>
      <c r="W978" s="2">
        <v>14272.95</v>
      </c>
      <c r="X978" s="2">
        <v>42.25</v>
      </c>
      <c r="Y978" s="2">
        <v>49</v>
      </c>
      <c r="Z978" s="2" t="s">
        <v>40</v>
      </c>
      <c r="AA978" s="2" t="s">
        <v>100</v>
      </c>
      <c r="AB978" s="2" t="s">
        <v>140</v>
      </c>
      <c r="AC978" s="2">
        <v>3</v>
      </c>
    </row>
    <row r="979" spans="1:29" x14ac:dyDescent="0.3">
      <c r="A979" s="3" t="s">
        <v>5194</v>
      </c>
      <c r="B979" s="3" t="s">
        <v>5195</v>
      </c>
      <c r="C979" s="3" t="s">
        <v>743</v>
      </c>
      <c r="D979" s="3" t="s">
        <v>5196</v>
      </c>
      <c r="E979" s="3" t="s">
        <v>42</v>
      </c>
      <c r="F979" s="3" t="s">
        <v>1135</v>
      </c>
      <c r="G979" s="3" t="s">
        <v>2973</v>
      </c>
      <c r="H979" s="3" t="s">
        <v>5197</v>
      </c>
      <c r="I979" s="3">
        <v>6</v>
      </c>
      <c r="J979" s="3" t="s">
        <v>39</v>
      </c>
      <c r="K979" s="3" t="s">
        <v>109</v>
      </c>
      <c r="L979" s="3" t="s">
        <v>110</v>
      </c>
      <c r="M979" s="3" t="s">
        <v>5198</v>
      </c>
      <c r="N979" s="3" t="s">
        <v>931</v>
      </c>
      <c r="O979" s="3" t="s">
        <v>13</v>
      </c>
      <c r="P979" s="3" t="s">
        <v>419</v>
      </c>
      <c r="Q979" s="3" t="s">
        <v>400</v>
      </c>
      <c r="R979" s="3">
        <v>4</v>
      </c>
      <c r="S979" s="3">
        <v>4853.49</v>
      </c>
      <c r="T979" s="3">
        <v>0</v>
      </c>
      <c r="U979" s="3">
        <v>19413.96</v>
      </c>
      <c r="V979" s="3">
        <v>9821.3799999999992</v>
      </c>
      <c r="W979" s="3">
        <v>9592.58</v>
      </c>
      <c r="X979" s="3">
        <v>49.41</v>
      </c>
      <c r="Y979" s="3">
        <v>99</v>
      </c>
      <c r="Z979" s="3" t="s">
        <v>30</v>
      </c>
      <c r="AA979" s="3" t="s">
        <v>139</v>
      </c>
      <c r="AB979" s="3" t="s">
        <v>140</v>
      </c>
      <c r="AC979" s="3"/>
    </row>
    <row r="980" spans="1:29" x14ac:dyDescent="0.3">
      <c r="A980" s="2" t="s">
        <v>5199</v>
      </c>
      <c r="B980" s="2" t="s">
        <v>3912</v>
      </c>
      <c r="C980" s="2" t="s">
        <v>249</v>
      </c>
      <c r="D980" s="2" t="s">
        <v>5200</v>
      </c>
      <c r="E980" s="2" t="s">
        <v>33</v>
      </c>
      <c r="F980" s="2" t="s">
        <v>948</v>
      </c>
      <c r="G980" s="2" t="s">
        <v>3850</v>
      </c>
      <c r="H980" s="2" t="s">
        <v>975</v>
      </c>
      <c r="I980" s="2">
        <v>2</v>
      </c>
      <c r="J980" s="2" t="s">
        <v>22</v>
      </c>
      <c r="K980" s="2" t="s">
        <v>443</v>
      </c>
      <c r="L980" s="2" t="s">
        <v>498</v>
      </c>
      <c r="M980" s="2" t="s">
        <v>5201</v>
      </c>
      <c r="N980" s="2" t="s">
        <v>456</v>
      </c>
      <c r="O980" s="2" t="s">
        <v>21</v>
      </c>
      <c r="P980" s="2" t="s">
        <v>206</v>
      </c>
      <c r="Q980" s="2" t="s">
        <v>355</v>
      </c>
      <c r="R980" s="2">
        <v>4</v>
      </c>
      <c r="S980" s="2">
        <v>30913.68</v>
      </c>
      <c r="T980" s="2">
        <v>0</v>
      </c>
      <c r="U980" s="2">
        <v>123654.72</v>
      </c>
      <c r="V980" s="2">
        <v>66042.3</v>
      </c>
      <c r="W980" s="2">
        <v>57612.42</v>
      </c>
      <c r="X980" s="2">
        <v>46.59</v>
      </c>
      <c r="Y980" s="2">
        <v>199</v>
      </c>
      <c r="Z980" s="2" t="s">
        <v>23</v>
      </c>
      <c r="AA980" s="2" t="s">
        <v>186</v>
      </c>
      <c r="AB980" s="2" t="s">
        <v>101</v>
      </c>
      <c r="AC980" s="2"/>
    </row>
    <row r="981" spans="1:29" x14ac:dyDescent="0.3">
      <c r="A981" s="3" t="s">
        <v>5202</v>
      </c>
      <c r="B981" s="3" t="s">
        <v>5203</v>
      </c>
      <c r="C981" s="3" t="s">
        <v>1606</v>
      </c>
      <c r="D981" s="3" t="s">
        <v>5204</v>
      </c>
      <c r="E981" s="3" t="s">
        <v>33</v>
      </c>
      <c r="F981" s="3" t="s">
        <v>397</v>
      </c>
      <c r="G981" s="3" t="s">
        <v>3597</v>
      </c>
      <c r="H981" s="3" t="s">
        <v>93</v>
      </c>
      <c r="I981" s="3">
        <v>7</v>
      </c>
      <c r="J981" s="3" t="s">
        <v>39</v>
      </c>
      <c r="K981" s="3" t="s">
        <v>109</v>
      </c>
      <c r="L981" s="3" t="s">
        <v>110</v>
      </c>
      <c r="M981" s="3" t="s">
        <v>4818</v>
      </c>
      <c r="N981" s="3" t="s">
        <v>150</v>
      </c>
      <c r="O981" s="3" t="s">
        <v>28</v>
      </c>
      <c r="P981" s="3" t="s">
        <v>151</v>
      </c>
      <c r="Q981" s="3" t="s">
        <v>138</v>
      </c>
      <c r="R981" s="3">
        <v>2</v>
      </c>
      <c r="S981" s="3">
        <v>47153.81</v>
      </c>
      <c r="T981" s="3">
        <v>0</v>
      </c>
      <c r="U981" s="3">
        <v>94307.62</v>
      </c>
      <c r="V981" s="3">
        <v>62883.519999999997</v>
      </c>
      <c r="W981" s="3">
        <v>31424.1</v>
      </c>
      <c r="X981" s="3">
        <v>33.32</v>
      </c>
      <c r="Y981" s="3">
        <v>49</v>
      </c>
      <c r="Z981" s="3" t="s">
        <v>30</v>
      </c>
      <c r="AA981" s="3" t="s">
        <v>139</v>
      </c>
      <c r="AB981" s="3" t="s">
        <v>140</v>
      </c>
      <c r="AC981" s="3"/>
    </row>
    <row r="982" spans="1:29" x14ac:dyDescent="0.3">
      <c r="A982" s="2" t="s">
        <v>5205</v>
      </c>
      <c r="B982" s="2" t="s">
        <v>4121</v>
      </c>
      <c r="C982" s="2" t="s">
        <v>2124</v>
      </c>
      <c r="D982" s="2" t="s">
        <v>5206</v>
      </c>
      <c r="E982" s="2" t="s">
        <v>18</v>
      </c>
      <c r="F982" s="2" t="s">
        <v>1241</v>
      </c>
      <c r="G982" s="2" t="s">
        <v>1688</v>
      </c>
      <c r="H982" s="2" t="s">
        <v>1242</v>
      </c>
      <c r="I982" s="2">
        <v>6</v>
      </c>
      <c r="J982" s="2" t="s">
        <v>22</v>
      </c>
      <c r="K982" s="2" t="s">
        <v>283</v>
      </c>
      <c r="L982" s="2" t="s">
        <v>284</v>
      </c>
      <c r="M982" s="2" t="s">
        <v>5207</v>
      </c>
      <c r="N982" s="2" t="s">
        <v>533</v>
      </c>
      <c r="O982" s="2" t="s">
        <v>19</v>
      </c>
      <c r="P982" s="2" t="s">
        <v>297</v>
      </c>
      <c r="Q982" s="2" t="s">
        <v>218</v>
      </c>
      <c r="R982" s="2">
        <v>1</v>
      </c>
      <c r="S982" s="2">
        <v>1726.22</v>
      </c>
      <c r="T982" s="2">
        <v>25</v>
      </c>
      <c r="U982" s="2">
        <v>1294.6600000000001</v>
      </c>
      <c r="V982" s="2">
        <v>864.46</v>
      </c>
      <c r="W982" s="2">
        <v>430.2</v>
      </c>
      <c r="X982" s="2">
        <v>33.229999999999997</v>
      </c>
      <c r="Y982" s="2">
        <v>149</v>
      </c>
      <c r="Z982" s="2" t="s">
        <v>23</v>
      </c>
      <c r="AA982" s="2" t="s">
        <v>100</v>
      </c>
      <c r="AB982" s="2" t="s">
        <v>101</v>
      </c>
      <c r="AC982" s="2">
        <v>2</v>
      </c>
    </row>
    <row r="983" spans="1:29" x14ac:dyDescent="0.3">
      <c r="A983" s="3" t="s">
        <v>5208</v>
      </c>
      <c r="B983" s="3" t="s">
        <v>5209</v>
      </c>
      <c r="C983" s="3" t="s">
        <v>2882</v>
      </c>
      <c r="D983" s="3" t="s">
        <v>5210</v>
      </c>
      <c r="E983" s="3" t="s">
        <v>42</v>
      </c>
      <c r="F983" s="3" t="s">
        <v>1513</v>
      </c>
      <c r="G983" s="3" t="s">
        <v>2058</v>
      </c>
      <c r="H983" s="3" t="s">
        <v>1708</v>
      </c>
      <c r="I983" s="3">
        <v>7</v>
      </c>
      <c r="J983" s="3" t="s">
        <v>14</v>
      </c>
      <c r="K983" s="3" t="s">
        <v>95</v>
      </c>
      <c r="L983" s="3" t="s">
        <v>95</v>
      </c>
      <c r="M983" s="3" t="s">
        <v>5211</v>
      </c>
      <c r="N983" s="3" t="s">
        <v>399</v>
      </c>
      <c r="O983" s="3" t="s">
        <v>21</v>
      </c>
      <c r="P983" s="3" t="s">
        <v>196</v>
      </c>
      <c r="Q983" s="3" t="s">
        <v>608</v>
      </c>
      <c r="R983" s="3">
        <v>3</v>
      </c>
      <c r="S983" s="3">
        <v>19869.13</v>
      </c>
      <c r="T983" s="3">
        <v>10</v>
      </c>
      <c r="U983" s="3">
        <v>53646.65</v>
      </c>
      <c r="V983" s="3">
        <v>35650.199999999997</v>
      </c>
      <c r="W983" s="3">
        <v>17996.45</v>
      </c>
      <c r="X983" s="3">
        <v>33.549999999999997</v>
      </c>
      <c r="Y983" s="3">
        <v>99</v>
      </c>
      <c r="Z983" s="3" t="s">
        <v>23</v>
      </c>
      <c r="AA983" s="3" t="s">
        <v>100</v>
      </c>
      <c r="AB983" s="3" t="s">
        <v>101</v>
      </c>
      <c r="AC983" s="3">
        <v>2</v>
      </c>
    </row>
    <row r="984" spans="1:29" x14ac:dyDescent="0.3">
      <c r="A984" s="2" t="s">
        <v>5212</v>
      </c>
      <c r="B984" s="2" t="s">
        <v>5213</v>
      </c>
      <c r="C984" s="2" t="s">
        <v>2090</v>
      </c>
      <c r="D984" s="2" t="s">
        <v>5214</v>
      </c>
      <c r="E984" s="2" t="s">
        <v>42</v>
      </c>
      <c r="F984" s="2" t="s">
        <v>3316</v>
      </c>
      <c r="G984" s="2" t="s">
        <v>2385</v>
      </c>
      <c r="H984" s="2" t="s">
        <v>3871</v>
      </c>
      <c r="I984" s="2">
        <v>5</v>
      </c>
      <c r="J984" s="2" t="s">
        <v>22</v>
      </c>
      <c r="K984" s="2" t="s">
        <v>443</v>
      </c>
      <c r="L984" s="2" t="s">
        <v>567</v>
      </c>
      <c r="M984" s="2" t="s">
        <v>5215</v>
      </c>
      <c r="N984" s="2" t="s">
        <v>631</v>
      </c>
      <c r="O984" s="2" t="s">
        <v>19</v>
      </c>
      <c r="P984" s="2" t="s">
        <v>297</v>
      </c>
      <c r="Q984" s="2" t="s">
        <v>99</v>
      </c>
      <c r="R984" s="2">
        <v>5</v>
      </c>
      <c r="S984" s="2">
        <v>22936.37</v>
      </c>
      <c r="T984" s="2">
        <v>5</v>
      </c>
      <c r="U984" s="2">
        <v>108947.76</v>
      </c>
      <c r="V984" s="2">
        <v>55908.95</v>
      </c>
      <c r="W984" s="2">
        <v>53038.81</v>
      </c>
      <c r="X984" s="2">
        <v>48.68</v>
      </c>
      <c r="Y984" s="2">
        <v>99</v>
      </c>
      <c r="Z984" s="2" t="s">
        <v>30</v>
      </c>
      <c r="AA984" s="2" t="s">
        <v>100</v>
      </c>
      <c r="AB984" s="2" t="s">
        <v>101</v>
      </c>
      <c r="AC984" s="2"/>
    </row>
    <row r="985" spans="1:29" x14ac:dyDescent="0.3">
      <c r="A985" s="3" t="s">
        <v>5216</v>
      </c>
      <c r="B985" s="3" t="s">
        <v>5217</v>
      </c>
      <c r="C985" s="3" t="s">
        <v>666</v>
      </c>
      <c r="D985" s="3" t="s">
        <v>5218</v>
      </c>
      <c r="E985" s="3" t="s">
        <v>26</v>
      </c>
      <c r="F985" s="3" t="s">
        <v>728</v>
      </c>
      <c r="G985" s="3" t="s">
        <v>2568</v>
      </c>
      <c r="H985" s="3" t="s">
        <v>1667</v>
      </c>
      <c r="I985" s="3">
        <v>8</v>
      </c>
      <c r="J985" s="3" t="s">
        <v>22</v>
      </c>
      <c r="K985" s="3" t="s">
        <v>254</v>
      </c>
      <c r="L985" s="3" t="s">
        <v>254</v>
      </c>
      <c r="M985" s="3" t="s">
        <v>5219</v>
      </c>
      <c r="N985" s="3" t="s">
        <v>112</v>
      </c>
      <c r="O985" s="3" t="s">
        <v>27</v>
      </c>
      <c r="P985" s="3" t="s">
        <v>113</v>
      </c>
      <c r="Q985" s="3" t="s">
        <v>400</v>
      </c>
      <c r="R985" s="3">
        <v>4</v>
      </c>
      <c r="S985" s="3">
        <v>28269.83</v>
      </c>
      <c r="T985" s="3">
        <v>15</v>
      </c>
      <c r="U985" s="3">
        <v>96117.42</v>
      </c>
      <c r="V985" s="3">
        <v>62716.87</v>
      </c>
      <c r="W985" s="3">
        <v>33400.550000000003</v>
      </c>
      <c r="X985" s="3">
        <v>34.75</v>
      </c>
      <c r="Y985" s="3">
        <v>49</v>
      </c>
      <c r="Z985" s="3" t="s">
        <v>15</v>
      </c>
      <c r="AA985" s="3" t="s">
        <v>100</v>
      </c>
      <c r="AB985" s="3" t="s">
        <v>101</v>
      </c>
      <c r="AC985" s="3">
        <v>2</v>
      </c>
    </row>
    <row r="986" spans="1:29" x14ac:dyDescent="0.3">
      <c r="A986" s="2" t="s">
        <v>5220</v>
      </c>
      <c r="B986" s="2" t="s">
        <v>5221</v>
      </c>
      <c r="C986" s="2" t="s">
        <v>1085</v>
      </c>
      <c r="D986" s="2" t="s">
        <v>5222</v>
      </c>
      <c r="E986" s="2" t="s">
        <v>33</v>
      </c>
      <c r="F986" s="2" t="s">
        <v>684</v>
      </c>
      <c r="G986" s="2" t="s">
        <v>1984</v>
      </c>
      <c r="H986" s="2" t="s">
        <v>3181</v>
      </c>
      <c r="I986" s="2">
        <v>2</v>
      </c>
      <c r="J986" s="2" t="s">
        <v>29</v>
      </c>
      <c r="K986" s="2" t="s">
        <v>334</v>
      </c>
      <c r="L986" s="2" t="s">
        <v>614</v>
      </c>
      <c r="M986" s="2" t="s">
        <v>5223</v>
      </c>
      <c r="N986" s="2" t="s">
        <v>631</v>
      </c>
      <c r="O986" s="2" t="s">
        <v>19</v>
      </c>
      <c r="P986" s="2" t="s">
        <v>297</v>
      </c>
      <c r="Q986" s="2" t="s">
        <v>355</v>
      </c>
      <c r="R986" s="2">
        <v>2</v>
      </c>
      <c r="S986" s="2">
        <v>10383.56</v>
      </c>
      <c r="T986" s="2">
        <v>15</v>
      </c>
      <c r="U986" s="2">
        <v>17652.05</v>
      </c>
      <c r="V986" s="2">
        <v>8078.16</v>
      </c>
      <c r="W986" s="2">
        <v>9573.89</v>
      </c>
      <c r="X986" s="2">
        <v>54.24</v>
      </c>
      <c r="Y986" s="2">
        <v>199</v>
      </c>
      <c r="Z986" s="2" t="s">
        <v>48</v>
      </c>
      <c r="AA986" s="2" t="s">
        <v>100</v>
      </c>
      <c r="AB986" s="2" t="s">
        <v>101</v>
      </c>
      <c r="AC986" s="2">
        <v>3</v>
      </c>
    </row>
    <row r="987" spans="1:29" x14ac:dyDescent="0.3">
      <c r="A987" s="3" t="s">
        <v>5224</v>
      </c>
      <c r="B987" s="3" t="s">
        <v>5225</v>
      </c>
      <c r="C987" s="3" t="s">
        <v>1822</v>
      </c>
      <c r="D987" s="3" t="s">
        <v>5226</v>
      </c>
      <c r="E987" s="3" t="s">
        <v>42</v>
      </c>
      <c r="F987" s="3" t="s">
        <v>894</v>
      </c>
      <c r="G987" s="3" t="s">
        <v>380</v>
      </c>
      <c r="H987" s="3" t="s">
        <v>381</v>
      </c>
      <c r="I987" s="3">
        <v>7</v>
      </c>
      <c r="J987" s="3" t="s">
        <v>39</v>
      </c>
      <c r="K987" s="3" t="s">
        <v>324</v>
      </c>
      <c r="L987" s="3" t="s">
        <v>325</v>
      </c>
      <c r="M987" s="3" t="s">
        <v>5227</v>
      </c>
      <c r="N987" s="3" t="s">
        <v>112</v>
      </c>
      <c r="O987" s="3" t="s">
        <v>27</v>
      </c>
      <c r="P987" s="3" t="s">
        <v>113</v>
      </c>
      <c r="Q987" s="3" t="s">
        <v>197</v>
      </c>
      <c r="R987" s="3">
        <v>1</v>
      </c>
      <c r="S987" s="3">
        <v>6954.17</v>
      </c>
      <c r="T987" s="3">
        <v>10</v>
      </c>
      <c r="U987" s="3">
        <v>6258.75</v>
      </c>
      <c r="V987" s="3">
        <v>4109.28</v>
      </c>
      <c r="W987" s="3">
        <v>2149.4699999999998</v>
      </c>
      <c r="X987" s="3">
        <v>34.340000000000003</v>
      </c>
      <c r="Y987" s="3">
        <v>149</v>
      </c>
      <c r="Z987" s="3" t="s">
        <v>15</v>
      </c>
      <c r="AA987" s="3" t="s">
        <v>139</v>
      </c>
      <c r="AB987" s="3" t="s">
        <v>140</v>
      </c>
      <c r="AC987" s="3"/>
    </row>
    <row r="988" spans="1:29" x14ac:dyDescent="0.3">
      <c r="A988" s="2" t="s">
        <v>5228</v>
      </c>
      <c r="B988" s="2" t="s">
        <v>5229</v>
      </c>
      <c r="C988" s="2" t="s">
        <v>3250</v>
      </c>
      <c r="D988" s="2" t="s">
        <v>5230</v>
      </c>
      <c r="E988" s="2" t="s">
        <v>18</v>
      </c>
      <c r="F988" s="2" t="s">
        <v>802</v>
      </c>
      <c r="G988" s="2" t="s">
        <v>379</v>
      </c>
      <c r="H988" s="2" t="s">
        <v>1119</v>
      </c>
      <c r="I988" s="2">
        <v>8</v>
      </c>
      <c r="J988" s="2" t="s">
        <v>29</v>
      </c>
      <c r="K988" s="2" t="s">
        <v>334</v>
      </c>
      <c r="L988" s="2" t="s">
        <v>335</v>
      </c>
      <c r="M988" s="2" t="s">
        <v>3278</v>
      </c>
      <c r="N988" s="2" t="s">
        <v>163</v>
      </c>
      <c r="O988" s="2" t="s">
        <v>21</v>
      </c>
      <c r="P988" s="2" t="s">
        <v>126</v>
      </c>
      <c r="Q988" s="2" t="s">
        <v>152</v>
      </c>
      <c r="R988" s="2">
        <v>5</v>
      </c>
      <c r="S988" s="2">
        <v>21285.919999999998</v>
      </c>
      <c r="T988" s="2">
        <v>25</v>
      </c>
      <c r="U988" s="2">
        <v>79822.2</v>
      </c>
      <c r="V988" s="2">
        <v>50224.34</v>
      </c>
      <c r="W988" s="2">
        <v>29597.86</v>
      </c>
      <c r="X988" s="2">
        <v>37.08</v>
      </c>
      <c r="Y988" s="2">
        <v>149</v>
      </c>
      <c r="Z988" s="2" t="s">
        <v>47</v>
      </c>
      <c r="AA988" s="2" t="s">
        <v>275</v>
      </c>
      <c r="AB988" s="2" t="s">
        <v>101</v>
      </c>
      <c r="AC988" s="2"/>
    </row>
    <row r="989" spans="1:29" x14ac:dyDescent="0.3">
      <c r="A989" s="3" t="s">
        <v>5231</v>
      </c>
      <c r="B989" s="3" t="s">
        <v>5232</v>
      </c>
      <c r="C989" s="3" t="s">
        <v>1433</v>
      </c>
      <c r="D989" s="3" t="s">
        <v>5233</v>
      </c>
      <c r="E989" s="3" t="s">
        <v>33</v>
      </c>
      <c r="F989" s="3" t="s">
        <v>1494</v>
      </c>
      <c r="G989" s="3" t="s">
        <v>5234</v>
      </c>
      <c r="H989" s="3" t="s">
        <v>2836</v>
      </c>
      <c r="I989" s="3">
        <v>8</v>
      </c>
      <c r="J989" s="3" t="s">
        <v>14</v>
      </c>
      <c r="K989" s="3" t="s">
        <v>183</v>
      </c>
      <c r="L989" s="3" t="s">
        <v>183</v>
      </c>
      <c r="M989" s="3" t="s">
        <v>5235</v>
      </c>
      <c r="N989" s="3" t="s">
        <v>205</v>
      </c>
      <c r="O989" s="3" t="s">
        <v>21</v>
      </c>
      <c r="P989" s="3" t="s">
        <v>206</v>
      </c>
      <c r="Q989" s="3" t="s">
        <v>99</v>
      </c>
      <c r="R989" s="3">
        <v>5</v>
      </c>
      <c r="S989" s="3">
        <v>37995.43</v>
      </c>
      <c r="T989" s="3">
        <v>5</v>
      </c>
      <c r="U989" s="3">
        <v>180478.29</v>
      </c>
      <c r="V989" s="3">
        <v>84783.46</v>
      </c>
      <c r="W989" s="3">
        <v>95694.83</v>
      </c>
      <c r="X989" s="3">
        <v>53.02</v>
      </c>
      <c r="Y989" s="3">
        <v>0</v>
      </c>
      <c r="Z989" s="3" t="s">
        <v>48</v>
      </c>
      <c r="AA989" s="3" t="s">
        <v>100</v>
      </c>
      <c r="AB989" s="3" t="s">
        <v>101</v>
      </c>
      <c r="AC989" s="3">
        <v>3</v>
      </c>
    </row>
    <row r="990" spans="1:29" x14ac:dyDescent="0.3">
      <c r="A990" s="2" t="s">
        <v>5236</v>
      </c>
      <c r="B990" s="2" t="s">
        <v>5237</v>
      </c>
      <c r="C990" s="2" t="s">
        <v>469</v>
      </c>
      <c r="D990" s="2" t="s">
        <v>5238</v>
      </c>
      <c r="E990" s="2" t="s">
        <v>33</v>
      </c>
      <c r="F990" s="2" t="s">
        <v>1397</v>
      </c>
      <c r="G990" s="2" t="s">
        <v>350</v>
      </c>
      <c r="H990" s="2" t="s">
        <v>504</v>
      </c>
      <c r="I990" s="2">
        <v>5</v>
      </c>
      <c r="J990" s="2" t="s">
        <v>29</v>
      </c>
      <c r="K990" s="2" t="s">
        <v>148</v>
      </c>
      <c r="L990" s="2" t="s">
        <v>148</v>
      </c>
      <c r="M990" s="2" t="s">
        <v>2381</v>
      </c>
      <c r="N990" s="2" t="s">
        <v>136</v>
      </c>
      <c r="O990" s="2" t="s">
        <v>28</v>
      </c>
      <c r="P990" s="2" t="s">
        <v>137</v>
      </c>
      <c r="Q990" s="2" t="s">
        <v>287</v>
      </c>
      <c r="R990" s="2">
        <v>2</v>
      </c>
      <c r="S990" s="2">
        <v>42563.51</v>
      </c>
      <c r="T990" s="2">
        <v>20</v>
      </c>
      <c r="U990" s="2">
        <v>68101.62</v>
      </c>
      <c r="V990" s="2">
        <v>41368.9</v>
      </c>
      <c r="W990" s="2">
        <v>26732.720000000001</v>
      </c>
      <c r="X990" s="2">
        <v>39.25</v>
      </c>
      <c r="Y990" s="2">
        <v>49</v>
      </c>
      <c r="Z990" s="2" t="s">
        <v>30</v>
      </c>
      <c r="AA990" s="2" t="s">
        <v>100</v>
      </c>
      <c r="AB990" s="2" t="s">
        <v>101</v>
      </c>
      <c r="AC990" s="2">
        <v>2</v>
      </c>
    </row>
    <row r="991" spans="1:29" x14ac:dyDescent="0.3">
      <c r="A991" s="3" t="s">
        <v>5239</v>
      </c>
      <c r="B991" s="3" t="s">
        <v>5240</v>
      </c>
      <c r="C991" s="3" t="s">
        <v>912</v>
      </c>
      <c r="D991" s="3" t="s">
        <v>5241</v>
      </c>
      <c r="E991" s="3" t="s">
        <v>18</v>
      </c>
      <c r="F991" s="3" t="s">
        <v>2006</v>
      </c>
      <c r="G991" s="3" t="s">
        <v>2007</v>
      </c>
      <c r="H991" s="3" t="s">
        <v>3356</v>
      </c>
      <c r="I991" s="3">
        <v>7</v>
      </c>
      <c r="J991" s="3" t="s">
        <v>14</v>
      </c>
      <c r="K991" s="3" t="s">
        <v>215</v>
      </c>
      <c r="L991" s="3" t="s">
        <v>215</v>
      </c>
      <c r="M991" s="3" t="s">
        <v>5242</v>
      </c>
      <c r="N991" s="3" t="s">
        <v>1188</v>
      </c>
      <c r="O991" s="3" t="s">
        <v>27</v>
      </c>
      <c r="P991" s="3" t="s">
        <v>257</v>
      </c>
      <c r="Q991" s="3" t="s">
        <v>287</v>
      </c>
      <c r="R991" s="3">
        <v>2</v>
      </c>
      <c r="S991" s="3">
        <v>28997.26</v>
      </c>
      <c r="T991" s="3">
        <v>20</v>
      </c>
      <c r="U991" s="3">
        <v>46395.62</v>
      </c>
      <c r="V991" s="3">
        <v>26388.15</v>
      </c>
      <c r="W991" s="3">
        <v>20007.47</v>
      </c>
      <c r="X991" s="3">
        <v>43.12</v>
      </c>
      <c r="Y991" s="3">
        <v>149</v>
      </c>
      <c r="Z991" s="3" t="s">
        <v>40</v>
      </c>
      <c r="AA991" s="3" t="s">
        <v>672</v>
      </c>
      <c r="AB991" s="3" t="s">
        <v>101</v>
      </c>
      <c r="AC991" s="3"/>
    </row>
    <row r="992" spans="1:29" x14ac:dyDescent="0.3">
      <c r="A992" s="2" t="s">
        <v>5243</v>
      </c>
      <c r="B992" s="2" t="s">
        <v>5244</v>
      </c>
      <c r="C992" s="2" t="s">
        <v>603</v>
      </c>
      <c r="D992" s="2" t="s">
        <v>5245</v>
      </c>
      <c r="E992" s="2" t="s">
        <v>18</v>
      </c>
      <c r="F992" s="2" t="s">
        <v>4032</v>
      </c>
      <c r="G992" s="2" t="s">
        <v>252</v>
      </c>
      <c r="H992" s="2" t="s">
        <v>253</v>
      </c>
      <c r="I992" s="2">
        <v>6</v>
      </c>
      <c r="J992" s="2" t="s">
        <v>39</v>
      </c>
      <c r="K992" s="2" t="s">
        <v>193</v>
      </c>
      <c r="L992" s="2" t="s">
        <v>193</v>
      </c>
      <c r="M992" s="2" t="s">
        <v>5246</v>
      </c>
      <c r="N992" s="2" t="s">
        <v>185</v>
      </c>
      <c r="O992" s="2" t="s">
        <v>28</v>
      </c>
      <c r="P992" s="2" t="s">
        <v>151</v>
      </c>
      <c r="Q992" s="2" t="s">
        <v>287</v>
      </c>
      <c r="R992" s="2">
        <v>1</v>
      </c>
      <c r="S992" s="2">
        <v>17301.53</v>
      </c>
      <c r="T992" s="2">
        <v>25</v>
      </c>
      <c r="U992" s="2">
        <v>12976.15</v>
      </c>
      <c r="V992" s="2">
        <v>6269.92</v>
      </c>
      <c r="W992" s="2">
        <v>6706.23</v>
      </c>
      <c r="X992" s="2">
        <v>51.68</v>
      </c>
      <c r="Y992" s="2">
        <v>149</v>
      </c>
      <c r="Z992" s="2" t="s">
        <v>23</v>
      </c>
      <c r="AA992" s="2" t="s">
        <v>100</v>
      </c>
      <c r="AB992" s="2" t="s">
        <v>101</v>
      </c>
      <c r="AC992" s="2">
        <v>3</v>
      </c>
    </row>
    <row r="993" spans="1:29" x14ac:dyDescent="0.3">
      <c r="A993" s="3" t="s">
        <v>5247</v>
      </c>
      <c r="B993" s="3" t="s">
        <v>5248</v>
      </c>
      <c r="C993" s="3" t="s">
        <v>300</v>
      </c>
      <c r="D993" s="3" t="s">
        <v>5249</v>
      </c>
      <c r="E993" s="3" t="s">
        <v>26</v>
      </c>
      <c r="F993" s="3" t="s">
        <v>539</v>
      </c>
      <c r="G993" s="3" t="s">
        <v>540</v>
      </c>
      <c r="H993" s="3" t="s">
        <v>3885</v>
      </c>
      <c r="I993" s="3">
        <v>3</v>
      </c>
      <c r="J993" s="3" t="s">
        <v>22</v>
      </c>
      <c r="K993" s="3" t="s">
        <v>443</v>
      </c>
      <c r="L993" s="3" t="s">
        <v>498</v>
      </c>
      <c r="M993" s="3" t="s">
        <v>4177</v>
      </c>
      <c r="N993" s="3" t="s">
        <v>533</v>
      </c>
      <c r="O993" s="3" t="s">
        <v>19</v>
      </c>
      <c r="P993" s="3" t="s">
        <v>297</v>
      </c>
      <c r="Q993" s="3" t="s">
        <v>246</v>
      </c>
      <c r="R993" s="3">
        <v>4</v>
      </c>
      <c r="S993" s="3">
        <v>22468.41</v>
      </c>
      <c r="T993" s="3">
        <v>10</v>
      </c>
      <c r="U993" s="3">
        <v>80886.28</v>
      </c>
      <c r="V993" s="3">
        <v>39251.89</v>
      </c>
      <c r="W993" s="3">
        <v>41634.39</v>
      </c>
      <c r="X993" s="3">
        <v>51.47</v>
      </c>
      <c r="Y993" s="3">
        <v>99</v>
      </c>
      <c r="Z993" s="3" t="s">
        <v>30</v>
      </c>
      <c r="AA993" s="3" t="s">
        <v>100</v>
      </c>
      <c r="AB993" s="3" t="s">
        <v>101</v>
      </c>
      <c r="AC993" s="3">
        <v>4</v>
      </c>
    </row>
    <row r="994" spans="1:29" x14ac:dyDescent="0.3">
      <c r="A994" s="2" t="s">
        <v>5250</v>
      </c>
      <c r="B994" s="2" t="s">
        <v>5251</v>
      </c>
      <c r="C994" s="2" t="s">
        <v>1782</v>
      </c>
      <c r="D994" s="2" t="s">
        <v>4914</v>
      </c>
      <c r="E994" s="2" t="s">
        <v>33</v>
      </c>
      <c r="F994" s="2" t="s">
        <v>3331</v>
      </c>
      <c r="G994" s="2" t="s">
        <v>2192</v>
      </c>
      <c r="H994" s="2" t="s">
        <v>1034</v>
      </c>
      <c r="I994" s="2">
        <v>5</v>
      </c>
      <c r="J994" s="2" t="s">
        <v>29</v>
      </c>
      <c r="K994" s="2" t="s">
        <v>427</v>
      </c>
      <c r="L994" s="2" t="s">
        <v>1871</v>
      </c>
      <c r="M994" s="2" t="s">
        <v>5252</v>
      </c>
      <c r="N994" s="2" t="s">
        <v>484</v>
      </c>
      <c r="O994" s="2" t="s">
        <v>13</v>
      </c>
      <c r="P994" s="2" t="s">
        <v>98</v>
      </c>
      <c r="Q994" s="2" t="s">
        <v>207</v>
      </c>
      <c r="R994" s="2">
        <v>3</v>
      </c>
      <c r="S994" s="2">
        <v>38536.92</v>
      </c>
      <c r="T994" s="2">
        <v>30</v>
      </c>
      <c r="U994" s="2">
        <v>80927.53</v>
      </c>
      <c r="V994" s="2">
        <v>56350.68</v>
      </c>
      <c r="W994" s="2">
        <v>24576.85</v>
      </c>
      <c r="X994" s="2">
        <v>30.37</v>
      </c>
      <c r="Y994" s="2">
        <v>0</v>
      </c>
      <c r="Z994" s="2" t="s">
        <v>43</v>
      </c>
      <c r="AA994" s="2" t="s">
        <v>100</v>
      </c>
      <c r="AB994" s="2" t="s">
        <v>101</v>
      </c>
      <c r="AC994" s="2">
        <v>1</v>
      </c>
    </row>
    <row r="995" spans="1:29" x14ac:dyDescent="0.3">
      <c r="A995" s="3" t="s">
        <v>5253</v>
      </c>
      <c r="B995" s="3" t="s">
        <v>5254</v>
      </c>
      <c r="C995" s="3" t="s">
        <v>3903</v>
      </c>
      <c r="D995" s="3" t="s">
        <v>5255</v>
      </c>
      <c r="E995" s="3" t="s">
        <v>42</v>
      </c>
      <c r="F995" s="3" t="s">
        <v>2226</v>
      </c>
      <c r="G995" s="3" t="s">
        <v>1622</v>
      </c>
      <c r="H995" s="3" t="s">
        <v>580</v>
      </c>
      <c r="I995" s="3">
        <v>2</v>
      </c>
      <c r="J995" s="3" t="s">
        <v>14</v>
      </c>
      <c r="K995" s="3" t="s">
        <v>183</v>
      </c>
      <c r="L995" s="3" t="s">
        <v>183</v>
      </c>
      <c r="M995" s="3" t="s">
        <v>5256</v>
      </c>
      <c r="N995" s="3" t="s">
        <v>616</v>
      </c>
      <c r="O995" s="3" t="s">
        <v>21</v>
      </c>
      <c r="P995" s="3" t="s">
        <v>206</v>
      </c>
      <c r="Q995" s="3" t="s">
        <v>355</v>
      </c>
      <c r="R995" s="3">
        <v>4</v>
      </c>
      <c r="S995" s="3">
        <v>34921.949999999997</v>
      </c>
      <c r="T995" s="3">
        <v>0</v>
      </c>
      <c r="U995" s="3">
        <v>139687.79999999999</v>
      </c>
      <c r="V995" s="3">
        <v>86560.86</v>
      </c>
      <c r="W995" s="3">
        <v>53126.94</v>
      </c>
      <c r="X995" s="3">
        <v>38.03</v>
      </c>
      <c r="Y995" s="3">
        <v>0</v>
      </c>
      <c r="Z995" s="3" t="s">
        <v>48</v>
      </c>
      <c r="AA995" s="3" t="s">
        <v>275</v>
      </c>
      <c r="AB995" s="3" t="s">
        <v>101</v>
      </c>
      <c r="AC995" s="3"/>
    </row>
    <row r="996" spans="1:29" x14ac:dyDescent="0.3">
      <c r="A996" s="2" t="s">
        <v>5257</v>
      </c>
      <c r="B996" s="2" t="s">
        <v>5258</v>
      </c>
      <c r="C996" s="2" t="s">
        <v>377</v>
      </c>
      <c r="D996" s="2" t="s">
        <v>5259</v>
      </c>
      <c r="E996" s="2" t="s">
        <v>18</v>
      </c>
      <c r="F996" s="2" t="s">
        <v>5260</v>
      </c>
      <c r="G996" s="2" t="s">
        <v>4181</v>
      </c>
      <c r="H996" s="2" t="s">
        <v>3256</v>
      </c>
      <c r="I996" s="2">
        <v>7</v>
      </c>
      <c r="J996" s="2" t="s">
        <v>14</v>
      </c>
      <c r="K996" s="2" t="s">
        <v>171</v>
      </c>
      <c r="L996" s="2" t="s">
        <v>541</v>
      </c>
      <c r="M996" s="2" t="s">
        <v>5261</v>
      </c>
      <c r="N996" s="2" t="s">
        <v>97</v>
      </c>
      <c r="O996" s="2" t="s">
        <v>13</v>
      </c>
      <c r="P996" s="2" t="s">
        <v>98</v>
      </c>
      <c r="Q996" s="2" t="s">
        <v>400</v>
      </c>
      <c r="R996" s="2">
        <v>4</v>
      </c>
      <c r="S996" s="2">
        <v>9555.44</v>
      </c>
      <c r="T996" s="2">
        <v>15</v>
      </c>
      <c r="U996" s="2">
        <v>32488.5</v>
      </c>
      <c r="V996" s="2">
        <v>16016.32</v>
      </c>
      <c r="W996" s="2">
        <v>16472.18</v>
      </c>
      <c r="X996" s="2">
        <v>50.7</v>
      </c>
      <c r="Y996" s="2">
        <v>49</v>
      </c>
      <c r="Z996" s="2" t="s">
        <v>23</v>
      </c>
      <c r="AA996" s="2" t="s">
        <v>100</v>
      </c>
      <c r="AB996" s="2" t="s">
        <v>101</v>
      </c>
      <c r="AC996" s="2">
        <v>2</v>
      </c>
    </row>
    <row r="997" spans="1:29" x14ac:dyDescent="0.3">
      <c r="A997" s="3" t="s">
        <v>5262</v>
      </c>
      <c r="B997" s="3" t="s">
        <v>5263</v>
      </c>
      <c r="C997" s="3" t="s">
        <v>1011</v>
      </c>
      <c r="D997" s="3" t="s">
        <v>5264</v>
      </c>
      <c r="E997" s="3" t="s">
        <v>42</v>
      </c>
      <c r="F997" s="3" t="s">
        <v>4305</v>
      </c>
      <c r="G997" s="3" t="s">
        <v>2920</v>
      </c>
      <c r="H997" s="3" t="s">
        <v>1654</v>
      </c>
      <c r="I997" s="3">
        <v>3</v>
      </c>
      <c r="J997" s="3" t="s">
        <v>22</v>
      </c>
      <c r="K997" s="3" t="s">
        <v>254</v>
      </c>
      <c r="L997" s="3" t="s">
        <v>254</v>
      </c>
      <c r="M997" s="3" t="s">
        <v>5265</v>
      </c>
      <c r="N997" s="3" t="s">
        <v>256</v>
      </c>
      <c r="O997" s="3" t="s">
        <v>27</v>
      </c>
      <c r="P997" s="3" t="s">
        <v>257</v>
      </c>
      <c r="Q997" s="3" t="s">
        <v>218</v>
      </c>
      <c r="R997" s="3">
        <v>3</v>
      </c>
      <c r="S997" s="3">
        <v>10039.23</v>
      </c>
      <c r="T997" s="3">
        <v>0</v>
      </c>
      <c r="U997" s="3">
        <v>30117.69</v>
      </c>
      <c r="V997" s="3">
        <v>15615.23</v>
      </c>
      <c r="W997" s="3">
        <v>14502.46</v>
      </c>
      <c r="X997" s="3">
        <v>48.15</v>
      </c>
      <c r="Y997" s="3">
        <v>49</v>
      </c>
      <c r="Z997" s="3" t="s">
        <v>47</v>
      </c>
      <c r="AA997" s="3" t="s">
        <v>100</v>
      </c>
      <c r="AB997" s="3" t="s">
        <v>101</v>
      </c>
      <c r="AC997" s="3">
        <v>4</v>
      </c>
    </row>
    <row r="998" spans="1:29" x14ac:dyDescent="0.3">
      <c r="A998" s="2" t="s">
        <v>5266</v>
      </c>
      <c r="B998" s="2" t="s">
        <v>5267</v>
      </c>
      <c r="C998" s="2" t="s">
        <v>2291</v>
      </c>
      <c r="D998" s="2" t="s">
        <v>5268</v>
      </c>
      <c r="E998" s="2" t="s">
        <v>18</v>
      </c>
      <c r="F998" s="2" t="s">
        <v>2905</v>
      </c>
      <c r="G998" s="2" t="s">
        <v>180</v>
      </c>
      <c r="H998" s="2" t="s">
        <v>736</v>
      </c>
      <c r="I998" s="2">
        <v>6</v>
      </c>
      <c r="J998" s="2" t="s">
        <v>39</v>
      </c>
      <c r="K998" s="2" t="s">
        <v>225</v>
      </c>
      <c r="L998" s="2" t="s">
        <v>225</v>
      </c>
      <c r="M998" s="2" t="s">
        <v>1745</v>
      </c>
      <c r="N998" s="2" t="s">
        <v>931</v>
      </c>
      <c r="O998" s="2" t="s">
        <v>13</v>
      </c>
      <c r="P998" s="2" t="s">
        <v>419</v>
      </c>
      <c r="Q998" s="2" t="s">
        <v>355</v>
      </c>
      <c r="R998" s="2">
        <v>5</v>
      </c>
      <c r="S998" s="2">
        <v>38588.81</v>
      </c>
      <c r="T998" s="2">
        <v>5</v>
      </c>
      <c r="U998" s="2">
        <v>183296.85</v>
      </c>
      <c r="V998" s="2">
        <v>100025.14</v>
      </c>
      <c r="W998" s="2">
        <v>83271.710000000006</v>
      </c>
      <c r="X998" s="2">
        <v>45.43</v>
      </c>
      <c r="Y998" s="2">
        <v>29</v>
      </c>
      <c r="Z998" s="2" t="s">
        <v>15</v>
      </c>
      <c r="AA998" s="2" t="s">
        <v>100</v>
      </c>
      <c r="AB998" s="2" t="s">
        <v>101</v>
      </c>
      <c r="AC998" s="2">
        <v>2</v>
      </c>
    </row>
    <row r="999" spans="1:29" x14ac:dyDescent="0.3">
      <c r="A999" s="3" t="s">
        <v>5269</v>
      </c>
      <c r="B999" s="3" t="s">
        <v>1892</v>
      </c>
      <c r="C999" s="3" t="s">
        <v>1217</v>
      </c>
      <c r="D999" s="3" t="s">
        <v>5270</v>
      </c>
      <c r="E999" s="3" t="s">
        <v>26</v>
      </c>
      <c r="F999" s="3" t="s">
        <v>573</v>
      </c>
      <c r="G999" s="3" t="s">
        <v>1459</v>
      </c>
      <c r="H999" s="3" t="s">
        <v>645</v>
      </c>
      <c r="I999" s="3">
        <v>7</v>
      </c>
      <c r="J999" s="3" t="s">
        <v>39</v>
      </c>
      <c r="K999" s="3" t="s">
        <v>109</v>
      </c>
      <c r="L999" s="3" t="s">
        <v>110</v>
      </c>
      <c r="M999" s="3" t="s">
        <v>4009</v>
      </c>
      <c r="N999" s="3" t="s">
        <v>750</v>
      </c>
      <c r="O999" s="3" t="s">
        <v>13</v>
      </c>
      <c r="P999" s="3" t="s">
        <v>419</v>
      </c>
      <c r="Q999" s="3" t="s">
        <v>218</v>
      </c>
      <c r="R999" s="3">
        <v>5</v>
      </c>
      <c r="S999" s="3">
        <v>23507.360000000001</v>
      </c>
      <c r="T999" s="3">
        <v>0</v>
      </c>
      <c r="U999" s="3">
        <v>117536.8</v>
      </c>
      <c r="V999" s="3">
        <v>75929.42</v>
      </c>
      <c r="W999" s="3">
        <v>41607.379999999997</v>
      </c>
      <c r="X999" s="3">
        <v>35.4</v>
      </c>
      <c r="Y999" s="3">
        <v>199</v>
      </c>
      <c r="Z999" s="3" t="s">
        <v>30</v>
      </c>
      <c r="AA999" s="3" t="s">
        <v>672</v>
      </c>
      <c r="AB999" s="3" t="s">
        <v>101</v>
      </c>
      <c r="AC999" s="3"/>
    </row>
    <row r="1000" spans="1:29" x14ac:dyDescent="0.3">
      <c r="A1000" s="2" t="s">
        <v>5271</v>
      </c>
      <c r="B1000" s="2" t="s">
        <v>5272</v>
      </c>
      <c r="C1000" s="2" t="s">
        <v>450</v>
      </c>
      <c r="D1000" s="2" t="s">
        <v>5273</v>
      </c>
      <c r="E1000" s="2" t="s">
        <v>26</v>
      </c>
      <c r="F1000" s="2" t="s">
        <v>5274</v>
      </c>
      <c r="G1000" s="2" t="s">
        <v>984</v>
      </c>
      <c r="H1000" s="2" t="s">
        <v>2944</v>
      </c>
      <c r="I1000" s="2">
        <v>5</v>
      </c>
      <c r="J1000" s="2" t="s">
        <v>39</v>
      </c>
      <c r="K1000" s="2" t="s">
        <v>225</v>
      </c>
      <c r="L1000" s="2" t="s">
        <v>225</v>
      </c>
      <c r="M1000" s="2" t="s">
        <v>5275</v>
      </c>
      <c r="N1000" s="2" t="s">
        <v>924</v>
      </c>
      <c r="O1000" s="2" t="s">
        <v>13</v>
      </c>
      <c r="P1000" s="2" t="s">
        <v>228</v>
      </c>
      <c r="Q1000" s="2" t="s">
        <v>355</v>
      </c>
      <c r="R1000" s="2">
        <v>5</v>
      </c>
      <c r="S1000" s="2">
        <v>36711.24</v>
      </c>
      <c r="T1000" s="2">
        <v>5</v>
      </c>
      <c r="U1000" s="2">
        <v>174378.39</v>
      </c>
      <c r="V1000" s="2">
        <v>84632.71</v>
      </c>
      <c r="W1000" s="2">
        <v>89745.68</v>
      </c>
      <c r="X1000" s="2">
        <v>51.47</v>
      </c>
      <c r="Y1000" s="2">
        <v>49</v>
      </c>
      <c r="Z1000" s="2" t="s">
        <v>47</v>
      </c>
      <c r="AA1000" s="2" t="s">
        <v>672</v>
      </c>
      <c r="AB1000" s="2" t="s">
        <v>101</v>
      </c>
      <c r="AC1000" s="2"/>
    </row>
    <row r="1001" spans="1:29" x14ac:dyDescent="0.3">
      <c r="A1001" s="3" t="s">
        <v>5276</v>
      </c>
      <c r="B1001" s="3" t="s">
        <v>5277</v>
      </c>
      <c r="C1001" s="3" t="s">
        <v>512</v>
      </c>
      <c r="D1001" s="3" t="s">
        <v>5241</v>
      </c>
      <c r="E1001" s="3" t="s">
        <v>26</v>
      </c>
      <c r="F1001" s="3" t="s">
        <v>1726</v>
      </c>
      <c r="G1001" s="3" t="s">
        <v>414</v>
      </c>
      <c r="H1001" s="3" t="s">
        <v>3698</v>
      </c>
      <c r="I1001" s="3">
        <v>6</v>
      </c>
      <c r="J1001" s="3" t="s">
        <v>29</v>
      </c>
      <c r="K1001" s="3" t="s">
        <v>834</v>
      </c>
      <c r="L1001" s="3" t="s">
        <v>835</v>
      </c>
      <c r="M1001" s="3" t="s">
        <v>5278</v>
      </c>
      <c r="N1001" s="3" t="s">
        <v>465</v>
      </c>
      <c r="O1001" s="3" t="s">
        <v>19</v>
      </c>
      <c r="P1001" s="3" t="s">
        <v>447</v>
      </c>
      <c r="Q1001" s="3" t="s">
        <v>608</v>
      </c>
      <c r="R1001" s="3">
        <v>1</v>
      </c>
      <c r="S1001" s="3">
        <v>12385.39</v>
      </c>
      <c r="T1001" s="3">
        <v>5</v>
      </c>
      <c r="U1001" s="3">
        <v>11766.12</v>
      </c>
      <c r="V1001" s="3">
        <v>6194.2</v>
      </c>
      <c r="W1001" s="3">
        <v>5571.92</v>
      </c>
      <c r="X1001" s="3">
        <v>47.36</v>
      </c>
      <c r="Y1001" s="3">
        <v>0</v>
      </c>
      <c r="Z1001" s="3" t="s">
        <v>47</v>
      </c>
      <c r="AA1001" s="3" t="s">
        <v>100</v>
      </c>
      <c r="AB1001" s="3" t="s">
        <v>101</v>
      </c>
      <c r="AC1001" s="3"/>
    </row>
    <row r="1002" spans="1:29" x14ac:dyDescent="0.3">
      <c r="A1002" s="2" t="s">
        <v>5279</v>
      </c>
      <c r="B1002" s="2" t="s">
        <v>5280</v>
      </c>
      <c r="C1002" s="2" t="s">
        <v>563</v>
      </c>
      <c r="D1002" s="2" t="s">
        <v>5281</v>
      </c>
      <c r="E1002" s="2" t="s">
        <v>33</v>
      </c>
      <c r="F1002" s="2" t="s">
        <v>93</v>
      </c>
      <c r="G1002" s="2" t="s">
        <v>5105</v>
      </c>
      <c r="H1002" s="2" t="s">
        <v>1154</v>
      </c>
      <c r="I1002" s="2">
        <v>4</v>
      </c>
      <c r="J1002" s="2" t="s">
        <v>14</v>
      </c>
      <c r="K1002" s="2" t="s">
        <v>183</v>
      </c>
      <c r="L1002" s="2" t="s">
        <v>183</v>
      </c>
      <c r="M1002" s="2" t="s">
        <v>5282</v>
      </c>
      <c r="N1002" s="2" t="s">
        <v>97</v>
      </c>
      <c r="O1002" s="2" t="s">
        <v>13</v>
      </c>
      <c r="P1002" s="2" t="s">
        <v>98</v>
      </c>
      <c r="Q1002" s="2" t="s">
        <v>114</v>
      </c>
      <c r="R1002" s="2">
        <v>3</v>
      </c>
      <c r="S1002" s="2">
        <v>33330.58</v>
      </c>
      <c r="T1002" s="2">
        <v>5</v>
      </c>
      <c r="U1002" s="2">
        <v>94992.15</v>
      </c>
      <c r="V1002" s="2">
        <v>51826.68</v>
      </c>
      <c r="W1002" s="2">
        <v>43165.47</v>
      </c>
      <c r="X1002" s="2">
        <v>45.44</v>
      </c>
      <c r="Y1002" s="2">
        <v>99</v>
      </c>
      <c r="Z1002" s="2" t="s">
        <v>48</v>
      </c>
      <c r="AA1002" s="2" t="s">
        <v>139</v>
      </c>
      <c r="AB1002" s="2" t="s">
        <v>140</v>
      </c>
      <c r="AC1002" s="2"/>
    </row>
    <row r="1003" spans="1:29" x14ac:dyDescent="0.3">
      <c r="A1003" s="3" t="s">
        <v>5283</v>
      </c>
      <c r="B1003" s="3" t="s">
        <v>5284</v>
      </c>
      <c r="C1003" s="3" t="s">
        <v>368</v>
      </c>
      <c r="D1003" s="3" t="s">
        <v>5285</v>
      </c>
      <c r="E1003" s="3" t="s">
        <v>18</v>
      </c>
      <c r="F1003" s="3" t="s">
        <v>2786</v>
      </c>
      <c r="G1003" s="3" t="s">
        <v>1148</v>
      </c>
      <c r="H1003" s="3" t="s">
        <v>5286</v>
      </c>
      <c r="I1003" s="3">
        <v>3</v>
      </c>
      <c r="J1003" s="3" t="s">
        <v>29</v>
      </c>
      <c r="K1003" s="3" t="s">
        <v>834</v>
      </c>
      <c r="L1003" s="3" t="s">
        <v>901</v>
      </c>
      <c r="M1003" s="3" t="s">
        <v>5287</v>
      </c>
      <c r="N1003" s="3" t="s">
        <v>296</v>
      </c>
      <c r="O1003" s="3" t="s">
        <v>19</v>
      </c>
      <c r="P1003" s="3" t="s">
        <v>297</v>
      </c>
      <c r="Q1003" s="3" t="s">
        <v>152</v>
      </c>
      <c r="R1003" s="3">
        <v>3</v>
      </c>
      <c r="S1003" s="3">
        <v>23792.51</v>
      </c>
      <c r="T1003" s="3">
        <v>0</v>
      </c>
      <c r="U1003" s="3">
        <v>71377.53</v>
      </c>
      <c r="V1003" s="3">
        <v>37468.36</v>
      </c>
      <c r="W1003" s="3">
        <v>33909.17</v>
      </c>
      <c r="X1003" s="3">
        <v>47.51</v>
      </c>
      <c r="Y1003" s="3">
        <v>49</v>
      </c>
      <c r="Z1003" s="3" t="s">
        <v>47</v>
      </c>
      <c r="AA1003" s="3" t="s">
        <v>100</v>
      </c>
      <c r="AB1003" s="3" t="s">
        <v>101</v>
      </c>
      <c r="AC1003" s="3">
        <v>3</v>
      </c>
    </row>
    <row r="1004" spans="1:29" x14ac:dyDescent="0.3">
      <c r="A1004" s="2" t="s">
        <v>5288</v>
      </c>
      <c r="B1004" s="2" t="s">
        <v>5289</v>
      </c>
      <c r="C1004" s="2" t="s">
        <v>1054</v>
      </c>
      <c r="D1004" s="2" t="s">
        <v>5290</v>
      </c>
      <c r="E1004" s="2" t="s">
        <v>26</v>
      </c>
      <c r="F1004" s="2" t="s">
        <v>1241</v>
      </c>
      <c r="G1004" s="2" t="s">
        <v>3651</v>
      </c>
      <c r="H1004" s="2" t="s">
        <v>1689</v>
      </c>
      <c r="I1004" s="2">
        <v>2</v>
      </c>
      <c r="J1004" s="2" t="s">
        <v>22</v>
      </c>
      <c r="K1004" s="2" t="s">
        <v>738</v>
      </c>
      <c r="L1004" s="2" t="s">
        <v>738</v>
      </c>
      <c r="M1004" s="2" t="s">
        <v>5291</v>
      </c>
      <c r="N1004" s="2" t="s">
        <v>686</v>
      </c>
      <c r="O1004" s="2" t="s">
        <v>13</v>
      </c>
      <c r="P1004" s="2" t="s">
        <v>228</v>
      </c>
      <c r="Q1004" s="2" t="s">
        <v>218</v>
      </c>
      <c r="R1004" s="2">
        <v>1</v>
      </c>
      <c r="S1004" s="2">
        <v>21962.2</v>
      </c>
      <c r="T1004" s="2">
        <v>10</v>
      </c>
      <c r="U1004" s="2">
        <v>19765.98</v>
      </c>
      <c r="V1004" s="2">
        <v>11182.78</v>
      </c>
      <c r="W1004" s="2">
        <v>8583.2000000000007</v>
      </c>
      <c r="X1004" s="2">
        <v>43.42</v>
      </c>
      <c r="Y1004" s="2">
        <v>99</v>
      </c>
      <c r="Z1004" s="2" t="s">
        <v>43</v>
      </c>
      <c r="AA1004" s="2" t="s">
        <v>139</v>
      </c>
      <c r="AB1004" s="2" t="s">
        <v>140</v>
      </c>
      <c r="AC1004" s="2"/>
    </row>
    <row r="1005" spans="1:29" x14ac:dyDescent="0.3">
      <c r="A1005" s="3" t="s">
        <v>5292</v>
      </c>
      <c r="B1005" s="3" t="s">
        <v>5293</v>
      </c>
      <c r="C1005" s="3" t="s">
        <v>478</v>
      </c>
      <c r="D1005" s="3" t="s">
        <v>5294</v>
      </c>
      <c r="E1005" s="3" t="s">
        <v>33</v>
      </c>
      <c r="F1005" s="3" t="s">
        <v>5295</v>
      </c>
      <c r="G1005" s="3" t="s">
        <v>1212</v>
      </c>
      <c r="H1005" s="3" t="s">
        <v>131</v>
      </c>
      <c r="I1005" s="3">
        <v>5</v>
      </c>
      <c r="J1005" s="3" t="s">
        <v>39</v>
      </c>
      <c r="K1005" s="3" t="s">
        <v>193</v>
      </c>
      <c r="L1005" s="3" t="s">
        <v>193</v>
      </c>
      <c r="M1005" s="3" t="s">
        <v>5296</v>
      </c>
      <c r="N1005" s="3" t="s">
        <v>722</v>
      </c>
      <c r="O1005" s="3" t="s">
        <v>27</v>
      </c>
      <c r="P1005" s="3" t="s">
        <v>175</v>
      </c>
      <c r="Q1005" s="3" t="s">
        <v>246</v>
      </c>
      <c r="R1005" s="3">
        <v>4</v>
      </c>
      <c r="S1005" s="3">
        <v>39671.86</v>
      </c>
      <c r="T1005" s="3">
        <v>20</v>
      </c>
      <c r="U1005" s="3">
        <v>126949.95</v>
      </c>
      <c r="V1005" s="3">
        <v>81951.8</v>
      </c>
      <c r="W1005" s="3">
        <v>44998.15</v>
      </c>
      <c r="X1005" s="3">
        <v>35.450000000000003</v>
      </c>
      <c r="Y1005" s="3">
        <v>99</v>
      </c>
      <c r="Z1005" s="3" t="s">
        <v>43</v>
      </c>
      <c r="AA1005" s="3" t="s">
        <v>275</v>
      </c>
      <c r="AB1005" s="3" t="s">
        <v>101</v>
      </c>
      <c r="AC1005" s="3"/>
    </row>
    <row r="1006" spans="1:29" x14ac:dyDescent="0.3">
      <c r="A1006" s="2" t="s">
        <v>5297</v>
      </c>
      <c r="B1006" s="2" t="s">
        <v>5298</v>
      </c>
      <c r="C1006" s="2" t="s">
        <v>1730</v>
      </c>
      <c r="D1006" s="2" t="s">
        <v>5299</v>
      </c>
      <c r="E1006" s="2" t="s">
        <v>33</v>
      </c>
      <c r="F1006" s="2" t="s">
        <v>795</v>
      </c>
      <c r="G1006" s="2" t="s">
        <v>2593</v>
      </c>
      <c r="H1006" s="2" t="s">
        <v>530</v>
      </c>
      <c r="I1006" s="2">
        <v>4</v>
      </c>
      <c r="J1006" s="2" t="s">
        <v>22</v>
      </c>
      <c r="K1006" s="2" t="s">
        <v>443</v>
      </c>
      <c r="L1006" s="2" t="s">
        <v>498</v>
      </c>
      <c r="M1006" s="2" t="s">
        <v>5300</v>
      </c>
      <c r="N1006" s="2" t="s">
        <v>889</v>
      </c>
      <c r="O1006" s="2" t="s">
        <v>27</v>
      </c>
      <c r="P1006" s="2" t="s">
        <v>257</v>
      </c>
      <c r="Q1006" s="2" t="s">
        <v>355</v>
      </c>
      <c r="R1006" s="2">
        <v>1</v>
      </c>
      <c r="S1006" s="2">
        <v>6724.64</v>
      </c>
      <c r="T1006" s="2">
        <v>25</v>
      </c>
      <c r="U1006" s="2">
        <v>5043.4799999999996</v>
      </c>
      <c r="V1006" s="2">
        <v>2905.89</v>
      </c>
      <c r="W1006" s="2">
        <v>2137.59</v>
      </c>
      <c r="X1006" s="2">
        <v>42.38</v>
      </c>
      <c r="Y1006" s="2">
        <v>99</v>
      </c>
      <c r="Z1006" s="2" t="s">
        <v>40</v>
      </c>
      <c r="AA1006" s="2" t="s">
        <v>672</v>
      </c>
      <c r="AB1006" s="2" t="s">
        <v>101</v>
      </c>
      <c r="AC1006" s="2"/>
    </row>
    <row r="1007" spans="1:29" x14ac:dyDescent="0.3">
      <c r="A1007" s="3" t="s">
        <v>5301</v>
      </c>
      <c r="B1007" s="3" t="s">
        <v>5302</v>
      </c>
      <c r="C1007" s="3" t="s">
        <v>1606</v>
      </c>
      <c r="D1007" s="3" t="s">
        <v>5303</v>
      </c>
      <c r="E1007" s="3" t="s">
        <v>42</v>
      </c>
      <c r="F1007" s="3" t="s">
        <v>1732</v>
      </c>
      <c r="G1007" s="3" t="s">
        <v>1733</v>
      </c>
      <c r="H1007" s="3" t="s">
        <v>5004</v>
      </c>
      <c r="I1007" s="3">
        <v>2</v>
      </c>
      <c r="J1007" s="3" t="s">
        <v>22</v>
      </c>
      <c r="K1007" s="3" t="s">
        <v>122</v>
      </c>
      <c r="L1007" s="3" t="s">
        <v>123</v>
      </c>
      <c r="M1007" s="3" t="s">
        <v>5304</v>
      </c>
      <c r="N1007" s="3" t="s">
        <v>374</v>
      </c>
      <c r="O1007" s="3" t="s">
        <v>21</v>
      </c>
      <c r="P1007" s="3" t="s">
        <v>196</v>
      </c>
      <c r="Q1007" s="3" t="s">
        <v>466</v>
      </c>
      <c r="R1007" s="3">
        <v>2</v>
      </c>
      <c r="S1007" s="3">
        <v>42352.13</v>
      </c>
      <c r="T1007" s="3">
        <v>10</v>
      </c>
      <c r="U1007" s="3">
        <v>76233.83</v>
      </c>
      <c r="V1007" s="3">
        <v>41960.81</v>
      </c>
      <c r="W1007" s="3">
        <v>34273.019999999997</v>
      </c>
      <c r="X1007" s="3">
        <v>44.96</v>
      </c>
      <c r="Y1007" s="3">
        <v>0</v>
      </c>
      <c r="Z1007" s="3" t="s">
        <v>30</v>
      </c>
      <c r="AA1007" s="3" t="s">
        <v>100</v>
      </c>
      <c r="AB1007" s="3" t="s">
        <v>101</v>
      </c>
      <c r="AC1007" s="3">
        <v>2</v>
      </c>
    </row>
    <row r="1008" spans="1:29" x14ac:dyDescent="0.3">
      <c r="A1008" s="2" t="s">
        <v>5305</v>
      </c>
      <c r="B1008" s="2" t="s">
        <v>5306</v>
      </c>
      <c r="C1008" s="2" t="s">
        <v>2882</v>
      </c>
      <c r="D1008" s="2" t="s">
        <v>5307</v>
      </c>
      <c r="E1008" s="2" t="s">
        <v>26</v>
      </c>
      <c r="F1008" s="2" t="s">
        <v>937</v>
      </c>
      <c r="G1008" s="2" t="s">
        <v>5308</v>
      </c>
      <c r="H1008" s="2" t="s">
        <v>3510</v>
      </c>
      <c r="I1008" s="2">
        <v>2</v>
      </c>
      <c r="J1008" s="2" t="s">
        <v>22</v>
      </c>
      <c r="K1008" s="2" t="s">
        <v>283</v>
      </c>
      <c r="L1008" s="2" t="s">
        <v>284</v>
      </c>
      <c r="M1008" s="2" t="s">
        <v>5309</v>
      </c>
      <c r="N1008" s="2" t="s">
        <v>518</v>
      </c>
      <c r="O1008" s="2" t="s">
        <v>19</v>
      </c>
      <c r="P1008" s="2" t="s">
        <v>365</v>
      </c>
      <c r="Q1008" s="2" t="s">
        <v>466</v>
      </c>
      <c r="R1008" s="2">
        <v>4</v>
      </c>
      <c r="S1008" s="2">
        <v>17403.349999999999</v>
      </c>
      <c r="T1008" s="2">
        <v>15</v>
      </c>
      <c r="U1008" s="2">
        <v>59171.39</v>
      </c>
      <c r="V1008" s="2">
        <v>35734.61</v>
      </c>
      <c r="W1008" s="2">
        <v>23436.78</v>
      </c>
      <c r="X1008" s="2">
        <v>39.61</v>
      </c>
      <c r="Y1008" s="2">
        <v>199</v>
      </c>
      <c r="Z1008" s="2" t="s">
        <v>48</v>
      </c>
      <c r="AA1008" s="2" t="s">
        <v>275</v>
      </c>
      <c r="AB1008" s="2" t="s">
        <v>140</v>
      </c>
      <c r="AC1008" s="2"/>
    </row>
    <row r="1009" spans="1:29" x14ac:dyDescent="0.3">
      <c r="A1009" s="3" t="s">
        <v>5310</v>
      </c>
      <c r="B1009" s="3" t="s">
        <v>5311</v>
      </c>
      <c r="C1009" s="3" t="s">
        <v>300</v>
      </c>
      <c r="D1009" s="3" t="s">
        <v>5312</v>
      </c>
      <c r="E1009" s="3" t="s">
        <v>26</v>
      </c>
      <c r="F1009" s="3" t="s">
        <v>4045</v>
      </c>
      <c r="G1009" s="3" t="s">
        <v>1435</v>
      </c>
      <c r="H1009" s="3" t="s">
        <v>3623</v>
      </c>
      <c r="I1009" s="3">
        <v>3</v>
      </c>
      <c r="J1009" s="3" t="s">
        <v>39</v>
      </c>
      <c r="K1009" s="3" t="s">
        <v>193</v>
      </c>
      <c r="L1009" s="3" t="s">
        <v>193</v>
      </c>
      <c r="M1009" s="3" t="s">
        <v>5313</v>
      </c>
      <c r="N1009" s="3" t="s">
        <v>3017</v>
      </c>
      <c r="O1009" s="3" t="s">
        <v>13</v>
      </c>
      <c r="P1009" s="3" t="s">
        <v>419</v>
      </c>
      <c r="Q1009" s="3" t="s">
        <v>400</v>
      </c>
      <c r="R1009" s="3">
        <v>1</v>
      </c>
      <c r="S1009" s="3">
        <v>21045.47</v>
      </c>
      <c r="T1009" s="3">
        <v>20</v>
      </c>
      <c r="U1009" s="3">
        <v>16836.38</v>
      </c>
      <c r="V1009" s="3">
        <v>9156.16</v>
      </c>
      <c r="W1009" s="3">
        <v>7680.22</v>
      </c>
      <c r="X1009" s="3">
        <v>45.62</v>
      </c>
      <c r="Y1009" s="3">
        <v>29</v>
      </c>
      <c r="Z1009" s="3" t="s">
        <v>15</v>
      </c>
      <c r="AA1009" s="3" t="s">
        <v>100</v>
      </c>
      <c r="AB1009" s="3" t="s">
        <v>101</v>
      </c>
      <c r="AC1009" s="3"/>
    </row>
    <row r="1010" spans="1:29" x14ac:dyDescent="0.3">
      <c r="A1010" s="2" t="s">
        <v>5314</v>
      </c>
      <c r="B1010" s="2" t="s">
        <v>129</v>
      </c>
      <c r="C1010" s="2" t="s">
        <v>1737</v>
      </c>
      <c r="D1010" s="2" t="s">
        <v>5315</v>
      </c>
      <c r="E1010" s="2" t="s">
        <v>33</v>
      </c>
      <c r="F1010" s="2" t="s">
        <v>281</v>
      </c>
      <c r="G1010" s="2" t="s">
        <v>1913</v>
      </c>
      <c r="H1010" s="2" t="s">
        <v>3618</v>
      </c>
      <c r="I1010" s="2">
        <v>2</v>
      </c>
      <c r="J1010" s="2" t="s">
        <v>22</v>
      </c>
      <c r="K1010" s="2" t="s">
        <v>443</v>
      </c>
      <c r="L1010" s="2" t="s">
        <v>567</v>
      </c>
      <c r="M1010" s="2" t="s">
        <v>5316</v>
      </c>
      <c r="N1010" s="2" t="s">
        <v>150</v>
      </c>
      <c r="O1010" s="2" t="s">
        <v>28</v>
      </c>
      <c r="P1010" s="2" t="s">
        <v>151</v>
      </c>
      <c r="Q1010" s="2" t="s">
        <v>99</v>
      </c>
      <c r="R1010" s="2">
        <v>2</v>
      </c>
      <c r="S1010" s="2">
        <v>46864.59</v>
      </c>
      <c r="T1010" s="2">
        <v>10</v>
      </c>
      <c r="U1010" s="2">
        <v>84356.26</v>
      </c>
      <c r="V1010" s="2">
        <v>44173.67</v>
      </c>
      <c r="W1010" s="2">
        <v>40182.589999999997</v>
      </c>
      <c r="X1010" s="2">
        <v>47.63</v>
      </c>
      <c r="Y1010" s="2">
        <v>29</v>
      </c>
      <c r="Z1010" s="2" t="s">
        <v>15</v>
      </c>
      <c r="AA1010" s="2" t="s">
        <v>100</v>
      </c>
      <c r="AB1010" s="2" t="s">
        <v>101</v>
      </c>
      <c r="AC1010" s="2">
        <v>4</v>
      </c>
    </row>
    <row r="1011" spans="1:29" x14ac:dyDescent="0.3">
      <c r="A1011" s="3" t="s">
        <v>5317</v>
      </c>
      <c r="B1011" s="3" t="s">
        <v>5318</v>
      </c>
      <c r="C1011" s="3" t="s">
        <v>2067</v>
      </c>
      <c r="D1011" s="3" t="s">
        <v>5319</v>
      </c>
      <c r="E1011" s="3" t="s">
        <v>33</v>
      </c>
      <c r="F1011" s="3" t="s">
        <v>2385</v>
      </c>
      <c r="G1011" s="3" t="s">
        <v>4578</v>
      </c>
      <c r="H1011" s="3" t="s">
        <v>2387</v>
      </c>
      <c r="I1011" s="3">
        <v>5</v>
      </c>
      <c r="J1011" s="3" t="s">
        <v>14</v>
      </c>
      <c r="K1011" s="3" t="s">
        <v>95</v>
      </c>
      <c r="L1011" s="3" t="s">
        <v>95</v>
      </c>
      <c r="M1011" s="3" t="s">
        <v>5320</v>
      </c>
      <c r="N1011" s="3" t="s">
        <v>354</v>
      </c>
      <c r="O1011" s="3" t="s">
        <v>21</v>
      </c>
      <c r="P1011" s="3" t="s">
        <v>196</v>
      </c>
      <c r="Q1011" s="3" t="s">
        <v>400</v>
      </c>
      <c r="R1011" s="3">
        <v>3</v>
      </c>
      <c r="S1011" s="3">
        <v>41391.410000000003</v>
      </c>
      <c r="T1011" s="3">
        <v>30</v>
      </c>
      <c r="U1011" s="3">
        <v>86921.96</v>
      </c>
      <c r="V1011" s="3">
        <v>41019.67</v>
      </c>
      <c r="W1011" s="3">
        <v>45902.29</v>
      </c>
      <c r="X1011" s="3">
        <v>52.81</v>
      </c>
      <c r="Y1011" s="3">
        <v>0</v>
      </c>
      <c r="Z1011" s="3" t="s">
        <v>23</v>
      </c>
      <c r="AA1011" s="3" t="s">
        <v>186</v>
      </c>
      <c r="AB1011" s="3" t="s">
        <v>140</v>
      </c>
      <c r="AC1011" s="3"/>
    </row>
    <row r="1012" spans="1:29" x14ac:dyDescent="0.3">
      <c r="A1012" s="2" t="s">
        <v>5321</v>
      </c>
      <c r="B1012" s="2" t="s">
        <v>5322</v>
      </c>
      <c r="C1012" s="2" t="s">
        <v>707</v>
      </c>
      <c r="D1012" s="2" t="s">
        <v>5323</v>
      </c>
      <c r="E1012" s="2" t="s">
        <v>26</v>
      </c>
      <c r="F1012" s="2" t="s">
        <v>2467</v>
      </c>
      <c r="G1012" s="2" t="s">
        <v>2216</v>
      </c>
      <c r="H1012" s="2" t="s">
        <v>646</v>
      </c>
      <c r="I1012" s="2">
        <v>2</v>
      </c>
      <c r="J1012" s="2" t="s">
        <v>14</v>
      </c>
      <c r="K1012" s="2" t="s">
        <v>95</v>
      </c>
      <c r="L1012" s="2" t="s">
        <v>95</v>
      </c>
      <c r="M1012" s="2" t="s">
        <v>5324</v>
      </c>
      <c r="N1012" s="2" t="s">
        <v>484</v>
      </c>
      <c r="O1012" s="2" t="s">
        <v>13</v>
      </c>
      <c r="P1012" s="2" t="s">
        <v>98</v>
      </c>
      <c r="Q1012" s="2" t="s">
        <v>138</v>
      </c>
      <c r="R1012" s="2">
        <v>2</v>
      </c>
      <c r="S1012" s="2">
        <v>7805.66</v>
      </c>
      <c r="T1012" s="2">
        <v>10</v>
      </c>
      <c r="U1012" s="2">
        <v>14050.19</v>
      </c>
      <c r="V1012" s="2">
        <v>9225.84</v>
      </c>
      <c r="W1012" s="2">
        <v>4824.3500000000004</v>
      </c>
      <c r="X1012" s="2">
        <v>34.340000000000003</v>
      </c>
      <c r="Y1012" s="2">
        <v>0</v>
      </c>
      <c r="Z1012" s="2" t="s">
        <v>40</v>
      </c>
      <c r="AA1012" s="2" t="s">
        <v>100</v>
      </c>
      <c r="AB1012" s="2" t="s">
        <v>101</v>
      </c>
      <c r="AC1012" s="2">
        <v>1</v>
      </c>
    </row>
    <row r="1013" spans="1:29" x14ac:dyDescent="0.3">
      <c r="A1013" s="3" t="s">
        <v>5325</v>
      </c>
      <c r="B1013" s="3" t="s">
        <v>5326</v>
      </c>
      <c r="C1013" s="3" t="s">
        <v>1159</v>
      </c>
      <c r="D1013" s="3" t="s">
        <v>5327</v>
      </c>
      <c r="E1013" s="3" t="s">
        <v>26</v>
      </c>
      <c r="F1013" s="3" t="s">
        <v>2112</v>
      </c>
      <c r="G1013" s="3" t="s">
        <v>2968</v>
      </c>
      <c r="H1013" s="3" t="s">
        <v>1834</v>
      </c>
      <c r="I1013" s="3">
        <v>8</v>
      </c>
      <c r="J1013" s="3" t="s">
        <v>22</v>
      </c>
      <c r="K1013" s="3" t="s">
        <v>738</v>
      </c>
      <c r="L1013" s="3" t="s">
        <v>738</v>
      </c>
      <c r="M1013" s="3" t="s">
        <v>5328</v>
      </c>
      <c r="N1013" s="3" t="s">
        <v>931</v>
      </c>
      <c r="O1013" s="3" t="s">
        <v>13</v>
      </c>
      <c r="P1013" s="3" t="s">
        <v>419</v>
      </c>
      <c r="Q1013" s="3" t="s">
        <v>608</v>
      </c>
      <c r="R1013" s="3">
        <v>1</v>
      </c>
      <c r="S1013" s="3">
        <v>41339.760000000002</v>
      </c>
      <c r="T1013" s="3">
        <v>15</v>
      </c>
      <c r="U1013" s="3">
        <v>35138.800000000003</v>
      </c>
      <c r="V1013" s="3">
        <v>20661</v>
      </c>
      <c r="W1013" s="3">
        <v>14477.8</v>
      </c>
      <c r="X1013" s="3">
        <v>41.2</v>
      </c>
      <c r="Y1013" s="3">
        <v>49</v>
      </c>
      <c r="Z1013" s="3" t="s">
        <v>23</v>
      </c>
      <c r="AA1013" s="3" t="s">
        <v>100</v>
      </c>
      <c r="AB1013" s="3" t="s">
        <v>101</v>
      </c>
      <c r="AC1013" s="3">
        <v>5</v>
      </c>
    </row>
    <row r="1014" spans="1:29" x14ac:dyDescent="0.3">
      <c r="A1014" s="2" t="s">
        <v>5329</v>
      </c>
      <c r="B1014" s="2" t="s">
        <v>5330</v>
      </c>
      <c r="C1014" s="2" t="s">
        <v>2529</v>
      </c>
      <c r="D1014" s="2" t="s">
        <v>5331</v>
      </c>
      <c r="E1014" s="2" t="s">
        <v>18</v>
      </c>
      <c r="F1014" s="2" t="s">
        <v>3041</v>
      </c>
      <c r="G1014" s="2" t="s">
        <v>628</v>
      </c>
      <c r="H1014" s="2" t="s">
        <v>5332</v>
      </c>
      <c r="I1014" s="2">
        <v>3</v>
      </c>
      <c r="J1014" s="2" t="s">
        <v>29</v>
      </c>
      <c r="K1014" s="2" t="s">
        <v>160</v>
      </c>
      <c r="L1014" s="2" t="s">
        <v>559</v>
      </c>
      <c r="M1014" s="2" t="s">
        <v>5333</v>
      </c>
      <c r="N1014" s="2" t="s">
        <v>931</v>
      </c>
      <c r="O1014" s="2" t="s">
        <v>13</v>
      </c>
      <c r="P1014" s="2" t="s">
        <v>419</v>
      </c>
      <c r="Q1014" s="2" t="s">
        <v>138</v>
      </c>
      <c r="R1014" s="2">
        <v>3</v>
      </c>
      <c r="S1014" s="2">
        <v>23343.05</v>
      </c>
      <c r="T1014" s="2">
        <v>10</v>
      </c>
      <c r="U1014" s="2">
        <v>63026.23</v>
      </c>
      <c r="V1014" s="2">
        <v>31965.47</v>
      </c>
      <c r="W1014" s="2">
        <v>31060.76</v>
      </c>
      <c r="X1014" s="2">
        <v>49.28</v>
      </c>
      <c r="Y1014" s="2">
        <v>29</v>
      </c>
      <c r="Z1014" s="2" t="s">
        <v>40</v>
      </c>
      <c r="AA1014" s="2" t="s">
        <v>100</v>
      </c>
      <c r="AB1014" s="2" t="s">
        <v>101</v>
      </c>
      <c r="AC1014" s="2">
        <v>2</v>
      </c>
    </row>
    <row r="1015" spans="1:29" x14ac:dyDescent="0.3">
      <c r="A1015" s="3" t="s">
        <v>5334</v>
      </c>
      <c r="B1015" s="3" t="s">
        <v>5335</v>
      </c>
      <c r="C1015" s="3" t="s">
        <v>666</v>
      </c>
      <c r="D1015" s="3" t="s">
        <v>5336</v>
      </c>
      <c r="E1015" s="3" t="s">
        <v>42</v>
      </c>
      <c r="F1015" s="3" t="s">
        <v>1197</v>
      </c>
      <c r="G1015" s="3" t="s">
        <v>2831</v>
      </c>
      <c r="H1015" s="3" t="s">
        <v>1329</v>
      </c>
      <c r="I1015" s="3">
        <v>6</v>
      </c>
      <c r="J1015" s="3" t="s">
        <v>14</v>
      </c>
      <c r="K1015" s="3" t="s">
        <v>183</v>
      </c>
      <c r="L1015" s="3" t="s">
        <v>183</v>
      </c>
      <c r="M1015" s="3" t="s">
        <v>5337</v>
      </c>
      <c r="N1015" s="3" t="s">
        <v>316</v>
      </c>
      <c r="O1015" s="3" t="s">
        <v>28</v>
      </c>
      <c r="P1015" s="3" t="s">
        <v>137</v>
      </c>
      <c r="Q1015" s="3" t="s">
        <v>218</v>
      </c>
      <c r="R1015" s="3">
        <v>1</v>
      </c>
      <c r="S1015" s="3">
        <v>29832.9</v>
      </c>
      <c r="T1015" s="3">
        <v>15</v>
      </c>
      <c r="U1015" s="3">
        <v>25357.97</v>
      </c>
      <c r="V1015" s="3">
        <v>13359.67</v>
      </c>
      <c r="W1015" s="3">
        <v>11998.3</v>
      </c>
      <c r="X1015" s="3">
        <v>47.32</v>
      </c>
      <c r="Y1015" s="3">
        <v>0</v>
      </c>
      <c r="Z1015" s="3" t="s">
        <v>48</v>
      </c>
      <c r="AA1015" s="3" t="s">
        <v>100</v>
      </c>
      <c r="AB1015" s="3" t="s">
        <v>101</v>
      </c>
      <c r="AC1015" s="3">
        <v>3</v>
      </c>
    </row>
    <row r="1016" spans="1:29" x14ac:dyDescent="0.3">
      <c r="A1016" s="2" t="s">
        <v>5338</v>
      </c>
      <c r="B1016" s="2" t="s">
        <v>5339</v>
      </c>
      <c r="C1016" s="2" t="s">
        <v>980</v>
      </c>
      <c r="D1016" s="2" t="s">
        <v>5340</v>
      </c>
      <c r="E1016" s="2" t="s">
        <v>33</v>
      </c>
      <c r="F1016" s="2" t="s">
        <v>406</v>
      </c>
      <c r="G1016" s="2" t="s">
        <v>538</v>
      </c>
      <c r="H1016" s="2" t="s">
        <v>539</v>
      </c>
      <c r="I1016" s="2">
        <v>3</v>
      </c>
      <c r="J1016" s="2" t="s">
        <v>14</v>
      </c>
      <c r="K1016" s="2" t="s">
        <v>712</v>
      </c>
      <c r="L1016" s="2" t="s">
        <v>712</v>
      </c>
      <c r="M1016" s="2" t="s">
        <v>5341</v>
      </c>
      <c r="N1016" s="2" t="s">
        <v>409</v>
      </c>
      <c r="O1016" s="2" t="s">
        <v>21</v>
      </c>
      <c r="P1016" s="2" t="s">
        <v>196</v>
      </c>
      <c r="Q1016" s="2" t="s">
        <v>218</v>
      </c>
      <c r="R1016" s="2">
        <v>5</v>
      </c>
      <c r="S1016" s="2">
        <v>35984.65</v>
      </c>
      <c r="T1016" s="2">
        <v>5</v>
      </c>
      <c r="U1016" s="2">
        <v>170927.09</v>
      </c>
      <c r="V1016" s="2">
        <v>96419.63</v>
      </c>
      <c r="W1016" s="2">
        <v>74507.460000000006</v>
      </c>
      <c r="X1016" s="2">
        <v>43.59</v>
      </c>
      <c r="Y1016" s="2">
        <v>99</v>
      </c>
      <c r="Z1016" s="2" t="s">
        <v>40</v>
      </c>
      <c r="AA1016" s="2" t="s">
        <v>100</v>
      </c>
      <c r="AB1016" s="2" t="s">
        <v>101</v>
      </c>
      <c r="AC1016" s="2">
        <v>4</v>
      </c>
    </row>
    <row r="1017" spans="1:29" x14ac:dyDescent="0.3">
      <c r="A1017" s="3" t="s">
        <v>5342</v>
      </c>
      <c r="B1017" s="3" t="s">
        <v>5343</v>
      </c>
      <c r="C1017" s="3" t="s">
        <v>536</v>
      </c>
      <c r="D1017" s="3" t="s">
        <v>5344</v>
      </c>
      <c r="E1017" s="3" t="s">
        <v>33</v>
      </c>
      <c r="F1017" s="3" t="s">
        <v>3834</v>
      </c>
      <c r="G1017" s="3" t="s">
        <v>2222</v>
      </c>
      <c r="H1017" s="3" t="s">
        <v>3553</v>
      </c>
      <c r="I1017" s="3">
        <v>5</v>
      </c>
      <c r="J1017" s="3" t="s">
        <v>29</v>
      </c>
      <c r="K1017" s="3" t="s">
        <v>334</v>
      </c>
      <c r="L1017" s="3" t="s">
        <v>335</v>
      </c>
      <c r="M1017" s="3" t="s">
        <v>5345</v>
      </c>
      <c r="N1017" s="3" t="s">
        <v>3017</v>
      </c>
      <c r="O1017" s="3" t="s">
        <v>13</v>
      </c>
      <c r="P1017" s="3" t="s">
        <v>419</v>
      </c>
      <c r="Q1017" s="3" t="s">
        <v>197</v>
      </c>
      <c r="R1017" s="3">
        <v>5</v>
      </c>
      <c r="S1017" s="3">
        <v>29122.29</v>
      </c>
      <c r="T1017" s="3">
        <v>25</v>
      </c>
      <c r="U1017" s="3">
        <v>109208.59</v>
      </c>
      <c r="V1017" s="3">
        <v>64053.41</v>
      </c>
      <c r="W1017" s="3">
        <v>45155.18</v>
      </c>
      <c r="X1017" s="3">
        <v>41.35</v>
      </c>
      <c r="Y1017" s="3">
        <v>49</v>
      </c>
      <c r="Z1017" s="3" t="s">
        <v>40</v>
      </c>
      <c r="AA1017" s="3" t="s">
        <v>100</v>
      </c>
      <c r="AB1017" s="3" t="s">
        <v>101</v>
      </c>
      <c r="AC1017" s="3"/>
    </row>
    <row r="1018" spans="1:29" x14ac:dyDescent="0.3">
      <c r="A1018" s="2" t="s">
        <v>5346</v>
      </c>
      <c r="B1018" s="2" t="s">
        <v>5347</v>
      </c>
      <c r="C1018" s="2" t="s">
        <v>339</v>
      </c>
      <c r="D1018" s="2" t="s">
        <v>5348</v>
      </c>
      <c r="E1018" s="2" t="s">
        <v>42</v>
      </c>
      <c r="F1018" s="2" t="s">
        <v>2414</v>
      </c>
      <c r="G1018" s="2" t="s">
        <v>1617</v>
      </c>
      <c r="H1018" s="2" t="s">
        <v>1553</v>
      </c>
      <c r="I1018" s="2">
        <v>5</v>
      </c>
      <c r="J1018" s="2" t="s">
        <v>14</v>
      </c>
      <c r="K1018" s="2" t="s">
        <v>183</v>
      </c>
      <c r="L1018" s="2" t="s">
        <v>183</v>
      </c>
      <c r="M1018" s="2" t="s">
        <v>5349</v>
      </c>
      <c r="N1018" s="2" t="s">
        <v>1051</v>
      </c>
      <c r="O1018" s="2" t="s">
        <v>28</v>
      </c>
      <c r="P1018" s="2" t="s">
        <v>151</v>
      </c>
      <c r="Q1018" s="2" t="s">
        <v>99</v>
      </c>
      <c r="R1018" s="2">
        <v>4</v>
      </c>
      <c r="S1018" s="2">
        <v>9890.42</v>
      </c>
      <c r="T1018" s="2">
        <v>30</v>
      </c>
      <c r="U1018" s="2">
        <v>27693.18</v>
      </c>
      <c r="V1018" s="2">
        <v>12916.29</v>
      </c>
      <c r="W1018" s="2">
        <v>14776.89</v>
      </c>
      <c r="X1018" s="2">
        <v>53.36</v>
      </c>
      <c r="Y1018" s="2">
        <v>199</v>
      </c>
      <c r="Z1018" s="2" t="s">
        <v>23</v>
      </c>
      <c r="AA1018" s="2" t="s">
        <v>100</v>
      </c>
      <c r="AB1018" s="2" t="s">
        <v>101</v>
      </c>
      <c r="AC1018" s="2">
        <v>4</v>
      </c>
    </row>
    <row r="1019" spans="1:29" x14ac:dyDescent="0.3">
      <c r="A1019" s="3" t="s">
        <v>5350</v>
      </c>
      <c r="B1019" s="3" t="s">
        <v>5351</v>
      </c>
      <c r="C1019" s="3" t="s">
        <v>1233</v>
      </c>
      <c r="D1019" s="3" t="s">
        <v>5352</v>
      </c>
      <c r="E1019" s="3" t="s">
        <v>42</v>
      </c>
      <c r="F1019" s="3" t="s">
        <v>1385</v>
      </c>
      <c r="G1019" s="3" t="s">
        <v>1950</v>
      </c>
      <c r="H1019" s="3" t="s">
        <v>1966</v>
      </c>
      <c r="I1019" s="3">
        <v>5</v>
      </c>
      <c r="J1019" s="3" t="s">
        <v>22</v>
      </c>
      <c r="K1019" s="3" t="s">
        <v>443</v>
      </c>
      <c r="L1019" s="3" t="s">
        <v>498</v>
      </c>
      <c r="M1019" s="3" t="s">
        <v>5353</v>
      </c>
      <c r="N1019" s="3" t="s">
        <v>623</v>
      </c>
      <c r="O1019" s="3" t="s">
        <v>19</v>
      </c>
      <c r="P1019" s="3" t="s">
        <v>297</v>
      </c>
      <c r="Q1019" s="3" t="s">
        <v>127</v>
      </c>
      <c r="R1019" s="3">
        <v>4</v>
      </c>
      <c r="S1019" s="3">
        <v>10819.94</v>
      </c>
      <c r="T1019" s="3">
        <v>0</v>
      </c>
      <c r="U1019" s="3">
        <v>43279.76</v>
      </c>
      <c r="V1019" s="3">
        <v>23742.11</v>
      </c>
      <c r="W1019" s="3">
        <v>19537.650000000001</v>
      </c>
      <c r="X1019" s="3">
        <v>45.14</v>
      </c>
      <c r="Y1019" s="3">
        <v>199</v>
      </c>
      <c r="Z1019" s="3" t="s">
        <v>15</v>
      </c>
      <c r="AA1019" s="3" t="s">
        <v>100</v>
      </c>
      <c r="AB1019" s="3" t="s">
        <v>101</v>
      </c>
      <c r="AC1019" s="3">
        <v>3</v>
      </c>
    </row>
    <row r="1020" spans="1:29" x14ac:dyDescent="0.3">
      <c r="A1020" s="2" t="s">
        <v>5354</v>
      </c>
      <c r="B1020" s="2" t="s">
        <v>5355</v>
      </c>
      <c r="C1020" s="2" t="s">
        <v>104</v>
      </c>
      <c r="D1020" s="2" t="s">
        <v>5356</v>
      </c>
      <c r="E1020" s="2" t="s">
        <v>42</v>
      </c>
      <c r="F1020" s="2" t="s">
        <v>1785</v>
      </c>
      <c r="G1020" s="2" t="s">
        <v>858</v>
      </c>
      <c r="H1020" s="2" t="s">
        <v>887</v>
      </c>
      <c r="I1020" s="2">
        <v>7</v>
      </c>
      <c r="J1020" s="2" t="s">
        <v>39</v>
      </c>
      <c r="K1020" s="2" t="s">
        <v>225</v>
      </c>
      <c r="L1020" s="2" t="s">
        <v>225</v>
      </c>
      <c r="M1020" s="2" t="s">
        <v>5357</v>
      </c>
      <c r="N1020" s="2" t="s">
        <v>274</v>
      </c>
      <c r="O1020" s="2" t="s">
        <v>21</v>
      </c>
      <c r="P1020" s="2" t="s">
        <v>126</v>
      </c>
      <c r="Q1020" s="2" t="s">
        <v>608</v>
      </c>
      <c r="R1020" s="2">
        <v>4</v>
      </c>
      <c r="S1020" s="2">
        <v>17852.14</v>
      </c>
      <c r="T1020" s="2">
        <v>5</v>
      </c>
      <c r="U1020" s="2">
        <v>67838.13</v>
      </c>
      <c r="V1020" s="2">
        <v>35041.910000000003</v>
      </c>
      <c r="W1020" s="2">
        <v>32796.22</v>
      </c>
      <c r="X1020" s="2">
        <v>48.34</v>
      </c>
      <c r="Y1020" s="2">
        <v>149</v>
      </c>
      <c r="Z1020" s="2" t="s">
        <v>47</v>
      </c>
      <c r="AA1020" s="2" t="s">
        <v>100</v>
      </c>
      <c r="AB1020" s="2" t="s">
        <v>101</v>
      </c>
      <c r="AC1020" s="2"/>
    </row>
    <row r="1021" spans="1:29" x14ac:dyDescent="0.3">
      <c r="A1021" s="3" t="s">
        <v>5358</v>
      </c>
      <c r="B1021" s="3" t="s">
        <v>2647</v>
      </c>
      <c r="C1021" s="3" t="s">
        <v>339</v>
      </c>
      <c r="D1021" s="3" t="s">
        <v>5359</v>
      </c>
      <c r="E1021" s="3" t="s">
        <v>26</v>
      </c>
      <c r="F1021" s="3" t="s">
        <v>885</v>
      </c>
      <c r="G1021" s="3" t="s">
        <v>859</v>
      </c>
      <c r="H1021" s="3" t="s">
        <v>5360</v>
      </c>
      <c r="I1021" s="3">
        <v>5</v>
      </c>
      <c r="J1021" s="3" t="s">
        <v>29</v>
      </c>
      <c r="K1021" s="3" t="s">
        <v>834</v>
      </c>
      <c r="L1021" s="3" t="s">
        <v>901</v>
      </c>
      <c r="M1021" s="3" t="s">
        <v>5361</v>
      </c>
      <c r="N1021" s="3" t="s">
        <v>354</v>
      </c>
      <c r="O1021" s="3" t="s">
        <v>21</v>
      </c>
      <c r="P1021" s="3" t="s">
        <v>196</v>
      </c>
      <c r="Q1021" s="3" t="s">
        <v>509</v>
      </c>
      <c r="R1021" s="3">
        <v>1</v>
      </c>
      <c r="S1021" s="3">
        <v>1790.19</v>
      </c>
      <c r="T1021" s="3">
        <v>0</v>
      </c>
      <c r="U1021" s="3">
        <v>1790.19</v>
      </c>
      <c r="V1021" s="3">
        <v>1202.28</v>
      </c>
      <c r="W1021" s="3">
        <v>587.91</v>
      </c>
      <c r="X1021" s="3">
        <v>32.840000000000003</v>
      </c>
      <c r="Y1021" s="3">
        <v>29</v>
      </c>
      <c r="Z1021" s="3" t="s">
        <v>23</v>
      </c>
      <c r="AA1021" s="3" t="s">
        <v>100</v>
      </c>
      <c r="AB1021" s="3" t="s">
        <v>101</v>
      </c>
      <c r="AC1021" s="3">
        <v>3</v>
      </c>
    </row>
    <row r="1022" spans="1:29" x14ac:dyDescent="0.3">
      <c r="A1022" s="2" t="s">
        <v>5362</v>
      </c>
      <c r="B1022" s="2" t="s">
        <v>5363</v>
      </c>
      <c r="C1022" s="2" t="s">
        <v>3938</v>
      </c>
      <c r="D1022" s="2" t="s">
        <v>3343</v>
      </c>
      <c r="E1022" s="2" t="s">
        <v>42</v>
      </c>
      <c r="F1022" s="2" t="s">
        <v>312</v>
      </c>
      <c r="G1022" s="2" t="s">
        <v>3850</v>
      </c>
      <c r="H1022" s="2" t="s">
        <v>436</v>
      </c>
      <c r="I1022" s="2">
        <v>8</v>
      </c>
      <c r="J1022" s="2" t="s">
        <v>29</v>
      </c>
      <c r="K1022" s="2" t="s">
        <v>160</v>
      </c>
      <c r="L1022" s="2" t="s">
        <v>161</v>
      </c>
      <c r="M1022" s="2" t="s">
        <v>5364</v>
      </c>
      <c r="N1022" s="2" t="s">
        <v>648</v>
      </c>
      <c r="O1022" s="2" t="s">
        <v>27</v>
      </c>
      <c r="P1022" s="2" t="s">
        <v>113</v>
      </c>
      <c r="Q1022" s="2" t="s">
        <v>114</v>
      </c>
      <c r="R1022" s="2">
        <v>4</v>
      </c>
      <c r="S1022" s="2">
        <v>39843.57</v>
      </c>
      <c r="T1022" s="2">
        <v>5</v>
      </c>
      <c r="U1022" s="2">
        <v>151405.57</v>
      </c>
      <c r="V1022" s="2">
        <v>79661.350000000006</v>
      </c>
      <c r="W1022" s="2">
        <v>71744.22</v>
      </c>
      <c r="X1022" s="2">
        <v>47.39</v>
      </c>
      <c r="Y1022" s="2">
        <v>99</v>
      </c>
      <c r="Z1022" s="2" t="s">
        <v>48</v>
      </c>
      <c r="AA1022" s="2" t="s">
        <v>100</v>
      </c>
      <c r="AB1022" s="2" t="s">
        <v>140</v>
      </c>
      <c r="AC1022" s="2">
        <v>4</v>
      </c>
    </row>
    <row r="1023" spans="1:29" x14ac:dyDescent="0.3">
      <c r="A1023" s="3" t="s">
        <v>5365</v>
      </c>
      <c r="B1023" s="3" t="s">
        <v>5366</v>
      </c>
      <c r="C1023" s="3" t="s">
        <v>469</v>
      </c>
      <c r="D1023" s="3" t="s">
        <v>5367</v>
      </c>
      <c r="E1023" s="3" t="s">
        <v>42</v>
      </c>
      <c r="F1023" s="3" t="s">
        <v>755</v>
      </c>
      <c r="G1023" s="3" t="s">
        <v>4218</v>
      </c>
      <c r="H1023" s="3" t="s">
        <v>3115</v>
      </c>
      <c r="I1023" s="3">
        <v>8</v>
      </c>
      <c r="J1023" s="3" t="s">
        <v>14</v>
      </c>
      <c r="K1023" s="3" t="s">
        <v>712</v>
      </c>
      <c r="L1023" s="3" t="s">
        <v>712</v>
      </c>
      <c r="M1023" s="3" t="s">
        <v>5368</v>
      </c>
      <c r="N1023" s="3" t="s">
        <v>97</v>
      </c>
      <c r="O1023" s="3" t="s">
        <v>13</v>
      </c>
      <c r="P1023" s="3" t="s">
        <v>98</v>
      </c>
      <c r="Q1023" s="3" t="s">
        <v>355</v>
      </c>
      <c r="R1023" s="3">
        <v>1</v>
      </c>
      <c r="S1023" s="3">
        <v>3691.57</v>
      </c>
      <c r="T1023" s="3">
        <v>20</v>
      </c>
      <c r="U1023" s="3">
        <v>2953.26</v>
      </c>
      <c r="V1023" s="3">
        <v>1939.26</v>
      </c>
      <c r="W1023" s="3">
        <v>1014</v>
      </c>
      <c r="X1023" s="3">
        <v>34.33</v>
      </c>
      <c r="Y1023" s="3">
        <v>149</v>
      </c>
      <c r="Z1023" s="3" t="s">
        <v>47</v>
      </c>
      <c r="AA1023" s="3" t="s">
        <v>100</v>
      </c>
      <c r="AB1023" s="3" t="s">
        <v>101</v>
      </c>
      <c r="AC1023" s="3"/>
    </row>
    <row r="1024" spans="1:29" x14ac:dyDescent="0.3">
      <c r="A1024" s="2" t="s">
        <v>5369</v>
      </c>
      <c r="B1024" s="2" t="s">
        <v>5370</v>
      </c>
      <c r="C1024" s="2" t="s">
        <v>348</v>
      </c>
      <c r="D1024" s="2" t="s">
        <v>5371</v>
      </c>
      <c r="E1024" s="2" t="s">
        <v>26</v>
      </c>
      <c r="F1024" s="2" t="s">
        <v>3373</v>
      </c>
      <c r="G1024" s="2" t="s">
        <v>3378</v>
      </c>
      <c r="H1024" s="2" t="s">
        <v>2653</v>
      </c>
      <c r="I1024" s="2">
        <v>5</v>
      </c>
      <c r="J1024" s="2" t="s">
        <v>22</v>
      </c>
      <c r="K1024" s="2" t="s">
        <v>738</v>
      </c>
      <c r="L1024" s="2" t="s">
        <v>738</v>
      </c>
      <c r="M1024" s="2" t="s">
        <v>5372</v>
      </c>
      <c r="N1024" s="2" t="s">
        <v>399</v>
      </c>
      <c r="O1024" s="2" t="s">
        <v>21</v>
      </c>
      <c r="P1024" s="2" t="s">
        <v>196</v>
      </c>
      <c r="Q1024" s="2" t="s">
        <v>197</v>
      </c>
      <c r="R1024" s="2">
        <v>2</v>
      </c>
      <c r="S1024" s="2">
        <v>27455.06</v>
      </c>
      <c r="T1024" s="2">
        <v>5</v>
      </c>
      <c r="U1024" s="2">
        <v>52164.61</v>
      </c>
      <c r="V1024" s="2">
        <v>24127.15</v>
      </c>
      <c r="W1024" s="2">
        <v>28037.46</v>
      </c>
      <c r="X1024" s="2">
        <v>53.75</v>
      </c>
      <c r="Y1024" s="2">
        <v>49</v>
      </c>
      <c r="Z1024" s="2" t="s">
        <v>23</v>
      </c>
      <c r="AA1024" s="2" t="s">
        <v>100</v>
      </c>
      <c r="AB1024" s="2" t="s">
        <v>101</v>
      </c>
      <c r="AC1024" s="2">
        <v>2</v>
      </c>
    </row>
    <row r="1025" spans="1:29" x14ac:dyDescent="0.3">
      <c r="A1025" s="3" t="s">
        <v>5373</v>
      </c>
      <c r="B1025" s="3" t="s">
        <v>5374</v>
      </c>
      <c r="C1025" s="3" t="s">
        <v>1286</v>
      </c>
      <c r="D1025" s="3" t="s">
        <v>5375</v>
      </c>
      <c r="E1025" s="3" t="s">
        <v>42</v>
      </c>
      <c r="F1025" s="3" t="s">
        <v>598</v>
      </c>
      <c r="G1025" s="3" t="s">
        <v>2081</v>
      </c>
      <c r="H1025" s="3" t="s">
        <v>3286</v>
      </c>
      <c r="I1025" s="3">
        <v>7</v>
      </c>
      <c r="J1025" s="3" t="s">
        <v>22</v>
      </c>
      <c r="K1025" s="3" t="s">
        <v>283</v>
      </c>
      <c r="L1025" s="3" t="s">
        <v>284</v>
      </c>
      <c r="M1025" s="3" t="s">
        <v>5376</v>
      </c>
      <c r="N1025" s="3" t="s">
        <v>484</v>
      </c>
      <c r="O1025" s="3" t="s">
        <v>13</v>
      </c>
      <c r="P1025" s="3" t="s">
        <v>98</v>
      </c>
      <c r="Q1025" s="3" t="s">
        <v>218</v>
      </c>
      <c r="R1025" s="3">
        <v>4</v>
      </c>
      <c r="S1025" s="3">
        <v>32353.11</v>
      </c>
      <c r="T1025" s="3">
        <v>10</v>
      </c>
      <c r="U1025" s="3">
        <v>116471.2</v>
      </c>
      <c r="V1025" s="3">
        <v>71096.990000000005</v>
      </c>
      <c r="W1025" s="3">
        <v>45374.21</v>
      </c>
      <c r="X1025" s="3">
        <v>38.96</v>
      </c>
      <c r="Y1025" s="3">
        <v>49</v>
      </c>
      <c r="Z1025" s="3" t="s">
        <v>15</v>
      </c>
      <c r="AA1025" s="3" t="s">
        <v>100</v>
      </c>
      <c r="AB1025" s="3" t="s">
        <v>101</v>
      </c>
      <c r="AC1025" s="3">
        <v>2</v>
      </c>
    </row>
    <row r="1026" spans="1:29" x14ac:dyDescent="0.3">
      <c r="A1026" s="2" t="s">
        <v>5377</v>
      </c>
      <c r="B1026" s="2" t="s">
        <v>5378</v>
      </c>
      <c r="C1026" s="2" t="s">
        <v>3938</v>
      </c>
      <c r="D1026" s="2" t="s">
        <v>5379</v>
      </c>
      <c r="E1026" s="2" t="s">
        <v>18</v>
      </c>
      <c r="F1026" s="2" t="s">
        <v>4186</v>
      </c>
      <c r="G1026" s="2" t="s">
        <v>3252</v>
      </c>
      <c r="H1026" s="2" t="s">
        <v>371</v>
      </c>
      <c r="I1026" s="2">
        <v>6</v>
      </c>
      <c r="J1026" s="2" t="s">
        <v>39</v>
      </c>
      <c r="K1026" s="2" t="s">
        <v>324</v>
      </c>
      <c r="L1026" s="2" t="s">
        <v>1422</v>
      </c>
      <c r="M1026" s="2" t="s">
        <v>4097</v>
      </c>
      <c r="N1026" s="2" t="s">
        <v>112</v>
      </c>
      <c r="O1026" s="2" t="s">
        <v>27</v>
      </c>
      <c r="P1026" s="2" t="s">
        <v>113</v>
      </c>
      <c r="Q1026" s="2" t="s">
        <v>127</v>
      </c>
      <c r="R1026" s="2">
        <v>4</v>
      </c>
      <c r="S1026" s="2">
        <v>20917.25</v>
      </c>
      <c r="T1026" s="2">
        <v>15</v>
      </c>
      <c r="U1026" s="2">
        <v>71118.649999999994</v>
      </c>
      <c r="V1026" s="2">
        <v>43418.28</v>
      </c>
      <c r="W1026" s="2">
        <v>27700.37</v>
      </c>
      <c r="X1026" s="2">
        <v>38.950000000000003</v>
      </c>
      <c r="Y1026" s="2">
        <v>0</v>
      </c>
      <c r="Z1026" s="2" t="s">
        <v>47</v>
      </c>
      <c r="AA1026" s="2" t="s">
        <v>100</v>
      </c>
      <c r="AB1026" s="2" t="s">
        <v>101</v>
      </c>
      <c r="AC1026" s="2"/>
    </row>
    <row r="1027" spans="1:29" x14ac:dyDescent="0.3">
      <c r="A1027" s="3" t="s">
        <v>5380</v>
      </c>
      <c r="B1027" s="3" t="s">
        <v>5381</v>
      </c>
      <c r="C1027" s="3" t="s">
        <v>502</v>
      </c>
      <c r="D1027" s="3" t="s">
        <v>5382</v>
      </c>
      <c r="E1027" s="3" t="s">
        <v>26</v>
      </c>
      <c r="F1027" s="3" t="s">
        <v>94</v>
      </c>
      <c r="G1027" s="3" t="s">
        <v>843</v>
      </c>
      <c r="H1027" s="3" t="s">
        <v>831</v>
      </c>
      <c r="I1027" s="3">
        <v>7</v>
      </c>
      <c r="J1027" s="3" t="s">
        <v>14</v>
      </c>
      <c r="K1027" s="3" t="s">
        <v>215</v>
      </c>
      <c r="L1027" s="3" t="s">
        <v>215</v>
      </c>
      <c r="M1027" s="3" t="s">
        <v>5383</v>
      </c>
      <c r="N1027" s="3" t="s">
        <v>852</v>
      </c>
      <c r="O1027" s="3" t="s">
        <v>27</v>
      </c>
      <c r="P1027" s="3" t="s">
        <v>175</v>
      </c>
      <c r="Q1027" s="3" t="s">
        <v>114</v>
      </c>
      <c r="R1027" s="3">
        <v>5</v>
      </c>
      <c r="S1027" s="3">
        <v>162.85</v>
      </c>
      <c r="T1027" s="3">
        <v>25</v>
      </c>
      <c r="U1027" s="3">
        <v>610.69000000000005</v>
      </c>
      <c r="V1027" s="3">
        <v>377.77</v>
      </c>
      <c r="W1027" s="3">
        <v>232.92</v>
      </c>
      <c r="X1027" s="3">
        <v>38.14</v>
      </c>
      <c r="Y1027" s="3">
        <v>199</v>
      </c>
      <c r="Z1027" s="3" t="s">
        <v>40</v>
      </c>
      <c r="AA1027" s="3" t="s">
        <v>100</v>
      </c>
      <c r="AB1027" s="3" t="s">
        <v>101</v>
      </c>
      <c r="AC1027" s="3">
        <v>3</v>
      </c>
    </row>
    <row r="1028" spans="1:29" x14ac:dyDescent="0.3">
      <c r="A1028" s="2" t="s">
        <v>5384</v>
      </c>
      <c r="B1028" s="2" t="s">
        <v>5385</v>
      </c>
      <c r="C1028" s="2" t="s">
        <v>918</v>
      </c>
      <c r="D1028" s="2" t="s">
        <v>5386</v>
      </c>
      <c r="E1028" s="2" t="s">
        <v>33</v>
      </c>
      <c r="F1028" s="2" t="s">
        <v>2300</v>
      </c>
      <c r="G1028" s="2" t="s">
        <v>745</v>
      </c>
      <c r="H1028" s="2" t="s">
        <v>2301</v>
      </c>
      <c r="I1028" s="2">
        <v>5</v>
      </c>
      <c r="J1028" s="2" t="s">
        <v>29</v>
      </c>
      <c r="K1028" s="2" t="s">
        <v>334</v>
      </c>
      <c r="L1028" s="2" t="s">
        <v>614</v>
      </c>
      <c r="M1028" s="2" t="s">
        <v>5387</v>
      </c>
      <c r="N1028" s="2" t="s">
        <v>648</v>
      </c>
      <c r="O1028" s="2" t="s">
        <v>27</v>
      </c>
      <c r="P1028" s="2" t="s">
        <v>113</v>
      </c>
      <c r="Q1028" s="2" t="s">
        <v>509</v>
      </c>
      <c r="R1028" s="2">
        <v>1</v>
      </c>
      <c r="S1028" s="2">
        <v>11918.7</v>
      </c>
      <c r="T1028" s="2">
        <v>0</v>
      </c>
      <c r="U1028" s="2">
        <v>11918.7</v>
      </c>
      <c r="V1028" s="2">
        <v>7476.3</v>
      </c>
      <c r="W1028" s="2">
        <v>4442.3999999999996</v>
      </c>
      <c r="X1028" s="2">
        <v>37.270000000000003</v>
      </c>
      <c r="Y1028" s="2">
        <v>49</v>
      </c>
      <c r="Z1028" s="2" t="s">
        <v>15</v>
      </c>
      <c r="AA1028" s="2" t="s">
        <v>672</v>
      </c>
      <c r="AB1028" s="2" t="s">
        <v>101</v>
      </c>
      <c r="AC1028" s="2"/>
    </row>
    <row r="1029" spans="1:29" x14ac:dyDescent="0.3">
      <c r="A1029" s="3" t="s">
        <v>5388</v>
      </c>
      <c r="B1029" s="3" t="s">
        <v>5389</v>
      </c>
      <c r="C1029" s="3" t="s">
        <v>912</v>
      </c>
      <c r="D1029" s="3" t="s">
        <v>5390</v>
      </c>
      <c r="E1029" s="3" t="s">
        <v>18</v>
      </c>
      <c r="F1029" s="3" t="s">
        <v>3560</v>
      </c>
      <c r="G1029" s="3" t="s">
        <v>1185</v>
      </c>
      <c r="H1029" s="3" t="s">
        <v>1507</v>
      </c>
      <c r="I1029" s="3">
        <v>7</v>
      </c>
      <c r="J1029" s="3" t="s">
        <v>22</v>
      </c>
      <c r="K1029" s="3" t="s">
        <v>738</v>
      </c>
      <c r="L1029" s="3" t="s">
        <v>738</v>
      </c>
      <c r="M1029" s="3" t="s">
        <v>5391</v>
      </c>
      <c r="N1029" s="3" t="s">
        <v>125</v>
      </c>
      <c r="O1029" s="3" t="s">
        <v>21</v>
      </c>
      <c r="P1029" s="3" t="s">
        <v>126</v>
      </c>
      <c r="Q1029" s="3" t="s">
        <v>509</v>
      </c>
      <c r="R1029" s="3">
        <v>3</v>
      </c>
      <c r="S1029" s="3">
        <v>34827.75</v>
      </c>
      <c r="T1029" s="3">
        <v>10</v>
      </c>
      <c r="U1029" s="3">
        <v>94034.93</v>
      </c>
      <c r="V1029" s="3">
        <v>42680.15</v>
      </c>
      <c r="W1029" s="3">
        <v>51354.78</v>
      </c>
      <c r="X1029" s="3">
        <v>54.61</v>
      </c>
      <c r="Y1029" s="3">
        <v>199</v>
      </c>
      <c r="Z1029" s="3" t="s">
        <v>47</v>
      </c>
      <c r="AA1029" s="3" t="s">
        <v>275</v>
      </c>
      <c r="AB1029" s="3" t="s">
        <v>101</v>
      </c>
      <c r="AC1029" s="3"/>
    </row>
    <row r="1030" spans="1:29" x14ac:dyDescent="0.3">
      <c r="A1030" s="2" t="s">
        <v>5392</v>
      </c>
      <c r="B1030" s="2" t="s">
        <v>5393</v>
      </c>
      <c r="C1030" s="2" t="s">
        <v>1233</v>
      </c>
      <c r="D1030" s="2" t="s">
        <v>5394</v>
      </c>
      <c r="E1030" s="2" t="s">
        <v>26</v>
      </c>
      <c r="F1030" s="2" t="s">
        <v>825</v>
      </c>
      <c r="G1030" s="2" t="s">
        <v>350</v>
      </c>
      <c r="H1030" s="2" t="s">
        <v>826</v>
      </c>
      <c r="I1030" s="2">
        <v>4</v>
      </c>
      <c r="J1030" s="2" t="s">
        <v>14</v>
      </c>
      <c r="K1030" s="2" t="s">
        <v>712</v>
      </c>
      <c r="L1030" s="2" t="s">
        <v>712</v>
      </c>
      <c r="M1030" s="2" t="s">
        <v>1050</v>
      </c>
      <c r="N1030" s="2" t="s">
        <v>327</v>
      </c>
      <c r="O1030" s="2" t="s">
        <v>27</v>
      </c>
      <c r="P1030" s="2" t="s">
        <v>113</v>
      </c>
      <c r="Q1030" s="2" t="s">
        <v>246</v>
      </c>
      <c r="R1030" s="2">
        <v>2</v>
      </c>
      <c r="S1030" s="2">
        <v>4423.4799999999996</v>
      </c>
      <c r="T1030" s="2">
        <v>5</v>
      </c>
      <c r="U1030" s="2">
        <v>8404.61</v>
      </c>
      <c r="V1030" s="2">
        <v>5857.72</v>
      </c>
      <c r="W1030" s="2">
        <v>2546.89</v>
      </c>
      <c r="X1030" s="2">
        <v>30.3</v>
      </c>
      <c r="Y1030" s="2">
        <v>29</v>
      </c>
      <c r="Z1030" s="2" t="s">
        <v>40</v>
      </c>
      <c r="AA1030" s="2" t="s">
        <v>100</v>
      </c>
      <c r="AB1030" s="2" t="s">
        <v>101</v>
      </c>
      <c r="AC1030" s="2">
        <v>3</v>
      </c>
    </row>
    <row r="1031" spans="1:29" x14ac:dyDescent="0.3">
      <c r="A1031" s="3" t="s">
        <v>5395</v>
      </c>
      <c r="B1031" s="3" t="s">
        <v>5396</v>
      </c>
      <c r="C1031" s="3" t="s">
        <v>4171</v>
      </c>
      <c r="D1031" s="3" t="s">
        <v>5397</v>
      </c>
      <c r="E1031" s="3" t="s">
        <v>18</v>
      </c>
      <c r="F1031" s="3" t="s">
        <v>2320</v>
      </c>
      <c r="G1031" s="3" t="s">
        <v>2321</v>
      </c>
      <c r="H1031" s="3" t="s">
        <v>1494</v>
      </c>
      <c r="I1031" s="3">
        <v>2</v>
      </c>
      <c r="J1031" s="3" t="s">
        <v>22</v>
      </c>
      <c r="K1031" s="3" t="s">
        <v>254</v>
      </c>
      <c r="L1031" s="3" t="s">
        <v>254</v>
      </c>
      <c r="M1031" s="3" t="s">
        <v>5398</v>
      </c>
      <c r="N1031" s="3" t="s">
        <v>1802</v>
      </c>
      <c r="O1031" s="3" t="s">
        <v>28</v>
      </c>
      <c r="P1031" s="3" t="s">
        <v>137</v>
      </c>
      <c r="Q1031" s="3" t="s">
        <v>152</v>
      </c>
      <c r="R1031" s="3">
        <v>2</v>
      </c>
      <c r="S1031" s="3">
        <v>18955.43</v>
      </c>
      <c r="T1031" s="3">
        <v>15</v>
      </c>
      <c r="U1031" s="3">
        <v>32224.23</v>
      </c>
      <c r="V1031" s="3">
        <v>19968.259999999998</v>
      </c>
      <c r="W1031" s="3">
        <v>12255.97</v>
      </c>
      <c r="X1031" s="3">
        <v>38.03</v>
      </c>
      <c r="Y1031" s="3">
        <v>199</v>
      </c>
      <c r="Z1031" s="3" t="s">
        <v>48</v>
      </c>
      <c r="AA1031" s="3" t="s">
        <v>186</v>
      </c>
      <c r="AB1031" s="3" t="s">
        <v>101</v>
      </c>
      <c r="AC1031" s="3"/>
    </row>
    <row r="1032" spans="1:29" x14ac:dyDescent="0.3">
      <c r="A1032" s="2" t="s">
        <v>5399</v>
      </c>
      <c r="B1032" s="2" t="s">
        <v>5400</v>
      </c>
      <c r="C1032" s="2" t="s">
        <v>1822</v>
      </c>
      <c r="D1032" s="2" t="s">
        <v>5401</v>
      </c>
      <c r="E1032" s="2" t="s">
        <v>33</v>
      </c>
      <c r="F1032" s="2" t="s">
        <v>1277</v>
      </c>
      <c r="G1032" s="2" t="s">
        <v>5402</v>
      </c>
      <c r="H1032" s="2" t="s">
        <v>5004</v>
      </c>
      <c r="I1032" s="2">
        <v>3</v>
      </c>
      <c r="J1032" s="2" t="s">
        <v>14</v>
      </c>
      <c r="K1032" s="2" t="s">
        <v>183</v>
      </c>
      <c r="L1032" s="2" t="s">
        <v>183</v>
      </c>
      <c r="M1032" s="2" t="s">
        <v>5403</v>
      </c>
      <c r="N1032" s="2" t="s">
        <v>889</v>
      </c>
      <c r="O1032" s="2" t="s">
        <v>27</v>
      </c>
      <c r="P1032" s="2" t="s">
        <v>257</v>
      </c>
      <c r="Q1032" s="2" t="s">
        <v>127</v>
      </c>
      <c r="R1032" s="2">
        <v>2</v>
      </c>
      <c r="S1032" s="2">
        <v>30068.87</v>
      </c>
      <c r="T1032" s="2">
        <v>0</v>
      </c>
      <c r="U1032" s="2">
        <v>60137.74</v>
      </c>
      <c r="V1032" s="2">
        <v>36093.81</v>
      </c>
      <c r="W1032" s="2">
        <v>24043.93</v>
      </c>
      <c r="X1032" s="2">
        <v>39.979999999999997</v>
      </c>
      <c r="Y1032" s="2">
        <v>29</v>
      </c>
      <c r="Z1032" s="2" t="s">
        <v>47</v>
      </c>
      <c r="AA1032" s="2" t="s">
        <v>186</v>
      </c>
      <c r="AB1032" s="2" t="s">
        <v>140</v>
      </c>
      <c r="AC1032" s="2"/>
    </row>
    <row r="1033" spans="1:29" x14ac:dyDescent="0.3">
      <c r="A1033" s="3" t="s">
        <v>5404</v>
      </c>
      <c r="B1033" s="3" t="s">
        <v>5405</v>
      </c>
      <c r="C1033" s="3" t="s">
        <v>536</v>
      </c>
      <c r="D1033" s="3" t="s">
        <v>5406</v>
      </c>
      <c r="E1033" s="3" t="s">
        <v>18</v>
      </c>
      <c r="F1033" s="3" t="s">
        <v>737</v>
      </c>
      <c r="G1033" s="3" t="s">
        <v>2393</v>
      </c>
      <c r="H1033" s="3" t="s">
        <v>866</v>
      </c>
      <c r="I1033" s="3">
        <v>5</v>
      </c>
      <c r="J1033" s="3" t="s">
        <v>29</v>
      </c>
      <c r="K1033" s="3" t="s">
        <v>334</v>
      </c>
      <c r="L1033" s="3" t="s">
        <v>1073</v>
      </c>
      <c r="M1033" s="3" t="s">
        <v>3685</v>
      </c>
      <c r="N1033" s="3" t="s">
        <v>150</v>
      </c>
      <c r="O1033" s="3" t="s">
        <v>28</v>
      </c>
      <c r="P1033" s="3" t="s">
        <v>151</v>
      </c>
      <c r="Q1033" s="3" t="s">
        <v>197</v>
      </c>
      <c r="R1033" s="3">
        <v>4</v>
      </c>
      <c r="S1033" s="3">
        <v>24589.43</v>
      </c>
      <c r="T1033" s="3">
        <v>5</v>
      </c>
      <c r="U1033" s="3">
        <v>93439.83</v>
      </c>
      <c r="V1033" s="3">
        <v>46387.44</v>
      </c>
      <c r="W1033" s="3">
        <v>47052.39</v>
      </c>
      <c r="X1033" s="3">
        <v>50.36</v>
      </c>
      <c r="Y1033" s="3">
        <v>0</v>
      </c>
      <c r="Z1033" s="3" t="s">
        <v>43</v>
      </c>
      <c r="AA1033" s="3" t="s">
        <v>275</v>
      </c>
      <c r="AB1033" s="3" t="s">
        <v>101</v>
      </c>
      <c r="AC1033" s="3"/>
    </row>
    <row r="1034" spans="1:29" x14ac:dyDescent="0.3">
      <c r="A1034" s="2" t="s">
        <v>5407</v>
      </c>
      <c r="B1034" s="2" t="s">
        <v>5408</v>
      </c>
      <c r="C1034" s="2" t="s">
        <v>2651</v>
      </c>
      <c r="D1034" s="2" t="s">
        <v>5409</v>
      </c>
      <c r="E1034" s="2" t="s">
        <v>26</v>
      </c>
      <c r="F1034" s="2" t="s">
        <v>746</v>
      </c>
      <c r="G1034" s="2" t="s">
        <v>3717</v>
      </c>
      <c r="H1034" s="2" t="s">
        <v>4305</v>
      </c>
      <c r="I1034" s="2">
        <v>7</v>
      </c>
      <c r="J1034" s="2" t="s">
        <v>14</v>
      </c>
      <c r="K1034" s="2" t="s">
        <v>215</v>
      </c>
      <c r="L1034" s="2" t="s">
        <v>215</v>
      </c>
      <c r="M1034" s="2" t="s">
        <v>5410</v>
      </c>
      <c r="N1034" s="2" t="s">
        <v>390</v>
      </c>
      <c r="O1034" s="2" t="s">
        <v>19</v>
      </c>
      <c r="P1034" s="2" t="s">
        <v>297</v>
      </c>
      <c r="Q1034" s="2" t="s">
        <v>114</v>
      </c>
      <c r="R1034" s="2">
        <v>2</v>
      </c>
      <c r="S1034" s="2">
        <v>34544.339999999997</v>
      </c>
      <c r="T1034" s="2">
        <v>10</v>
      </c>
      <c r="U1034" s="2">
        <v>62179.81</v>
      </c>
      <c r="V1034" s="2">
        <v>31941.79</v>
      </c>
      <c r="W1034" s="2">
        <v>30238.02</v>
      </c>
      <c r="X1034" s="2">
        <v>48.63</v>
      </c>
      <c r="Y1034" s="2">
        <v>49</v>
      </c>
      <c r="Z1034" s="2" t="s">
        <v>48</v>
      </c>
      <c r="AA1034" s="2" t="s">
        <v>100</v>
      </c>
      <c r="AB1034" s="2" t="s">
        <v>101</v>
      </c>
      <c r="AC1034" s="2">
        <v>4</v>
      </c>
    </row>
    <row r="1035" spans="1:29" x14ac:dyDescent="0.3">
      <c r="A1035" s="3" t="s">
        <v>5411</v>
      </c>
      <c r="B1035" s="3" t="s">
        <v>5412</v>
      </c>
      <c r="C1035" s="3" t="s">
        <v>3865</v>
      </c>
      <c r="D1035" s="3" t="s">
        <v>5413</v>
      </c>
      <c r="E1035" s="3" t="s">
        <v>42</v>
      </c>
      <c r="F1035" s="3" t="s">
        <v>729</v>
      </c>
      <c r="G1035" s="3" t="s">
        <v>1360</v>
      </c>
      <c r="H1035" s="3" t="s">
        <v>1667</v>
      </c>
      <c r="I1035" s="3">
        <v>3</v>
      </c>
      <c r="J1035" s="3" t="s">
        <v>39</v>
      </c>
      <c r="K1035" s="3" t="s">
        <v>314</v>
      </c>
      <c r="L1035" s="3" t="s">
        <v>314</v>
      </c>
      <c r="M1035" s="3" t="s">
        <v>5414</v>
      </c>
      <c r="N1035" s="3" t="s">
        <v>266</v>
      </c>
      <c r="O1035" s="3" t="s">
        <v>28</v>
      </c>
      <c r="P1035" s="3" t="s">
        <v>151</v>
      </c>
      <c r="Q1035" s="3" t="s">
        <v>207</v>
      </c>
      <c r="R1035" s="3">
        <v>2</v>
      </c>
      <c r="S1035" s="3">
        <v>37447.449999999997</v>
      </c>
      <c r="T1035" s="3">
        <v>20</v>
      </c>
      <c r="U1035" s="3">
        <v>59915.92</v>
      </c>
      <c r="V1035" s="3">
        <v>29478.89</v>
      </c>
      <c r="W1035" s="3">
        <v>30437.03</v>
      </c>
      <c r="X1035" s="3">
        <v>50.8</v>
      </c>
      <c r="Y1035" s="3">
        <v>49</v>
      </c>
      <c r="Z1035" s="3" t="s">
        <v>48</v>
      </c>
      <c r="AA1035" s="3" t="s">
        <v>100</v>
      </c>
      <c r="AB1035" s="3" t="s">
        <v>101</v>
      </c>
      <c r="AC1035" s="3">
        <v>1</v>
      </c>
    </row>
    <row r="1036" spans="1:29" x14ac:dyDescent="0.3">
      <c r="A1036" s="2" t="s">
        <v>5415</v>
      </c>
      <c r="B1036" s="2" t="s">
        <v>5416</v>
      </c>
      <c r="C1036" s="2" t="s">
        <v>1364</v>
      </c>
      <c r="D1036" s="2" t="s">
        <v>5417</v>
      </c>
      <c r="E1036" s="2" t="s">
        <v>26</v>
      </c>
      <c r="F1036" s="2" t="s">
        <v>1113</v>
      </c>
      <c r="G1036" s="2" t="s">
        <v>1047</v>
      </c>
      <c r="H1036" s="2" t="s">
        <v>2270</v>
      </c>
      <c r="I1036" s="2">
        <v>6</v>
      </c>
      <c r="J1036" s="2" t="s">
        <v>14</v>
      </c>
      <c r="K1036" s="2" t="s">
        <v>171</v>
      </c>
      <c r="L1036" s="2" t="s">
        <v>541</v>
      </c>
      <c r="M1036" s="2" t="s">
        <v>5418</v>
      </c>
      <c r="N1036" s="2" t="s">
        <v>296</v>
      </c>
      <c r="O1036" s="2" t="s">
        <v>19</v>
      </c>
      <c r="P1036" s="2" t="s">
        <v>297</v>
      </c>
      <c r="Q1036" s="2" t="s">
        <v>608</v>
      </c>
      <c r="R1036" s="2">
        <v>1</v>
      </c>
      <c r="S1036" s="2">
        <v>27642.67</v>
      </c>
      <c r="T1036" s="2">
        <v>0</v>
      </c>
      <c r="U1036" s="2">
        <v>27642.67</v>
      </c>
      <c r="V1036" s="2">
        <v>18021.740000000002</v>
      </c>
      <c r="W1036" s="2">
        <v>9620.93</v>
      </c>
      <c r="X1036" s="2">
        <v>34.799999999999997</v>
      </c>
      <c r="Y1036" s="2">
        <v>99</v>
      </c>
      <c r="Z1036" s="2" t="s">
        <v>30</v>
      </c>
      <c r="AA1036" s="2" t="s">
        <v>100</v>
      </c>
      <c r="AB1036" s="2" t="s">
        <v>101</v>
      </c>
      <c r="AC1036" s="2">
        <v>4</v>
      </c>
    </row>
    <row r="1037" spans="1:29" x14ac:dyDescent="0.3">
      <c r="A1037" s="3" t="s">
        <v>5419</v>
      </c>
      <c r="B1037" s="3" t="s">
        <v>5420</v>
      </c>
      <c r="C1037" s="3" t="s">
        <v>1419</v>
      </c>
      <c r="D1037" s="3" t="s">
        <v>5421</v>
      </c>
      <c r="E1037" s="3" t="s">
        <v>33</v>
      </c>
      <c r="F1037" s="3" t="s">
        <v>2888</v>
      </c>
      <c r="G1037" s="3" t="s">
        <v>969</v>
      </c>
      <c r="H1037" s="3" t="s">
        <v>489</v>
      </c>
      <c r="I1037" s="3">
        <v>5</v>
      </c>
      <c r="J1037" s="3" t="s">
        <v>29</v>
      </c>
      <c r="K1037" s="3" t="s">
        <v>334</v>
      </c>
      <c r="L1037" s="3" t="s">
        <v>614</v>
      </c>
      <c r="M1037" s="3" t="s">
        <v>3079</v>
      </c>
      <c r="N1037" s="3" t="s">
        <v>750</v>
      </c>
      <c r="O1037" s="3" t="s">
        <v>13</v>
      </c>
      <c r="P1037" s="3" t="s">
        <v>419</v>
      </c>
      <c r="Q1037" s="3" t="s">
        <v>99</v>
      </c>
      <c r="R1037" s="3">
        <v>2</v>
      </c>
      <c r="S1037" s="3">
        <v>21568.73</v>
      </c>
      <c r="T1037" s="3">
        <v>20</v>
      </c>
      <c r="U1037" s="3">
        <v>34509.97</v>
      </c>
      <c r="V1037" s="3">
        <v>22141.87</v>
      </c>
      <c r="W1037" s="3">
        <v>12368.1</v>
      </c>
      <c r="X1037" s="3">
        <v>35.840000000000003</v>
      </c>
      <c r="Y1037" s="3">
        <v>149</v>
      </c>
      <c r="Z1037" s="3" t="s">
        <v>47</v>
      </c>
      <c r="AA1037" s="3" t="s">
        <v>100</v>
      </c>
      <c r="AB1037" s="3" t="s">
        <v>101</v>
      </c>
      <c r="AC1037" s="3">
        <v>1</v>
      </c>
    </row>
    <row r="1038" spans="1:29" x14ac:dyDescent="0.3">
      <c r="A1038" s="2" t="s">
        <v>5422</v>
      </c>
      <c r="B1038" s="2" t="s">
        <v>5423</v>
      </c>
      <c r="C1038" s="2" t="s">
        <v>339</v>
      </c>
      <c r="D1038" s="2" t="s">
        <v>5424</v>
      </c>
      <c r="E1038" s="2" t="s">
        <v>26</v>
      </c>
      <c r="F1038" s="2" t="s">
        <v>2842</v>
      </c>
      <c r="G1038" s="2" t="s">
        <v>1659</v>
      </c>
      <c r="H1038" s="2" t="s">
        <v>1390</v>
      </c>
      <c r="I1038" s="2">
        <v>5</v>
      </c>
      <c r="J1038" s="2" t="s">
        <v>22</v>
      </c>
      <c r="K1038" s="2" t="s">
        <v>283</v>
      </c>
      <c r="L1038" s="2" t="s">
        <v>748</v>
      </c>
      <c r="M1038" s="2" t="s">
        <v>5425</v>
      </c>
      <c r="N1038" s="2" t="s">
        <v>648</v>
      </c>
      <c r="O1038" s="2" t="s">
        <v>27</v>
      </c>
      <c r="P1038" s="2" t="s">
        <v>113</v>
      </c>
      <c r="Q1038" s="2" t="s">
        <v>608</v>
      </c>
      <c r="R1038" s="2">
        <v>2</v>
      </c>
      <c r="S1038" s="2">
        <v>24032.11</v>
      </c>
      <c r="T1038" s="2">
        <v>5</v>
      </c>
      <c r="U1038" s="2">
        <v>45661.01</v>
      </c>
      <c r="V1038" s="2">
        <v>28564.3</v>
      </c>
      <c r="W1038" s="2">
        <v>17096.71</v>
      </c>
      <c r="X1038" s="2">
        <v>37.44</v>
      </c>
      <c r="Y1038" s="2">
        <v>199</v>
      </c>
      <c r="Z1038" s="2" t="s">
        <v>30</v>
      </c>
      <c r="AA1038" s="2" t="s">
        <v>100</v>
      </c>
      <c r="AB1038" s="2" t="s">
        <v>101</v>
      </c>
      <c r="AC1038" s="2">
        <v>3</v>
      </c>
    </row>
    <row r="1039" spans="1:29" x14ac:dyDescent="0.3">
      <c r="A1039" s="3" t="s">
        <v>5426</v>
      </c>
      <c r="B1039" s="3" t="s">
        <v>5427</v>
      </c>
      <c r="C1039" s="3" t="s">
        <v>231</v>
      </c>
      <c r="D1039" s="3" t="s">
        <v>5428</v>
      </c>
      <c r="E1039" s="3" t="s">
        <v>33</v>
      </c>
      <c r="F1039" s="3" t="s">
        <v>3383</v>
      </c>
      <c r="G1039" s="3" t="s">
        <v>2048</v>
      </c>
      <c r="H1039" s="3" t="s">
        <v>1719</v>
      </c>
      <c r="I1039" s="3">
        <v>2</v>
      </c>
      <c r="J1039" s="3" t="s">
        <v>22</v>
      </c>
      <c r="K1039" s="3" t="s">
        <v>283</v>
      </c>
      <c r="L1039" s="3" t="s">
        <v>1346</v>
      </c>
      <c r="M1039" s="3" t="s">
        <v>3774</v>
      </c>
      <c r="N1039" s="3" t="s">
        <v>648</v>
      </c>
      <c r="O1039" s="3" t="s">
        <v>27</v>
      </c>
      <c r="P1039" s="3" t="s">
        <v>113</v>
      </c>
      <c r="Q1039" s="3" t="s">
        <v>400</v>
      </c>
      <c r="R1039" s="3">
        <v>5</v>
      </c>
      <c r="S1039" s="3">
        <v>10363.58</v>
      </c>
      <c r="T1039" s="3">
        <v>20</v>
      </c>
      <c r="U1039" s="3">
        <v>41454.32</v>
      </c>
      <c r="V1039" s="3">
        <v>20794.52</v>
      </c>
      <c r="W1039" s="3">
        <v>20659.8</v>
      </c>
      <c r="X1039" s="3">
        <v>49.84</v>
      </c>
      <c r="Y1039" s="3">
        <v>29</v>
      </c>
      <c r="Z1039" s="3" t="s">
        <v>48</v>
      </c>
      <c r="AA1039" s="3" t="s">
        <v>100</v>
      </c>
      <c r="AB1039" s="3" t="s">
        <v>101</v>
      </c>
      <c r="AC1039" s="3">
        <v>1</v>
      </c>
    </row>
    <row r="1040" spans="1:29" x14ac:dyDescent="0.3">
      <c r="A1040" s="2" t="s">
        <v>5429</v>
      </c>
      <c r="B1040" s="2" t="s">
        <v>5430</v>
      </c>
      <c r="C1040" s="2" t="s">
        <v>339</v>
      </c>
      <c r="D1040" s="2" t="s">
        <v>5431</v>
      </c>
      <c r="E1040" s="2" t="s">
        <v>42</v>
      </c>
      <c r="F1040" s="2" t="s">
        <v>2489</v>
      </c>
      <c r="G1040" s="2" t="s">
        <v>2143</v>
      </c>
      <c r="H1040" s="2" t="s">
        <v>323</v>
      </c>
      <c r="I1040" s="2">
        <v>5</v>
      </c>
      <c r="J1040" s="2" t="s">
        <v>14</v>
      </c>
      <c r="K1040" s="2" t="s">
        <v>95</v>
      </c>
      <c r="L1040" s="2" t="s">
        <v>95</v>
      </c>
      <c r="M1040" s="2" t="s">
        <v>5432</v>
      </c>
      <c r="N1040" s="2" t="s">
        <v>125</v>
      </c>
      <c r="O1040" s="2" t="s">
        <v>21</v>
      </c>
      <c r="P1040" s="2" t="s">
        <v>126</v>
      </c>
      <c r="Q1040" s="2" t="s">
        <v>114</v>
      </c>
      <c r="R1040" s="2">
        <v>2</v>
      </c>
      <c r="S1040" s="2">
        <v>11527.61</v>
      </c>
      <c r="T1040" s="2">
        <v>15</v>
      </c>
      <c r="U1040" s="2">
        <v>19596.939999999999</v>
      </c>
      <c r="V1040" s="2">
        <v>12846</v>
      </c>
      <c r="W1040" s="2">
        <v>6750.94</v>
      </c>
      <c r="X1040" s="2">
        <v>34.450000000000003</v>
      </c>
      <c r="Y1040" s="2">
        <v>0</v>
      </c>
      <c r="Z1040" s="2" t="s">
        <v>23</v>
      </c>
      <c r="AA1040" s="2" t="s">
        <v>100</v>
      </c>
      <c r="AB1040" s="2" t="s">
        <v>101</v>
      </c>
      <c r="AC1040" s="2">
        <v>4</v>
      </c>
    </row>
    <row r="1041" spans="1:29" x14ac:dyDescent="0.3">
      <c r="A1041" s="3" t="s">
        <v>5433</v>
      </c>
      <c r="B1041" s="3" t="s">
        <v>5434</v>
      </c>
      <c r="C1041" s="3" t="s">
        <v>980</v>
      </c>
      <c r="D1041" s="3" t="s">
        <v>5435</v>
      </c>
      <c r="E1041" s="3" t="s">
        <v>42</v>
      </c>
      <c r="F1041" s="3" t="s">
        <v>2494</v>
      </c>
      <c r="G1041" s="3" t="s">
        <v>3428</v>
      </c>
      <c r="H1041" s="3" t="s">
        <v>1435</v>
      </c>
      <c r="I1041" s="3">
        <v>5</v>
      </c>
      <c r="J1041" s="3" t="s">
        <v>22</v>
      </c>
      <c r="K1041" s="3" t="s">
        <v>738</v>
      </c>
      <c r="L1041" s="3" t="s">
        <v>738</v>
      </c>
      <c r="M1041" s="3" t="s">
        <v>5436</v>
      </c>
      <c r="N1041" s="3" t="s">
        <v>1332</v>
      </c>
      <c r="O1041" s="3" t="s">
        <v>19</v>
      </c>
      <c r="P1041" s="3" t="s">
        <v>447</v>
      </c>
      <c r="Q1041" s="3" t="s">
        <v>608</v>
      </c>
      <c r="R1041" s="3">
        <v>4</v>
      </c>
      <c r="S1041" s="3">
        <v>25241.14</v>
      </c>
      <c r="T1041" s="3">
        <v>0</v>
      </c>
      <c r="U1041" s="3">
        <v>100964.56</v>
      </c>
      <c r="V1041" s="3">
        <v>64152.47</v>
      </c>
      <c r="W1041" s="3">
        <v>36812.089999999997</v>
      </c>
      <c r="X1041" s="3">
        <v>36.46</v>
      </c>
      <c r="Y1041" s="3">
        <v>0</v>
      </c>
      <c r="Z1041" s="3" t="s">
        <v>47</v>
      </c>
      <c r="AA1041" s="3" t="s">
        <v>672</v>
      </c>
      <c r="AB1041" s="3" t="s">
        <v>101</v>
      </c>
      <c r="AC1041" s="3"/>
    </row>
    <row r="1042" spans="1:29" x14ac:dyDescent="0.3">
      <c r="A1042" s="2" t="s">
        <v>5437</v>
      </c>
      <c r="B1042" s="2" t="s">
        <v>5438</v>
      </c>
      <c r="C1042" s="2" t="s">
        <v>799</v>
      </c>
      <c r="D1042" s="2" t="s">
        <v>5439</v>
      </c>
      <c r="E1042" s="2" t="s">
        <v>33</v>
      </c>
      <c r="F1042" s="2" t="s">
        <v>1168</v>
      </c>
      <c r="G1042" s="2" t="s">
        <v>1228</v>
      </c>
      <c r="H1042" s="2" t="s">
        <v>5440</v>
      </c>
      <c r="I1042" s="2">
        <v>4</v>
      </c>
      <c r="J1042" s="2" t="s">
        <v>22</v>
      </c>
      <c r="K1042" s="2" t="s">
        <v>122</v>
      </c>
      <c r="L1042" s="2" t="s">
        <v>123</v>
      </c>
      <c r="M1042" s="2" t="s">
        <v>5441</v>
      </c>
      <c r="N1042" s="2" t="s">
        <v>805</v>
      </c>
      <c r="O1042" s="2" t="s">
        <v>28</v>
      </c>
      <c r="P1042" s="2" t="s">
        <v>151</v>
      </c>
      <c r="Q1042" s="2" t="s">
        <v>197</v>
      </c>
      <c r="R1042" s="2">
        <v>2</v>
      </c>
      <c r="S1042" s="2">
        <v>42114.04</v>
      </c>
      <c r="T1042" s="2">
        <v>30</v>
      </c>
      <c r="U1042" s="2">
        <v>58959.66</v>
      </c>
      <c r="V1042" s="2">
        <v>35183.85</v>
      </c>
      <c r="W1042" s="2">
        <v>23775.81</v>
      </c>
      <c r="X1042" s="2">
        <v>40.33</v>
      </c>
      <c r="Y1042" s="2">
        <v>0</v>
      </c>
      <c r="Z1042" s="2" t="s">
        <v>15</v>
      </c>
      <c r="AA1042" s="2" t="s">
        <v>275</v>
      </c>
      <c r="AB1042" s="2" t="s">
        <v>101</v>
      </c>
      <c r="AC1042" s="2"/>
    </row>
    <row r="1043" spans="1:29" x14ac:dyDescent="0.3">
      <c r="A1043" s="3" t="s">
        <v>5442</v>
      </c>
      <c r="B1043" s="3" t="s">
        <v>5443</v>
      </c>
      <c r="C1043" s="3" t="s">
        <v>4171</v>
      </c>
      <c r="D1043" s="3" t="s">
        <v>5444</v>
      </c>
      <c r="E1043" s="3" t="s">
        <v>18</v>
      </c>
      <c r="F1043" s="3" t="s">
        <v>4241</v>
      </c>
      <c r="G1043" s="3" t="s">
        <v>2582</v>
      </c>
      <c r="H1043" s="3" t="s">
        <v>3614</v>
      </c>
      <c r="I1043" s="3">
        <v>8</v>
      </c>
      <c r="J1043" s="3" t="s">
        <v>14</v>
      </c>
      <c r="K1043" s="3" t="s">
        <v>171</v>
      </c>
      <c r="L1043" s="3" t="s">
        <v>541</v>
      </c>
      <c r="M1043" s="3" t="s">
        <v>663</v>
      </c>
      <c r="N1043" s="3" t="s">
        <v>418</v>
      </c>
      <c r="O1043" s="3" t="s">
        <v>13</v>
      </c>
      <c r="P1043" s="3" t="s">
        <v>419</v>
      </c>
      <c r="Q1043" s="3" t="s">
        <v>509</v>
      </c>
      <c r="R1043" s="3">
        <v>2</v>
      </c>
      <c r="S1043" s="3">
        <v>10298.74</v>
      </c>
      <c r="T1043" s="3">
        <v>10</v>
      </c>
      <c r="U1043" s="3">
        <v>18537.73</v>
      </c>
      <c r="V1043" s="3">
        <v>8534.07</v>
      </c>
      <c r="W1043" s="3">
        <v>10003.66</v>
      </c>
      <c r="X1043" s="3">
        <v>53.96</v>
      </c>
      <c r="Y1043" s="3">
        <v>49</v>
      </c>
      <c r="Z1043" s="3" t="s">
        <v>48</v>
      </c>
      <c r="AA1043" s="3" t="s">
        <v>100</v>
      </c>
      <c r="AB1043" s="3" t="s">
        <v>101</v>
      </c>
      <c r="AC1043" s="3">
        <v>4</v>
      </c>
    </row>
    <row r="1044" spans="1:29" x14ac:dyDescent="0.3">
      <c r="A1044" s="2" t="s">
        <v>5445</v>
      </c>
      <c r="B1044" s="2" t="s">
        <v>5446</v>
      </c>
      <c r="C1044" s="2" t="s">
        <v>1730</v>
      </c>
      <c r="D1044" s="2" t="s">
        <v>4185</v>
      </c>
      <c r="E1044" s="2" t="s">
        <v>33</v>
      </c>
      <c r="F1044" s="2" t="s">
        <v>885</v>
      </c>
      <c r="G1044" s="2" t="s">
        <v>886</v>
      </c>
      <c r="H1044" s="2" t="s">
        <v>1429</v>
      </c>
      <c r="I1044" s="2">
        <v>7</v>
      </c>
      <c r="J1044" s="2" t="s">
        <v>22</v>
      </c>
      <c r="K1044" s="2" t="s">
        <v>122</v>
      </c>
      <c r="L1044" s="2" t="s">
        <v>812</v>
      </c>
      <c r="M1044" s="2" t="s">
        <v>5447</v>
      </c>
      <c r="N1044" s="2" t="s">
        <v>852</v>
      </c>
      <c r="O1044" s="2" t="s">
        <v>27</v>
      </c>
      <c r="P1044" s="2" t="s">
        <v>175</v>
      </c>
      <c r="Q1044" s="2" t="s">
        <v>197</v>
      </c>
      <c r="R1044" s="2">
        <v>2</v>
      </c>
      <c r="S1044" s="2">
        <v>4055.67</v>
      </c>
      <c r="T1044" s="2">
        <v>20</v>
      </c>
      <c r="U1044" s="2">
        <v>6489.07</v>
      </c>
      <c r="V1044" s="2">
        <v>4274.8599999999997</v>
      </c>
      <c r="W1044" s="2">
        <v>2214.21</v>
      </c>
      <c r="X1044" s="2">
        <v>34.119999999999997</v>
      </c>
      <c r="Y1044" s="2">
        <v>199</v>
      </c>
      <c r="Z1044" s="2" t="s">
        <v>47</v>
      </c>
      <c r="AA1044" s="2" t="s">
        <v>672</v>
      </c>
      <c r="AB1044" s="2" t="s">
        <v>101</v>
      </c>
      <c r="AC1044" s="2"/>
    </row>
    <row r="1045" spans="1:29" x14ac:dyDescent="0.3">
      <c r="A1045" s="3" t="s">
        <v>5448</v>
      </c>
      <c r="B1045" s="3" t="s">
        <v>5449</v>
      </c>
      <c r="C1045" s="3" t="s">
        <v>117</v>
      </c>
      <c r="D1045" s="3" t="s">
        <v>5450</v>
      </c>
      <c r="E1045" s="3" t="s">
        <v>42</v>
      </c>
      <c r="F1045" s="3" t="s">
        <v>785</v>
      </c>
      <c r="G1045" s="3" t="s">
        <v>404</v>
      </c>
      <c r="H1045" s="3" t="s">
        <v>159</v>
      </c>
      <c r="I1045" s="3">
        <v>5</v>
      </c>
      <c r="J1045" s="3" t="s">
        <v>39</v>
      </c>
      <c r="K1045" s="3" t="s">
        <v>314</v>
      </c>
      <c r="L1045" s="3" t="s">
        <v>314</v>
      </c>
      <c r="M1045" s="3" t="s">
        <v>5451</v>
      </c>
      <c r="N1045" s="3" t="s">
        <v>446</v>
      </c>
      <c r="O1045" s="3" t="s">
        <v>19</v>
      </c>
      <c r="P1045" s="3" t="s">
        <v>447</v>
      </c>
      <c r="Q1045" s="3" t="s">
        <v>466</v>
      </c>
      <c r="R1045" s="3">
        <v>4</v>
      </c>
      <c r="S1045" s="3">
        <v>39705.230000000003</v>
      </c>
      <c r="T1045" s="3">
        <v>20</v>
      </c>
      <c r="U1045" s="3">
        <v>127056.74</v>
      </c>
      <c r="V1045" s="3">
        <v>64313.120000000003</v>
      </c>
      <c r="W1045" s="3">
        <v>62743.62</v>
      </c>
      <c r="X1045" s="3">
        <v>49.38</v>
      </c>
      <c r="Y1045" s="3">
        <v>29</v>
      </c>
      <c r="Z1045" s="3" t="s">
        <v>48</v>
      </c>
      <c r="AA1045" s="3" t="s">
        <v>100</v>
      </c>
      <c r="AB1045" s="3" t="s">
        <v>101</v>
      </c>
      <c r="AC1045" s="3">
        <v>5</v>
      </c>
    </row>
    <row r="1046" spans="1:29" x14ac:dyDescent="0.3">
      <c r="A1046" s="2" t="s">
        <v>5452</v>
      </c>
      <c r="B1046" s="2" t="s">
        <v>5453</v>
      </c>
      <c r="C1046" s="2" t="s">
        <v>231</v>
      </c>
      <c r="D1046" s="2" t="s">
        <v>5454</v>
      </c>
      <c r="E1046" s="2" t="s">
        <v>33</v>
      </c>
      <c r="F1046" s="2" t="s">
        <v>3083</v>
      </c>
      <c r="G1046" s="2" t="s">
        <v>2536</v>
      </c>
      <c r="H1046" s="2" t="s">
        <v>1817</v>
      </c>
      <c r="I1046" s="2">
        <v>7</v>
      </c>
      <c r="J1046" s="2" t="s">
        <v>39</v>
      </c>
      <c r="K1046" s="2" t="s">
        <v>225</v>
      </c>
      <c r="L1046" s="2" t="s">
        <v>225</v>
      </c>
      <c r="M1046" s="2" t="s">
        <v>5455</v>
      </c>
      <c r="N1046" s="2" t="s">
        <v>256</v>
      </c>
      <c r="O1046" s="2" t="s">
        <v>27</v>
      </c>
      <c r="P1046" s="2" t="s">
        <v>257</v>
      </c>
      <c r="Q1046" s="2" t="s">
        <v>466</v>
      </c>
      <c r="R1046" s="2">
        <v>4</v>
      </c>
      <c r="S1046" s="2">
        <v>28011.87</v>
      </c>
      <c r="T1046" s="2">
        <v>0</v>
      </c>
      <c r="U1046" s="2">
        <v>112047.48</v>
      </c>
      <c r="V1046" s="2">
        <v>73012.88</v>
      </c>
      <c r="W1046" s="2">
        <v>39034.6</v>
      </c>
      <c r="X1046" s="2">
        <v>34.840000000000003</v>
      </c>
      <c r="Y1046" s="2">
        <v>199</v>
      </c>
      <c r="Z1046" s="2" t="s">
        <v>30</v>
      </c>
      <c r="AA1046" s="2" t="s">
        <v>100</v>
      </c>
      <c r="AB1046" s="2" t="s">
        <v>101</v>
      </c>
      <c r="AC1046" s="2"/>
    </row>
    <row r="1047" spans="1:29" x14ac:dyDescent="0.3">
      <c r="A1047" s="3" t="s">
        <v>5456</v>
      </c>
      <c r="B1047" s="3" t="s">
        <v>5457</v>
      </c>
      <c r="C1047" s="3" t="s">
        <v>1426</v>
      </c>
      <c r="D1047" s="3" t="s">
        <v>5458</v>
      </c>
      <c r="E1047" s="3" t="s">
        <v>33</v>
      </c>
      <c r="F1047" s="3" t="s">
        <v>4863</v>
      </c>
      <c r="G1047" s="3" t="s">
        <v>2684</v>
      </c>
      <c r="H1047" s="3" t="s">
        <v>2841</v>
      </c>
      <c r="I1047" s="3">
        <v>2</v>
      </c>
      <c r="J1047" s="3" t="s">
        <v>14</v>
      </c>
      <c r="K1047" s="3" t="s">
        <v>171</v>
      </c>
      <c r="L1047" s="3" t="s">
        <v>541</v>
      </c>
      <c r="M1047" s="3" t="s">
        <v>5459</v>
      </c>
      <c r="N1047" s="3" t="s">
        <v>852</v>
      </c>
      <c r="O1047" s="3" t="s">
        <v>27</v>
      </c>
      <c r="P1047" s="3" t="s">
        <v>175</v>
      </c>
      <c r="Q1047" s="3" t="s">
        <v>127</v>
      </c>
      <c r="R1047" s="3">
        <v>2</v>
      </c>
      <c r="S1047" s="3">
        <v>11975.36</v>
      </c>
      <c r="T1047" s="3">
        <v>0</v>
      </c>
      <c r="U1047" s="3">
        <v>23950.720000000001</v>
      </c>
      <c r="V1047" s="3">
        <v>13055.51</v>
      </c>
      <c r="W1047" s="3">
        <v>10895.21</v>
      </c>
      <c r="X1047" s="3">
        <v>45.49</v>
      </c>
      <c r="Y1047" s="3">
        <v>99</v>
      </c>
      <c r="Z1047" s="3" t="s">
        <v>47</v>
      </c>
      <c r="AA1047" s="3" t="s">
        <v>100</v>
      </c>
      <c r="AB1047" s="3" t="s">
        <v>101</v>
      </c>
      <c r="AC1047" s="3">
        <v>1</v>
      </c>
    </row>
    <row r="1048" spans="1:29" x14ac:dyDescent="0.3">
      <c r="A1048" s="2" t="s">
        <v>5460</v>
      </c>
      <c r="B1048" s="2" t="s">
        <v>5461</v>
      </c>
      <c r="C1048" s="2" t="s">
        <v>432</v>
      </c>
      <c r="D1048" s="2" t="s">
        <v>5462</v>
      </c>
      <c r="E1048" s="2" t="s">
        <v>33</v>
      </c>
      <c r="F1048" s="2" t="s">
        <v>2300</v>
      </c>
      <c r="G1048" s="2" t="s">
        <v>745</v>
      </c>
      <c r="H1048" s="2" t="s">
        <v>2301</v>
      </c>
      <c r="I1048" s="2">
        <v>5</v>
      </c>
      <c r="J1048" s="2" t="s">
        <v>39</v>
      </c>
      <c r="K1048" s="2" t="s">
        <v>109</v>
      </c>
      <c r="L1048" s="2" t="s">
        <v>344</v>
      </c>
      <c r="M1048" s="2" t="s">
        <v>5463</v>
      </c>
      <c r="N1048" s="2" t="s">
        <v>623</v>
      </c>
      <c r="O1048" s="2" t="s">
        <v>19</v>
      </c>
      <c r="P1048" s="2" t="s">
        <v>297</v>
      </c>
      <c r="Q1048" s="2" t="s">
        <v>99</v>
      </c>
      <c r="R1048" s="2">
        <v>3</v>
      </c>
      <c r="S1048" s="2">
        <v>41259.760000000002</v>
      </c>
      <c r="T1048" s="2">
        <v>15</v>
      </c>
      <c r="U1048" s="2">
        <v>105212.39</v>
      </c>
      <c r="V1048" s="2">
        <v>71343.66</v>
      </c>
      <c r="W1048" s="2">
        <v>33868.730000000003</v>
      </c>
      <c r="X1048" s="2">
        <v>32.19</v>
      </c>
      <c r="Y1048" s="2">
        <v>199</v>
      </c>
      <c r="Z1048" s="2" t="s">
        <v>23</v>
      </c>
      <c r="AA1048" s="2" t="s">
        <v>100</v>
      </c>
      <c r="AB1048" s="2" t="s">
        <v>101</v>
      </c>
      <c r="AC1048" s="2">
        <v>1</v>
      </c>
    </row>
    <row r="1049" spans="1:29" x14ac:dyDescent="0.3">
      <c r="A1049" s="3" t="s">
        <v>5464</v>
      </c>
      <c r="B1049" s="3" t="s">
        <v>5465</v>
      </c>
      <c r="C1049" s="3" t="s">
        <v>278</v>
      </c>
      <c r="D1049" s="3" t="s">
        <v>5466</v>
      </c>
      <c r="E1049" s="3" t="s">
        <v>42</v>
      </c>
      <c r="F1049" s="3" t="s">
        <v>596</v>
      </c>
      <c r="G1049" s="3" t="s">
        <v>1824</v>
      </c>
      <c r="H1049" s="3" t="s">
        <v>2659</v>
      </c>
      <c r="I1049" s="3">
        <v>3</v>
      </c>
      <c r="J1049" s="3" t="s">
        <v>14</v>
      </c>
      <c r="K1049" s="3" t="s">
        <v>215</v>
      </c>
      <c r="L1049" s="3" t="s">
        <v>215</v>
      </c>
      <c r="M1049" s="3" t="s">
        <v>4412</v>
      </c>
      <c r="N1049" s="3" t="s">
        <v>592</v>
      </c>
      <c r="O1049" s="3" t="s">
        <v>21</v>
      </c>
      <c r="P1049" s="3" t="s">
        <v>206</v>
      </c>
      <c r="Q1049" s="3" t="s">
        <v>138</v>
      </c>
      <c r="R1049" s="3">
        <v>1</v>
      </c>
      <c r="S1049" s="3">
        <v>45169.9</v>
      </c>
      <c r="T1049" s="3">
        <v>15</v>
      </c>
      <c r="U1049" s="3">
        <v>38394.42</v>
      </c>
      <c r="V1049" s="3">
        <v>24407.49</v>
      </c>
      <c r="W1049" s="3">
        <v>13986.93</v>
      </c>
      <c r="X1049" s="3">
        <v>36.43</v>
      </c>
      <c r="Y1049" s="3">
        <v>49</v>
      </c>
      <c r="Z1049" s="3" t="s">
        <v>47</v>
      </c>
      <c r="AA1049" s="3" t="s">
        <v>100</v>
      </c>
      <c r="AB1049" s="3" t="s">
        <v>101</v>
      </c>
      <c r="AC1049" s="3">
        <v>2</v>
      </c>
    </row>
    <row r="1050" spans="1:29" x14ac:dyDescent="0.3">
      <c r="A1050" s="2" t="s">
        <v>5467</v>
      </c>
      <c r="B1050" s="2" t="s">
        <v>1182</v>
      </c>
      <c r="C1050" s="2" t="s">
        <v>716</v>
      </c>
      <c r="D1050" s="2" t="s">
        <v>5468</v>
      </c>
      <c r="E1050" s="2" t="s">
        <v>42</v>
      </c>
      <c r="F1050" s="2" t="s">
        <v>2063</v>
      </c>
      <c r="G1050" s="2" t="s">
        <v>1048</v>
      </c>
      <c r="H1050" s="2" t="s">
        <v>2271</v>
      </c>
      <c r="I1050" s="2">
        <v>7</v>
      </c>
      <c r="J1050" s="2" t="s">
        <v>29</v>
      </c>
      <c r="K1050" s="2" t="s">
        <v>160</v>
      </c>
      <c r="L1050" s="2" t="s">
        <v>559</v>
      </c>
      <c r="M1050" s="2" t="s">
        <v>5469</v>
      </c>
      <c r="N1050" s="2" t="s">
        <v>648</v>
      </c>
      <c r="O1050" s="2" t="s">
        <v>27</v>
      </c>
      <c r="P1050" s="2" t="s">
        <v>113</v>
      </c>
      <c r="Q1050" s="2" t="s">
        <v>287</v>
      </c>
      <c r="R1050" s="2">
        <v>2</v>
      </c>
      <c r="S1050" s="2">
        <v>46202.93</v>
      </c>
      <c r="T1050" s="2">
        <v>15</v>
      </c>
      <c r="U1050" s="2">
        <v>78544.98</v>
      </c>
      <c r="V1050" s="2">
        <v>52156.76</v>
      </c>
      <c r="W1050" s="2">
        <v>26388.22</v>
      </c>
      <c r="X1050" s="2">
        <v>33.6</v>
      </c>
      <c r="Y1050" s="2">
        <v>149</v>
      </c>
      <c r="Z1050" s="2" t="s">
        <v>30</v>
      </c>
      <c r="AA1050" s="2" t="s">
        <v>100</v>
      </c>
      <c r="AB1050" s="2" t="s">
        <v>101</v>
      </c>
      <c r="AC1050" s="2">
        <v>5</v>
      </c>
    </row>
    <row r="1051" spans="1:29" x14ac:dyDescent="0.3">
      <c r="A1051" s="3" t="s">
        <v>5470</v>
      </c>
      <c r="B1051" s="3" t="s">
        <v>5471</v>
      </c>
      <c r="C1051" s="3" t="s">
        <v>377</v>
      </c>
      <c r="D1051" s="3" t="s">
        <v>5472</v>
      </c>
      <c r="E1051" s="3" t="s">
        <v>33</v>
      </c>
      <c r="F1051" s="3" t="s">
        <v>3871</v>
      </c>
      <c r="G1051" s="3" t="s">
        <v>1995</v>
      </c>
      <c r="H1051" s="3" t="s">
        <v>3877</v>
      </c>
      <c r="I1051" s="3">
        <v>7</v>
      </c>
      <c r="J1051" s="3" t="s">
        <v>14</v>
      </c>
      <c r="K1051" s="3" t="s">
        <v>95</v>
      </c>
      <c r="L1051" s="3" t="s">
        <v>95</v>
      </c>
      <c r="M1051" s="3" t="s">
        <v>5418</v>
      </c>
      <c r="N1051" s="3" t="s">
        <v>266</v>
      </c>
      <c r="O1051" s="3" t="s">
        <v>28</v>
      </c>
      <c r="P1051" s="3" t="s">
        <v>151</v>
      </c>
      <c r="Q1051" s="3" t="s">
        <v>127</v>
      </c>
      <c r="R1051" s="3">
        <v>2</v>
      </c>
      <c r="S1051" s="3">
        <v>47221</v>
      </c>
      <c r="T1051" s="3">
        <v>15</v>
      </c>
      <c r="U1051" s="3">
        <v>80275.7</v>
      </c>
      <c r="V1051" s="3">
        <v>44805.74</v>
      </c>
      <c r="W1051" s="3">
        <v>35469.96</v>
      </c>
      <c r="X1051" s="3">
        <v>44.19</v>
      </c>
      <c r="Y1051" s="3">
        <v>149</v>
      </c>
      <c r="Z1051" s="3" t="s">
        <v>30</v>
      </c>
      <c r="AA1051" s="3" t="s">
        <v>100</v>
      </c>
      <c r="AB1051" s="3" t="s">
        <v>101</v>
      </c>
      <c r="AC1051" s="3">
        <v>3</v>
      </c>
    </row>
    <row r="1052" spans="1:29" x14ac:dyDescent="0.3">
      <c r="A1052" s="2" t="s">
        <v>5473</v>
      </c>
      <c r="B1052" s="2" t="s">
        <v>2557</v>
      </c>
      <c r="C1052" s="2" t="s">
        <v>2090</v>
      </c>
      <c r="D1052" s="2" t="s">
        <v>5474</v>
      </c>
      <c r="E1052" s="2" t="s">
        <v>18</v>
      </c>
      <c r="F1052" s="2" t="s">
        <v>5475</v>
      </c>
      <c r="G1052" s="2" t="s">
        <v>2376</v>
      </c>
      <c r="H1052" s="2" t="s">
        <v>2023</v>
      </c>
      <c r="I1052" s="2">
        <v>2</v>
      </c>
      <c r="J1052" s="2" t="s">
        <v>29</v>
      </c>
      <c r="K1052" s="2" t="s">
        <v>427</v>
      </c>
      <c r="L1052" s="2" t="s">
        <v>1081</v>
      </c>
      <c r="M1052" s="2" t="s">
        <v>5476</v>
      </c>
      <c r="N1052" s="2" t="s">
        <v>364</v>
      </c>
      <c r="O1052" s="2" t="s">
        <v>19</v>
      </c>
      <c r="P1052" s="2" t="s">
        <v>365</v>
      </c>
      <c r="Q1052" s="2" t="s">
        <v>138</v>
      </c>
      <c r="R1052" s="2">
        <v>1</v>
      </c>
      <c r="S1052" s="2">
        <v>43423.98</v>
      </c>
      <c r="T1052" s="2">
        <v>20</v>
      </c>
      <c r="U1052" s="2">
        <v>34739.18</v>
      </c>
      <c r="V1052" s="2">
        <v>15894.01</v>
      </c>
      <c r="W1052" s="2">
        <v>18845.169999999998</v>
      </c>
      <c r="X1052" s="2">
        <v>54.25</v>
      </c>
      <c r="Y1052" s="2">
        <v>0</v>
      </c>
      <c r="Z1052" s="2" t="s">
        <v>30</v>
      </c>
      <c r="AA1052" s="2" t="s">
        <v>100</v>
      </c>
      <c r="AB1052" s="2" t="s">
        <v>101</v>
      </c>
      <c r="AC1052" s="2">
        <v>1</v>
      </c>
    </row>
    <row r="1053" spans="1:29" x14ac:dyDescent="0.3">
      <c r="A1053" s="3" t="s">
        <v>5477</v>
      </c>
      <c r="B1053" s="3" t="s">
        <v>5478</v>
      </c>
      <c r="C1053" s="3" t="s">
        <v>1742</v>
      </c>
      <c r="D1053" s="3" t="s">
        <v>5479</v>
      </c>
      <c r="E1053" s="3" t="s">
        <v>33</v>
      </c>
      <c r="F1053" s="3" t="s">
        <v>5480</v>
      </c>
      <c r="G1053" s="3" t="s">
        <v>710</v>
      </c>
      <c r="H1053" s="3" t="s">
        <v>858</v>
      </c>
      <c r="I1053" s="3">
        <v>6</v>
      </c>
      <c r="J1053" s="3" t="s">
        <v>39</v>
      </c>
      <c r="K1053" s="3" t="s">
        <v>225</v>
      </c>
      <c r="L1053" s="3" t="s">
        <v>225</v>
      </c>
      <c r="M1053" s="3" t="s">
        <v>2818</v>
      </c>
      <c r="N1053" s="3" t="s">
        <v>465</v>
      </c>
      <c r="O1053" s="3" t="s">
        <v>19</v>
      </c>
      <c r="P1053" s="3" t="s">
        <v>447</v>
      </c>
      <c r="Q1053" s="3" t="s">
        <v>207</v>
      </c>
      <c r="R1053" s="3">
        <v>4</v>
      </c>
      <c r="S1053" s="3">
        <v>33367.81</v>
      </c>
      <c r="T1053" s="3">
        <v>15</v>
      </c>
      <c r="U1053" s="3">
        <v>113450.55</v>
      </c>
      <c r="V1053" s="3">
        <v>71861.240000000005</v>
      </c>
      <c r="W1053" s="3">
        <v>41589.31</v>
      </c>
      <c r="X1053" s="3">
        <v>36.659999999999997</v>
      </c>
      <c r="Y1053" s="3">
        <v>0</v>
      </c>
      <c r="Z1053" s="3" t="s">
        <v>15</v>
      </c>
      <c r="AA1053" s="3" t="s">
        <v>100</v>
      </c>
      <c r="AB1053" s="3" t="s">
        <v>101</v>
      </c>
      <c r="AC1053" s="3"/>
    </row>
    <row r="1054" spans="1:29" x14ac:dyDescent="0.3">
      <c r="A1054" s="2" t="s">
        <v>5481</v>
      </c>
      <c r="B1054" s="2" t="s">
        <v>5482</v>
      </c>
      <c r="C1054" s="2" t="s">
        <v>642</v>
      </c>
      <c r="D1054" s="2" t="s">
        <v>5483</v>
      </c>
      <c r="E1054" s="2" t="s">
        <v>26</v>
      </c>
      <c r="F1054" s="2" t="s">
        <v>4186</v>
      </c>
      <c r="G1054" s="2" t="s">
        <v>2639</v>
      </c>
      <c r="H1054" s="2" t="s">
        <v>2086</v>
      </c>
      <c r="I1054" s="2">
        <v>8</v>
      </c>
      <c r="J1054" s="2" t="s">
        <v>22</v>
      </c>
      <c r="K1054" s="2" t="s">
        <v>738</v>
      </c>
      <c r="L1054" s="2" t="s">
        <v>738</v>
      </c>
      <c r="M1054" s="2" t="s">
        <v>2398</v>
      </c>
      <c r="N1054" s="2" t="s">
        <v>266</v>
      </c>
      <c r="O1054" s="2" t="s">
        <v>28</v>
      </c>
      <c r="P1054" s="2" t="s">
        <v>151</v>
      </c>
      <c r="Q1054" s="2" t="s">
        <v>287</v>
      </c>
      <c r="R1054" s="2">
        <v>4</v>
      </c>
      <c r="S1054" s="2">
        <v>45420.93</v>
      </c>
      <c r="T1054" s="2">
        <v>5</v>
      </c>
      <c r="U1054" s="2">
        <v>172599.53</v>
      </c>
      <c r="V1054" s="2">
        <v>92952.7</v>
      </c>
      <c r="W1054" s="2">
        <v>79646.83</v>
      </c>
      <c r="X1054" s="2">
        <v>46.15</v>
      </c>
      <c r="Y1054" s="2">
        <v>29</v>
      </c>
      <c r="Z1054" s="2" t="s">
        <v>30</v>
      </c>
      <c r="AA1054" s="2" t="s">
        <v>100</v>
      </c>
      <c r="AB1054" s="2" t="s">
        <v>101</v>
      </c>
      <c r="AC1054" s="2">
        <v>3</v>
      </c>
    </row>
    <row r="1055" spans="1:29" x14ac:dyDescent="0.3">
      <c r="A1055" s="3" t="s">
        <v>5484</v>
      </c>
      <c r="B1055" s="3" t="s">
        <v>5485</v>
      </c>
      <c r="C1055" s="3" t="s">
        <v>782</v>
      </c>
      <c r="D1055" s="3" t="s">
        <v>5486</v>
      </c>
      <c r="E1055" s="3" t="s">
        <v>18</v>
      </c>
      <c r="F1055" s="3" t="s">
        <v>5487</v>
      </c>
      <c r="G1055" s="3" t="s">
        <v>92</v>
      </c>
      <c r="H1055" s="3" t="s">
        <v>843</v>
      </c>
      <c r="I1055" s="3">
        <v>7</v>
      </c>
      <c r="J1055" s="3" t="s">
        <v>14</v>
      </c>
      <c r="K1055" s="3" t="s">
        <v>712</v>
      </c>
      <c r="L1055" s="3" t="s">
        <v>712</v>
      </c>
      <c r="M1055" s="3" t="s">
        <v>5488</v>
      </c>
      <c r="N1055" s="3" t="s">
        <v>518</v>
      </c>
      <c r="O1055" s="3" t="s">
        <v>19</v>
      </c>
      <c r="P1055" s="3" t="s">
        <v>365</v>
      </c>
      <c r="Q1055" s="3" t="s">
        <v>127</v>
      </c>
      <c r="R1055" s="3">
        <v>1</v>
      </c>
      <c r="S1055" s="3">
        <v>47710.61</v>
      </c>
      <c r="T1055" s="3">
        <v>5</v>
      </c>
      <c r="U1055" s="3">
        <v>45325.08</v>
      </c>
      <c r="V1055" s="3">
        <v>22923.919999999998</v>
      </c>
      <c r="W1055" s="3">
        <v>22401.16</v>
      </c>
      <c r="X1055" s="3">
        <v>49.42</v>
      </c>
      <c r="Y1055" s="3">
        <v>29</v>
      </c>
      <c r="Z1055" s="3" t="s">
        <v>48</v>
      </c>
      <c r="AA1055" s="3" t="s">
        <v>100</v>
      </c>
      <c r="AB1055" s="3" t="s">
        <v>101</v>
      </c>
      <c r="AC1055" s="3">
        <v>4</v>
      </c>
    </row>
    <row r="1056" spans="1:29" x14ac:dyDescent="0.3">
      <c r="A1056" s="2" t="s">
        <v>5489</v>
      </c>
      <c r="B1056" s="2" t="s">
        <v>5490</v>
      </c>
      <c r="C1056" s="2" t="s">
        <v>487</v>
      </c>
      <c r="D1056" s="2" t="s">
        <v>5491</v>
      </c>
      <c r="E1056" s="2" t="s">
        <v>26</v>
      </c>
      <c r="F1056" s="2" t="s">
        <v>2409</v>
      </c>
      <c r="G1056" s="2" t="s">
        <v>1608</v>
      </c>
      <c r="H1056" s="2" t="s">
        <v>3630</v>
      </c>
      <c r="I1056" s="2">
        <v>6</v>
      </c>
      <c r="J1056" s="2" t="s">
        <v>14</v>
      </c>
      <c r="K1056" s="2" t="s">
        <v>171</v>
      </c>
      <c r="L1056" s="2" t="s">
        <v>407</v>
      </c>
      <c r="M1056" s="2" t="s">
        <v>5492</v>
      </c>
      <c r="N1056" s="2" t="s">
        <v>508</v>
      </c>
      <c r="O1056" s="2" t="s">
        <v>19</v>
      </c>
      <c r="P1056" s="2" t="s">
        <v>365</v>
      </c>
      <c r="Q1056" s="2" t="s">
        <v>114</v>
      </c>
      <c r="R1056" s="2">
        <v>1</v>
      </c>
      <c r="S1056" s="2">
        <v>17613.62</v>
      </c>
      <c r="T1056" s="2">
        <v>25</v>
      </c>
      <c r="U1056" s="2">
        <v>13210.22</v>
      </c>
      <c r="V1056" s="2">
        <v>7665.03</v>
      </c>
      <c r="W1056" s="2">
        <v>5545.19</v>
      </c>
      <c r="X1056" s="2">
        <v>41.98</v>
      </c>
      <c r="Y1056" s="2">
        <v>49</v>
      </c>
      <c r="Z1056" s="2" t="s">
        <v>15</v>
      </c>
      <c r="AA1056" s="2" t="s">
        <v>100</v>
      </c>
      <c r="AB1056" s="2" t="s">
        <v>101</v>
      </c>
      <c r="AC1056" s="2">
        <v>1</v>
      </c>
    </row>
    <row r="1057" spans="1:29" x14ac:dyDescent="0.3">
      <c r="A1057" s="3" t="s">
        <v>5493</v>
      </c>
      <c r="B1057" s="3" t="s">
        <v>5494</v>
      </c>
      <c r="C1057" s="3" t="s">
        <v>210</v>
      </c>
      <c r="D1057" s="3" t="s">
        <v>5081</v>
      </c>
      <c r="E1057" s="3" t="s">
        <v>18</v>
      </c>
      <c r="F1057" s="3" t="s">
        <v>2276</v>
      </c>
      <c r="G1057" s="3" t="s">
        <v>4101</v>
      </c>
      <c r="H1057" s="3" t="s">
        <v>3373</v>
      </c>
      <c r="I1057" s="3">
        <v>3</v>
      </c>
      <c r="J1057" s="3" t="s">
        <v>14</v>
      </c>
      <c r="K1057" s="3" t="s">
        <v>712</v>
      </c>
      <c r="L1057" s="3" t="s">
        <v>712</v>
      </c>
      <c r="M1057" s="3" t="s">
        <v>5495</v>
      </c>
      <c r="N1057" s="3" t="s">
        <v>1122</v>
      </c>
      <c r="O1057" s="3" t="s">
        <v>27</v>
      </c>
      <c r="P1057" s="3" t="s">
        <v>257</v>
      </c>
      <c r="Q1057" s="3" t="s">
        <v>197</v>
      </c>
      <c r="R1057" s="3">
        <v>3</v>
      </c>
      <c r="S1057" s="3">
        <v>9913.99</v>
      </c>
      <c r="T1057" s="3">
        <v>30</v>
      </c>
      <c r="U1057" s="3">
        <v>20819.38</v>
      </c>
      <c r="V1057" s="3">
        <v>12716.37</v>
      </c>
      <c r="W1057" s="3">
        <v>8103.01</v>
      </c>
      <c r="X1057" s="3">
        <v>38.92</v>
      </c>
      <c r="Y1057" s="3">
        <v>49</v>
      </c>
      <c r="Z1057" s="3" t="s">
        <v>23</v>
      </c>
      <c r="AA1057" s="3" t="s">
        <v>100</v>
      </c>
      <c r="AB1057" s="3" t="s">
        <v>101</v>
      </c>
      <c r="AC1057" s="3">
        <v>1</v>
      </c>
    </row>
    <row r="1058" spans="1:29" x14ac:dyDescent="0.3">
      <c r="A1058" s="2" t="s">
        <v>5496</v>
      </c>
      <c r="B1058" s="2" t="s">
        <v>5497</v>
      </c>
      <c r="C1058" s="2" t="s">
        <v>768</v>
      </c>
      <c r="D1058" s="2" t="s">
        <v>5498</v>
      </c>
      <c r="E1058" s="2" t="s">
        <v>18</v>
      </c>
      <c r="F1058" s="2" t="s">
        <v>2204</v>
      </c>
      <c r="G1058" s="2" t="s">
        <v>2725</v>
      </c>
      <c r="H1058" s="2" t="s">
        <v>1072</v>
      </c>
      <c r="I1058" s="2">
        <v>3</v>
      </c>
      <c r="J1058" s="2" t="s">
        <v>22</v>
      </c>
      <c r="K1058" s="2" t="s">
        <v>738</v>
      </c>
      <c r="L1058" s="2" t="s">
        <v>738</v>
      </c>
      <c r="M1058" s="2" t="s">
        <v>5499</v>
      </c>
      <c r="N1058" s="2" t="s">
        <v>399</v>
      </c>
      <c r="O1058" s="2" t="s">
        <v>21</v>
      </c>
      <c r="P1058" s="2" t="s">
        <v>196</v>
      </c>
      <c r="Q1058" s="2" t="s">
        <v>355</v>
      </c>
      <c r="R1058" s="2">
        <v>2</v>
      </c>
      <c r="S1058" s="2">
        <v>11816.65</v>
      </c>
      <c r="T1058" s="2">
        <v>25</v>
      </c>
      <c r="U1058" s="2">
        <v>17724.97</v>
      </c>
      <c r="V1058" s="2">
        <v>8758.7800000000007</v>
      </c>
      <c r="W1058" s="2">
        <v>8966.19</v>
      </c>
      <c r="X1058" s="2">
        <v>50.59</v>
      </c>
      <c r="Y1058" s="2">
        <v>29</v>
      </c>
      <c r="Z1058" s="2" t="s">
        <v>48</v>
      </c>
      <c r="AA1058" s="2" t="s">
        <v>100</v>
      </c>
      <c r="AB1058" s="2" t="s">
        <v>101</v>
      </c>
      <c r="AC1058" s="2">
        <v>2</v>
      </c>
    </row>
    <row r="1059" spans="1:29" x14ac:dyDescent="0.3">
      <c r="A1059" s="3" t="s">
        <v>5500</v>
      </c>
      <c r="B1059" s="3" t="s">
        <v>5501</v>
      </c>
      <c r="C1059" s="3" t="s">
        <v>3903</v>
      </c>
      <c r="D1059" s="3" t="s">
        <v>5502</v>
      </c>
      <c r="E1059" s="3" t="s">
        <v>33</v>
      </c>
      <c r="F1059" s="3" t="s">
        <v>1548</v>
      </c>
      <c r="G1059" s="3" t="s">
        <v>5503</v>
      </c>
      <c r="H1059" s="3" t="s">
        <v>832</v>
      </c>
      <c r="I1059" s="3">
        <v>5</v>
      </c>
      <c r="J1059" s="3" t="s">
        <v>29</v>
      </c>
      <c r="K1059" s="3" t="s">
        <v>148</v>
      </c>
      <c r="L1059" s="3" t="s">
        <v>148</v>
      </c>
      <c r="M1059" s="3" t="s">
        <v>5504</v>
      </c>
      <c r="N1059" s="3" t="s">
        <v>623</v>
      </c>
      <c r="O1059" s="3" t="s">
        <v>19</v>
      </c>
      <c r="P1059" s="3" t="s">
        <v>297</v>
      </c>
      <c r="Q1059" s="3" t="s">
        <v>608</v>
      </c>
      <c r="R1059" s="3">
        <v>5</v>
      </c>
      <c r="S1059" s="3">
        <v>5150.3900000000003</v>
      </c>
      <c r="T1059" s="3">
        <v>15</v>
      </c>
      <c r="U1059" s="3">
        <v>21889.16</v>
      </c>
      <c r="V1059" s="3">
        <v>13865.6</v>
      </c>
      <c r="W1059" s="3">
        <v>8023.56</v>
      </c>
      <c r="X1059" s="3">
        <v>36.659999999999997</v>
      </c>
      <c r="Y1059" s="3">
        <v>49</v>
      </c>
      <c r="Z1059" s="3" t="s">
        <v>43</v>
      </c>
      <c r="AA1059" s="3" t="s">
        <v>100</v>
      </c>
      <c r="AB1059" s="3" t="s">
        <v>101</v>
      </c>
      <c r="AC1059" s="3"/>
    </row>
    <row r="1060" spans="1:29" x14ac:dyDescent="0.3">
      <c r="A1060" s="2" t="s">
        <v>5505</v>
      </c>
      <c r="B1060" s="2" t="s">
        <v>5506</v>
      </c>
      <c r="C1060" s="2" t="s">
        <v>2529</v>
      </c>
      <c r="D1060" s="2" t="s">
        <v>5507</v>
      </c>
      <c r="E1060" s="2" t="s">
        <v>18</v>
      </c>
      <c r="F1060" s="2" t="s">
        <v>1013</v>
      </c>
      <c r="G1060" s="2" t="s">
        <v>1014</v>
      </c>
      <c r="H1060" s="2" t="s">
        <v>1204</v>
      </c>
      <c r="I1060" s="2">
        <v>7</v>
      </c>
      <c r="J1060" s="2" t="s">
        <v>29</v>
      </c>
      <c r="K1060" s="2" t="s">
        <v>160</v>
      </c>
      <c r="L1060" s="2" t="s">
        <v>161</v>
      </c>
      <c r="M1060" s="2" t="s">
        <v>5508</v>
      </c>
      <c r="N1060" s="2" t="s">
        <v>837</v>
      </c>
      <c r="O1060" s="2" t="s">
        <v>27</v>
      </c>
      <c r="P1060" s="2" t="s">
        <v>257</v>
      </c>
      <c r="Q1060" s="2" t="s">
        <v>466</v>
      </c>
      <c r="R1060" s="2">
        <v>3</v>
      </c>
      <c r="S1060" s="2">
        <v>11838.57</v>
      </c>
      <c r="T1060" s="2">
        <v>5</v>
      </c>
      <c r="U1060" s="2">
        <v>33739.919999999998</v>
      </c>
      <c r="V1060" s="2">
        <v>22437.42</v>
      </c>
      <c r="W1060" s="2">
        <v>11302.5</v>
      </c>
      <c r="X1060" s="2">
        <v>33.5</v>
      </c>
      <c r="Y1060" s="2">
        <v>49</v>
      </c>
      <c r="Z1060" s="2" t="s">
        <v>15</v>
      </c>
      <c r="AA1060" s="2" t="s">
        <v>100</v>
      </c>
      <c r="AB1060" s="2" t="s">
        <v>101</v>
      </c>
      <c r="AC1060" s="2">
        <v>3</v>
      </c>
    </row>
    <row r="1061" spans="1:29" x14ac:dyDescent="0.3">
      <c r="A1061" s="3" t="s">
        <v>5509</v>
      </c>
      <c r="B1061" s="3" t="s">
        <v>5510</v>
      </c>
      <c r="C1061" s="3" t="s">
        <v>2202</v>
      </c>
      <c r="D1061" s="3" t="s">
        <v>5511</v>
      </c>
      <c r="E1061" s="3" t="s">
        <v>42</v>
      </c>
      <c r="F1061" s="3" t="s">
        <v>832</v>
      </c>
      <c r="G1061" s="3" t="s">
        <v>1703</v>
      </c>
      <c r="H1061" s="3" t="s">
        <v>5512</v>
      </c>
      <c r="I1061" s="3">
        <v>2</v>
      </c>
      <c r="J1061" s="3" t="s">
        <v>39</v>
      </c>
      <c r="K1061" s="3" t="s">
        <v>225</v>
      </c>
      <c r="L1061" s="3" t="s">
        <v>225</v>
      </c>
      <c r="M1061" s="3" t="s">
        <v>2463</v>
      </c>
      <c r="N1061" s="3" t="s">
        <v>1380</v>
      </c>
      <c r="O1061" s="3" t="s">
        <v>28</v>
      </c>
      <c r="P1061" s="3" t="s">
        <v>137</v>
      </c>
      <c r="Q1061" s="3" t="s">
        <v>246</v>
      </c>
      <c r="R1061" s="3">
        <v>1</v>
      </c>
      <c r="S1061" s="3">
        <v>30343.49</v>
      </c>
      <c r="T1061" s="3">
        <v>10</v>
      </c>
      <c r="U1061" s="3">
        <v>27309.14</v>
      </c>
      <c r="V1061" s="3">
        <v>16077.46</v>
      </c>
      <c r="W1061" s="3">
        <v>11231.68</v>
      </c>
      <c r="X1061" s="3">
        <v>41.13</v>
      </c>
      <c r="Y1061" s="3">
        <v>49</v>
      </c>
      <c r="Z1061" s="3" t="s">
        <v>47</v>
      </c>
      <c r="AA1061" s="3" t="s">
        <v>100</v>
      </c>
      <c r="AB1061" s="3" t="s">
        <v>101</v>
      </c>
      <c r="AC1061" s="3"/>
    </row>
    <row r="1062" spans="1:29" x14ac:dyDescent="0.3">
      <c r="A1062" s="2" t="s">
        <v>5513</v>
      </c>
      <c r="B1062" s="2" t="s">
        <v>5514</v>
      </c>
      <c r="C1062" s="2" t="s">
        <v>1011</v>
      </c>
      <c r="D1062" s="2" t="s">
        <v>5515</v>
      </c>
      <c r="E1062" s="2" t="s">
        <v>18</v>
      </c>
      <c r="F1062" s="2" t="s">
        <v>3559</v>
      </c>
      <c r="G1062" s="2" t="s">
        <v>2069</v>
      </c>
      <c r="H1062" s="2" t="s">
        <v>1185</v>
      </c>
      <c r="I1062" s="2">
        <v>4</v>
      </c>
      <c r="J1062" s="2" t="s">
        <v>22</v>
      </c>
      <c r="K1062" s="2" t="s">
        <v>122</v>
      </c>
      <c r="L1062" s="2" t="s">
        <v>123</v>
      </c>
      <c r="M1062" s="2" t="s">
        <v>5516</v>
      </c>
      <c r="N1062" s="2" t="s">
        <v>837</v>
      </c>
      <c r="O1062" s="2" t="s">
        <v>27</v>
      </c>
      <c r="P1062" s="2" t="s">
        <v>257</v>
      </c>
      <c r="Q1062" s="2" t="s">
        <v>287</v>
      </c>
      <c r="R1062" s="2">
        <v>3</v>
      </c>
      <c r="S1062" s="2">
        <v>29896.69</v>
      </c>
      <c r="T1062" s="2">
        <v>10</v>
      </c>
      <c r="U1062" s="2">
        <v>80721.06</v>
      </c>
      <c r="V1062" s="2">
        <v>54608.83</v>
      </c>
      <c r="W1062" s="2">
        <v>26112.23</v>
      </c>
      <c r="X1062" s="2">
        <v>32.35</v>
      </c>
      <c r="Y1062" s="2">
        <v>199</v>
      </c>
      <c r="Z1062" s="2" t="s">
        <v>40</v>
      </c>
      <c r="AA1062" s="2" t="s">
        <v>100</v>
      </c>
      <c r="AB1062" s="2" t="s">
        <v>101</v>
      </c>
      <c r="AC1062" s="2">
        <v>1</v>
      </c>
    </row>
    <row r="1063" spans="1:29" x14ac:dyDescent="0.3">
      <c r="A1063" s="3" t="s">
        <v>5517</v>
      </c>
      <c r="B1063" s="3" t="s">
        <v>5518</v>
      </c>
      <c r="C1063" s="3" t="s">
        <v>260</v>
      </c>
      <c r="D1063" s="3" t="s">
        <v>5519</v>
      </c>
      <c r="E1063" s="3" t="s">
        <v>33</v>
      </c>
      <c r="F1063" s="3" t="s">
        <v>2659</v>
      </c>
      <c r="G1063" s="3" t="s">
        <v>1206</v>
      </c>
      <c r="H1063" s="3" t="s">
        <v>1825</v>
      </c>
      <c r="I1063" s="3">
        <v>2</v>
      </c>
      <c r="J1063" s="3" t="s">
        <v>14</v>
      </c>
      <c r="K1063" s="3" t="s">
        <v>95</v>
      </c>
      <c r="L1063" s="3" t="s">
        <v>95</v>
      </c>
      <c r="M1063" s="3" t="s">
        <v>5520</v>
      </c>
      <c r="N1063" s="3" t="s">
        <v>286</v>
      </c>
      <c r="O1063" s="3" t="s">
        <v>28</v>
      </c>
      <c r="P1063" s="3" t="s">
        <v>137</v>
      </c>
      <c r="Q1063" s="3" t="s">
        <v>400</v>
      </c>
      <c r="R1063" s="3">
        <v>1</v>
      </c>
      <c r="S1063" s="3">
        <v>17897.88</v>
      </c>
      <c r="T1063" s="3">
        <v>15</v>
      </c>
      <c r="U1063" s="3">
        <v>15213.2</v>
      </c>
      <c r="V1063" s="3">
        <v>8483.08</v>
      </c>
      <c r="W1063" s="3">
        <v>6730.12</v>
      </c>
      <c r="X1063" s="3">
        <v>44.24</v>
      </c>
      <c r="Y1063" s="3">
        <v>149</v>
      </c>
      <c r="Z1063" s="3" t="s">
        <v>30</v>
      </c>
      <c r="AA1063" s="3" t="s">
        <v>100</v>
      </c>
      <c r="AB1063" s="3" t="s">
        <v>101</v>
      </c>
      <c r="AC1063" s="3">
        <v>1</v>
      </c>
    </row>
    <row r="1064" spans="1:29" x14ac:dyDescent="0.3">
      <c r="A1064" s="2" t="s">
        <v>5521</v>
      </c>
      <c r="B1064" s="2" t="s">
        <v>5522</v>
      </c>
      <c r="C1064" s="2" t="s">
        <v>3903</v>
      </c>
      <c r="D1064" s="2" t="s">
        <v>5523</v>
      </c>
      <c r="E1064" s="2" t="s">
        <v>42</v>
      </c>
      <c r="F1064" s="2" t="s">
        <v>3740</v>
      </c>
      <c r="G1064" s="2" t="s">
        <v>2293</v>
      </c>
      <c r="H1064" s="2" t="s">
        <v>2409</v>
      </c>
      <c r="I1064" s="2">
        <v>6</v>
      </c>
      <c r="J1064" s="2" t="s">
        <v>29</v>
      </c>
      <c r="K1064" s="2" t="s">
        <v>427</v>
      </c>
      <c r="L1064" s="2" t="s">
        <v>1871</v>
      </c>
      <c r="M1064" s="2" t="s">
        <v>5524</v>
      </c>
      <c r="N1064" s="2" t="s">
        <v>286</v>
      </c>
      <c r="O1064" s="2" t="s">
        <v>28</v>
      </c>
      <c r="P1064" s="2" t="s">
        <v>137</v>
      </c>
      <c r="Q1064" s="2" t="s">
        <v>127</v>
      </c>
      <c r="R1064" s="2">
        <v>1</v>
      </c>
      <c r="S1064" s="2">
        <v>33677.1</v>
      </c>
      <c r="T1064" s="2">
        <v>20</v>
      </c>
      <c r="U1064" s="2">
        <v>26941.68</v>
      </c>
      <c r="V1064" s="2">
        <v>16529.21</v>
      </c>
      <c r="W1064" s="2">
        <v>10412.469999999999</v>
      </c>
      <c r="X1064" s="2">
        <v>38.65</v>
      </c>
      <c r="Y1064" s="2">
        <v>99</v>
      </c>
      <c r="Z1064" s="2" t="s">
        <v>30</v>
      </c>
      <c r="AA1064" s="2" t="s">
        <v>100</v>
      </c>
      <c r="AB1064" s="2" t="s">
        <v>101</v>
      </c>
      <c r="AC1064" s="2">
        <v>1</v>
      </c>
    </row>
    <row r="1065" spans="1:29" x14ac:dyDescent="0.3">
      <c r="A1065" s="3" t="s">
        <v>5525</v>
      </c>
      <c r="B1065" s="3" t="s">
        <v>5526</v>
      </c>
      <c r="C1065" s="3" t="s">
        <v>586</v>
      </c>
      <c r="D1065" s="3" t="s">
        <v>5527</v>
      </c>
      <c r="E1065" s="3" t="s">
        <v>26</v>
      </c>
      <c r="F1065" s="3" t="s">
        <v>454</v>
      </c>
      <c r="G1065" s="3" t="s">
        <v>2364</v>
      </c>
      <c r="H1065" s="3" t="s">
        <v>5528</v>
      </c>
      <c r="I1065" s="3">
        <v>7</v>
      </c>
      <c r="J1065" s="3" t="s">
        <v>39</v>
      </c>
      <c r="K1065" s="3" t="s">
        <v>109</v>
      </c>
      <c r="L1065" s="3" t="s">
        <v>344</v>
      </c>
      <c r="M1065" s="3" t="s">
        <v>5529</v>
      </c>
      <c r="N1065" s="3" t="s">
        <v>508</v>
      </c>
      <c r="O1065" s="3" t="s">
        <v>19</v>
      </c>
      <c r="P1065" s="3" t="s">
        <v>365</v>
      </c>
      <c r="Q1065" s="3" t="s">
        <v>207</v>
      </c>
      <c r="R1065" s="3">
        <v>4</v>
      </c>
      <c r="S1065" s="3">
        <v>23344.26</v>
      </c>
      <c r="T1065" s="3">
        <v>20</v>
      </c>
      <c r="U1065" s="3">
        <v>74701.63</v>
      </c>
      <c r="V1065" s="3">
        <v>42904.39</v>
      </c>
      <c r="W1065" s="3">
        <v>31797.24</v>
      </c>
      <c r="X1065" s="3">
        <v>42.57</v>
      </c>
      <c r="Y1065" s="3">
        <v>149</v>
      </c>
      <c r="Z1065" s="3" t="s">
        <v>30</v>
      </c>
      <c r="AA1065" s="3" t="s">
        <v>275</v>
      </c>
      <c r="AB1065" s="3" t="s">
        <v>101</v>
      </c>
      <c r="AC1065" s="3"/>
    </row>
    <row r="1066" spans="1:29" x14ac:dyDescent="0.3">
      <c r="A1066" s="2" t="s">
        <v>5530</v>
      </c>
      <c r="B1066" s="2" t="s">
        <v>5531</v>
      </c>
      <c r="C1066" s="2" t="s">
        <v>1426</v>
      </c>
      <c r="D1066" s="2" t="s">
        <v>5532</v>
      </c>
      <c r="E1066" s="2" t="s">
        <v>18</v>
      </c>
      <c r="F1066" s="2" t="s">
        <v>213</v>
      </c>
      <c r="G1066" s="2" t="s">
        <v>3539</v>
      </c>
      <c r="H1066" s="2" t="s">
        <v>778</v>
      </c>
      <c r="I1066" s="2">
        <v>4</v>
      </c>
      <c r="J1066" s="2" t="s">
        <v>14</v>
      </c>
      <c r="K1066" s="2" t="s">
        <v>215</v>
      </c>
      <c r="L1066" s="2" t="s">
        <v>215</v>
      </c>
      <c r="M1066" s="2" t="s">
        <v>5533</v>
      </c>
      <c r="N1066" s="2" t="s">
        <v>409</v>
      </c>
      <c r="O1066" s="2" t="s">
        <v>21</v>
      </c>
      <c r="P1066" s="2" t="s">
        <v>196</v>
      </c>
      <c r="Q1066" s="2" t="s">
        <v>466</v>
      </c>
      <c r="R1066" s="2">
        <v>3</v>
      </c>
      <c r="S1066" s="2">
        <v>12444.84</v>
      </c>
      <c r="T1066" s="2">
        <v>0</v>
      </c>
      <c r="U1066" s="2">
        <v>37334.519999999997</v>
      </c>
      <c r="V1066" s="2">
        <v>19497.310000000001</v>
      </c>
      <c r="W1066" s="2">
        <v>17837.21</v>
      </c>
      <c r="X1066" s="2">
        <v>47.78</v>
      </c>
      <c r="Y1066" s="2">
        <v>149</v>
      </c>
      <c r="Z1066" s="2" t="s">
        <v>40</v>
      </c>
      <c r="AA1066" s="2" t="s">
        <v>100</v>
      </c>
      <c r="AB1066" s="2" t="s">
        <v>101</v>
      </c>
      <c r="AC1066" s="2">
        <v>4</v>
      </c>
    </row>
    <row r="1067" spans="1:29" x14ac:dyDescent="0.3">
      <c r="A1067" s="3" t="s">
        <v>5534</v>
      </c>
      <c r="B1067" s="3" t="s">
        <v>3557</v>
      </c>
      <c r="C1067" s="3" t="s">
        <v>2110</v>
      </c>
      <c r="D1067" s="3" t="s">
        <v>5535</v>
      </c>
      <c r="E1067" s="3" t="s">
        <v>18</v>
      </c>
      <c r="F1067" s="3" t="s">
        <v>2092</v>
      </c>
      <c r="G1067" s="3" t="s">
        <v>1378</v>
      </c>
      <c r="H1067" s="3" t="s">
        <v>2910</v>
      </c>
      <c r="I1067" s="3">
        <v>4</v>
      </c>
      <c r="J1067" s="3" t="s">
        <v>14</v>
      </c>
      <c r="K1067" s="3" t="s">
        <v>171</v>
      </c>
      <c r="L1067" s="3" t="s">
        <v>172</v>
      </c>
      <c r="M1067" s="3" t="s">
        <v>5536</v>
      </c>
      <c r="N1067" s="3" t="s">
        <v>551</v>
      </c>
      <c r="O1067" s="3" t="s">
        <v>13</v>
      </c>
      <c r="P1067" s="3" t="s">
        <v>98</v>
      </c>
      <c r="Q1067" s="3" t="s">
        <v>197</v>
      </c>
      <c r="R1067" s="3">
        <v>1</v>
      </c>
      <c r="S1067" s="3">
        <v>28410.48</v>
      </c>
      <c r="T1067" s="3">
        <v>25</v>
      </c>
      <c r="U1067" s="3">
        <v>21307.86</v>
      </c>
      <c r="V1067" s="3">
        <v>11621.85</v>
      </c>
      <c r="W1067" s="3">
        <v>9686.01</v>
      </c>
      <c r="X1067" s="3">
        <v>45.46</v>
      </c>
      <c r="Y1067" s="3">
        <v>29</v>
      </c>
      <c r="Z1067" s="3" t="s">
        <v>15</v>
      </c>
      <c r="AA1067" s="3" t="s">
        <v>100</v>
      </c>
      <c r="AB1067" s="3" t="s">
        <v>101</v>
      </c>
      <c r="AC1067" s="3">
        <v>2</v>
      </c>
    </row>
    <row r="1068" spans="1:29" x14ac:dyDescent="0.3">
      <c r="A1068" s="2" t="s">
        <v>5537</v>
      </c>
      <c r="B1068" s="2" t="s">
        <v>5538</v>
      </c>
      <c r="C1068" s="2" t="s">
        <v>918</v>
      </c>
      <c r="D1068" s="2" t="s">
        <v>5539</v>
      </c>
      <c r="E1068" s="2" t="s">
        <v>18</v>
      </c>
      <c r="F1068" s="2" t="s">
        <v>1397</v>
      </c>
      <c r="G1068" s="2" t="s">
        <v>351</v>
      </c>
      <c r="H1068" s="2" t="s">
        <v>2791</v>
      </c>
      <c r="I1068" s="2">
        <v>5</v>
      </c>
      <c r="J1068" s="2" t="s">
        <v>22</v>
      </c>
      <c r="K1068" s="2" t="s">
        <v>254</v>
      </c>
      <c r="L1068" s="2" t="s">
        <v>254</v>
      </c>
      <c r="M1068" s="2" t="s">
        <v>5540</v>
      </c>
      <c r="N1068" s="2" t="s">
        <v>185</v>
      </c>
      <c r="O1068" s="2" t="s">
        <v>28</v>
      </c>
      <c r="P1068" s="2" t="s">
        <v>151</v>
      </c>
      <c r="Q1068" s="2" t="s">
        <v>287</v>
      </c>
      <c r="R1068" s="2">
        <v>3</v>
      </c>
      <c r="S1068" s="2">
        <v>13613.93</v>
      </c>
      <c r="T1068" s="2">
        <v>0</v>
      </c>
      <c r="U1068" s="2">
        <v>40841.79</v>
      </c>
      <c r="V1068" s="2">
        <v>24785.27</v>
      </c>
      <c r="W1068" s="2">
        <v>16056.52</v>
      </c>
      <c r="X1068" s="2">
        <v>39.31</v>
      </c>
      <c r="Y1068" s="2">
        <v>199</v>
      </c>
      <c r="Z1068" s="2" t="s">
        <v>15</v>
      </c>
      <c r="AA1068" s="2" t="s">
        <v>100</v>
      </c>
      <c r="AB1068" s="2" t="s">
        <v>101</v>
      </c>
      <c r="AC1068" s="2">
        <v>3</v>
      </c>
    </row>
    <row r="1069" spans="1:29" x14ac:dyDescent="0.3">
      <c r="A1069" s="3" t="s">
        <v>5541</v>
      </c>
      <c r="B1069" s="3" t="s">
        <v>5542</v>
      </c>
      <c r="C1069" s="3" t="s">
        <v>2110</v>
      </c>
      <c r="D1069" s="3" t="s">
        <v>5543</v>
      </c>
      <c r="E1069" s="3" t="s">
        <v>33</v>
      </c>
      <c r="F1069" s="3" t="s">
        <v>3302</v>
      </c>
      <c r="G1069" s="3" t="s">
        <v>2294</v>
      </c>
      <c r="H1069" s="3" t="s">
        <v>1256</v>
      </c>
      <c r="I1069" s="3">
        <v>4</v>
      </c>
      <c r="J1069" s="3" t="s">
        <v>14</v>
      </c>
      <c r="K1069" s="3" t="s">
        <v>712</v>
      </c>
      <c r="L1069" s="3" t="s">
        <v>712</v>
      </c>
      <c r="M1069" s="3" t="s">
        <v>5544</v>
      </c>
      <c r="N1069" s="3" t="s">
        <v>438</v>
      </c>
      <c r="O1069" s="3" t="s">
        <v>13</v>
      </c>
      <c r="P1069" s="3" t="s">
        <v>228</v>
      </c>
      <c r="Q1069" s="3" t="s">
        <v>466</v>
      </c>
      <c r="R1069" s="3">
        <v>5</v>
      </c>
      <c r="S1069" s="3">
        <v>11897.25</v>
      </c>
      <c r="T1069" s="3">
        <v>10</v>
      </c>
      <c r="U1069" s="3">
        <v>53537.62</v>
      </c>
      <c r="V1069" s="3">
        <v>37463.379999999997</v>
      </c>
      <c r="W1069" s="3">
        <v>16074.24</v>
      </c>
      <c r="X1069" s="3">
        <v>30.02</v>
      </c>
      <c r="Y1069" s="3">
        <v>29</v>
      </c>
      <c r="Z1069" s="3" t="s">
        <v>23</v>
      </c>
      <c r="AA1069" s="3" t="s">
        <v>100</v>
      </c>
      <c r="AB1069" s="3" t="s">
        <v>101</v>
      </c>
      <c r="AC1069" s="3">
        <v>2</v>
      </c>
    </row>
    <row r="1070" spans="1:29" x14ac:dyDescent="0.3">
      <c r="A1070" s="2" t="s">
        <v>5545</v>
      </c>
      <c r="B1070" s="2" t="s">
        <v>5546</v>
      </c>
      <c r="C1070" s="2" t="s">
        <v>512</v>
      </c>
      <c r="D1070" s="2" t="s">
        <v>5547</v>
      </c>
      <c r="E1070" s="2" t="s">
        <v>26</v>
      </c>
      <c r="F1070" s="2" t="s">
        <v>1889</v>
      </c>
      <c r="G1070" s="2" t="s">
        <v>2537</v>
      </c>
      <c r="H1070" s="2" t="s">
        <v>655</v>
      </c>
      <c r="I1070" s="2">
        <v>8</v>
      </c>
      <c r="J1070" s="2" t="s">
        <v>29</v>
      </c>
      <c r="K1070" s="2" t="s">
        <v>160</v>
      </c>
      <c r="L1070" s="2" t="s">
        <v>976</v>
      </c>
      <c r="M1070" s="2" t="s">
        <v>5548</v>
      </c>
      <c r="N1070" s="2" t="s">
        <v>364</v>
      </c>
      <c r="O1070" s="2" t="s">
        <v>19</v>
      </c>
      <c r="P1070" s="2" t="s">
        <v>365</v>
      </c>
      <c r="Q1070" s="2" t="s">
        <v>138</v>
      </c>
      <c r="R1070" s="2">
        <v>3</v>
      </c>
      <c r="S1070" s="2">
        <v>1823.42</v>
      </c>
      <c r="T1070" s="2">
        <v>0</v>
      </c>
      <c r="U1070" s="2">
        <v>5470.26</v>
      </c>
      <c r="V1070" s="2">
        <v>2630.13</v>
      </c>
      <c r="W1070" s="2">
        <v>2840.13</v>
      </c>
      <c r="X1070" s="2">
        <v>51.92</v>
      </c>
      <c r="Y1070" s="2">
        <v>49</v>
      </c>
      <c r="Z1070" s="2" t="s">
        <v>30</v>
      </c>
      <c r="AA1070" s="2" t="s">
        <v>100</v>
      </c>
      <c r="AB1070" s="2" t="s">
        <v>140</v>
      </c>
      <c r="AC1070" s="2"/>
    </row>
    <row r="1071" spans="1:29" x14ac:dyDescent="0.3">
      <c r="A1071" s="3" t="s">
        <v>5549</v>
      </c>
      <c r="B1071" s="3" t="s">
        <v>5550</v>
      </c>
      <c r="C1071" s="3" t="s">
        <v>2590</v>
      </c>
      <c r="D1071" s="3" t="s">
        <v>5551</v>
      </c>
      <c r="E1071" s="3" t="s">
        <v>33</v>
      </c>
      <c r="F1071" s="3" t="s">
        <v>1329</v>
      </c>
      <c r="G1071" s="3" t="s">
        <v>2354</v>
      </c>
      <c r="H1071" s="3" t="s">
        <v>272</v>
      </c>
      <c r="I1071" s="3">
        <v>4</v>
      </c>
      <c r="J1071" s="3" t="s">
        <v>29</v>
      </c>
      <c r="K1071" s="3" t="s">
        <v>334</v>
      </c>
      <c r="L1071" s="3" t="s">
        <v>614</v>
      </c>
      <c r="M1071" s="3" t="s">
        <v>5552</v>
      </c>
      <c r="N1071" s="3" t="s">
        <v>722</v>
      </c>
      <c r="O1071" s="3" t="s">
        <v>27</v>
      </c>
      <c r="P1071" s="3" t="s">
        <v>175</v>
      </c>
      <c r="Q1071" s="3" t="s">
        <v>218</v>
      </c>
      <c r="R1071" s="3">
        <v>2</v>
      </c>
      <c r="S1071" s="3">
        <v>15529.47</v>
      </c>
      <c r="T1071" s="3">
        <v>0</v>
      </c>
      <c r="U1071" s="3">
        <v>31058.94</v>
      </c>
      <c r="V1071" s="3">
        <v>17200.88</v>
      </c>
      <c r="W1071" s="3">
        <v>13858.06</v>
      </c>
      <c r="X1071" s="3">
        <v>44.62</v>
      </c>
      <c r="Y1071" s="3">
        <v>0</v>
      </c>
      <c r="Z1071" s="3" t="s">
        <v>47</v>
      </c>
      <c r="AA1071" s="3" t="s">
        <v>100</v>
      </c>
      <c r="AB1071" s="3" t="s">
        <v>101</v>
      </c>
      <c r="AC1071" s="3">
        <v>2</v>
      </c>
    </row>
    <row r="1072" spans="1:29" x14ac:dyDescent="0.3">
      <c r="A1072" s="2" t="s">
        <v>5553</v>
      </c>
      <c r="B1072" s="2" t="s">
        <v>5554</v>
      </c>
      <c r="C1072" s="2" t="s">
        <v>3436</v>
      </c>
      <c r="D1072" s="2" t="s">
        <v>5555</v>
      </c>
      <c r="E1072" s="2" t="s">
        <v>42</v>
      </c>
      <c r="F1072" s="2" t="s">
        <v>2568</v>
      </c>
      <c r="G1072" s="2" t="s">
        <v>729</v>
      </c>
      <c r="H1072" s="2" t="s">
        <v>1360</v>
      </c>
      <c r="I1072" s="2">
        <v>2</v>
      </c>
      <c r="J1072" s="2" t="s">
        <v>29</v>
      </c>
      <c r="K1072" s="2" t="s">
        <v>427</v>
      </c>
      <c r="L1072" s="2" t="s">
        <v>1871</v>
      </c>
      <c r="M1072" s="2" t="s">
        <v>5556</v>
      </c>
      <c r="N1072" s="2" t="s">
        <v>163</v>
      </c>
      <c r="O1072" s="2" t="s">
        <v>21</v>
      </c>
      <c r="P1072" s="2" t="s">
        <v>126</v>
      </c>
      <c r="Q1072" s="2" t="s">
        <v>466</v>
      </c>
      <c r="R1072" s="2">
        <v>2</v>
      </c>
      <c r="S1072" s="2">
        <v>34320.839999999997</v>
      </c>
      <c r="T1072" s="2">
        <v>25</v>
      </c>
      <c r="U1072" s="2">
        <v>51481.26</v>
      </c>
      <c r="V1072" s="2">
        <v>23769.61</v>
      </c>
      <c r="W1072" s="2">
        <v>27711.65</v>
      </c>
      <c r="X1072" s="2">
        <v>53.83</v>
      </c>
      <c r="Y1072" s="2">
        <v>0</v>
      </c>
      <c r="Z1072" s="2" t="s">
        <v>47</v>
      </c>
      <c r="AA1072" s="2" t="s">
        <v>100</v>
      </c>
      <c r="AB1072" s="2" t="s">
        <v>101</v>
      </c>
      <c r="AC1072" s="2"/>
    </row>
    <row r="1073" spans="1:29" x14ac:dyDescent="0.3">
      <c r="A1073" s="3" t="s">
        <v>5557</v>
      </c>
      <c r="B1073" s="3" t="s">
        <v>5558</v>
      </c>
      <c r="C1073" s="3" t="s">
        <v>1226</v>
      </c>
      <c r="D1073" s="3" t="s">
        <v>5559</v>
      </c>
      <c r="E1073" s="3" t="s">
        <v>26</v>
      </c>
      <c r="F1073" s="3" t="s">
        <v>997</v>
      </c>
      <c r="G1073" s="3" t="s">
        <v>3614</v>
      </c>
      <c r="H1073" s="3" t="s">
        <v>1047</v>
      </c>
      <c r="I1073" s="3">
        <v>6</v>
      </c>
      <c r="J1073" s="3" t="s">
        <v>22</v>
      </c>
      <c r="K1073" s="3" t="s">
        <v>122</v>
      </c>
      <c r="L1073" s="3" t="s">
        <v>812</v>
      </c>
      <c r="M1073" s="3" t="s">
        <v>2607</v>
      </c>
      <c r="N1073" s="3" t="s">
        <v>889</v>
      </c>
      <c r="O1073" s="3" t="s">
        <v>27</v>
      </c>
      <c r="P1073" s="3" t="s">
        <v>257</v>
      </c>
      <c r="Q1073" s="3" t="s">
        <v>218</v>
      </c>
      <c r="R1073" s="3">
        <v>1</v>
      </c>
      <c r="S1073" s="3">
        <v>34694.480000000003</v>
      </c>
      <c r="T1073" s="3">
        <v>15</v>
      </c>
      <c r="U1073" s="3">
        <v>29490.31</v>
      </c>
      <c r="V1073" s="3">
        <v>19627.349999999999</v>
      </c>
      <c r="W1073" s="3">
        <v>9862.9599999999991</v>
      </c>
      <c r="X1073" s="3">
        <v>33.44</v>
      </c>
      <c r="Y1073" s="3">
        <v>99</v>
      </c>
      <c r="Z1073" s="3" t="s">
        <v>15</v>
      </c>
      <c r="AA1073" s="3" t="s">
        <v>100</v>
      </c>
      <c r="AB1073" s="3" t="s">
        <v>101</v>
      </c>
      <c r="AC1073" s="3">
        <v>3</v>
      </c>
    </row>
    <row r="1074" spans="1:29" x14ac:dyDescent="0.3">
      <c r="A1074" s="2" t="s">
        <v>5560</v>
      </c>
      <c r="B1074" s="2" t="s">
        <v>1209</v>
      </c>
      <c r="C1074" s="2" t="s">
        <v>1246</v>
      </c>
      <c r="D1074" s="2" t="s">
        <v>5561</v>
      </c>
      <c r="E1074" s="2" t="s">
        <v>26</v>
      </c>
      <c r="F1074" s="2" t="s">
        <v>3553</v>
      </c>
      <c r="G1074" s="2" t="s">
        <v>2943</v>
      </c>
      <c r="H1074" s="2" t="s">
        <v>2944</v>
      </c>
      <c r="I1074" s="2">
        <v>3</v>
      </c>
      <c r="J1074" s="2" t="s">
        <v>22</v>
      </c>
      <c r="K1074" s="2" t="s">
        <v>443</v>
      </c>
      <c r="L1074" s="2" t="s">
        <v>567</v>
      </c>
      <c r="M1074" s="2" t="s">
        <v>265</v>
      </c>
      <c r="N1074" s="2" t="s">
        <v>364</v>
      </c>
      <c r="O1074" s="2" t="s">
        <v>19</v>
      </c>
      <c r="P1074" s="2" t="s">
        <v>365</v>
      </c>
      <c r="Q1074" s="2" t="s">
        <v>99</v>
      </c>
      <c r="R1074" s="2">
        <v>1</v>
      </c>
      <c r="S1074" s="2">
        <v>5448.69</v>
      </c>
      <c r="T1074" s="2">
        <v>10</v>
      </c>
      <c r="U1074" s="2">
        <v>4903.82</v>
      </c>
      <c r="V1074" s="2">
        <v>2273.4899999999998</v>
      </c>
      <c r="W1074" s="2">
        <v>2630.33</v>
      </c>
      <c r="X1074" s="2">
        <v>53.64</v>
      </c>
      <c r="Y1074" s="2">
        <v>49</v>
      </c>
      <c r="Z1074" s="2" t="s">
        <v>30</v>
      </c>
      <c r="AA1074" s="2" t="s">
        <v>100</v>
      </c>
      <c r="AB1074" s="2" t="s">
        <v>101</v>
      </c>
      <c r="AC1074" s="2">
        <v>4</v>
      </c>
    </row>
    <row r="1075" spans="1:29" x14ac:dyDescent="0.3">
      <c r="A1075" s="3" t="s">
        <v>5562</v>
      </c>
      <c r="B1075" s="3" t="s">
        <v>5563</v>
      </c>
      <c r="C1075" s="3" t="s">
        <v>309</v>
      </c>
      <c r="D1075" s="3" t="s">
        <v>5564</v>
      </c>
      <c r="E1075" s="3" t="s">
        <v>26</v>
      </c>
      <c r="F1075" s="3" t="s">
        <v>635</v>
      </c>
      <c r="G1075" s="3" t="s">
        <v>1198</v>
      </c>
      <c r="H1075" s="3" t="s">
        <v>2547</v>
      </c>
      <c r="I1075" s="3">
        <v>4</v>
      </c>
      <c r="J1075" s="3" t="s">
        <v>29</v>
      </c>
      <c r="K1075" s="3" t="s">
        <v>148</v>
      </c>
      <c r="L1075" s="3" t="s">
        <v>148</v>
      </c>
      <c r="M1075" s="3" t="s">
        <v>5492</v>
      </c>
      <c r="N1075" s="3" t="s">
        <v>1611</v>
      </c>
      <c r="O1075" s="3" t="s">
        <v>19</v>
      </c>
      <c r="P1075" s="3" t="s">
        <v>365</v>
      </c>
      <c r="Q1075" s="3" t="s">
        <v>197</v>
      </c>
      <c r="R1075" s="3">
        <v>5</v>
      </c>
      <c r="S1075" s="3">
        <v>683.93</v>
      </c>
      <c r="T1075" s="3">
        <v>30</v>
      </c>
      <c r="U1075" s="3">
        <v>2393.75</v>
      </c>
      <c r="V1075" s="3">
        <v>1624.06</v>
      </c>
      <c r="W1075" s="3">
        <v>769.69</v>
      </c>
      <c r="X1075" s="3">
        <v>32.15</v>
      </c>
      <c r="Y1075" s="3">
        <v>29</v>
      </c>
      <c r="Z1075" s="3" t="s">
        <v>23</v>
      </c>
      <c r="AA1075" s="3" t="s">
        <v>100</v>
      </c>
      <c r="AB1075" s="3" t="s">
        <v>101</v>
      </c>
      <c r="AC1075" s="3">
        <v>1</v>
      </c>
    </row>
    <row r="1076" spans="1:29" x14ac:dyDescent="0.3">
      <c r="A1076" s="2" t="s">
        <v>5565</v>
      </c>
      <c r="B1076" s="2" t="s">
        <v>5566</v>
      </c>
      <c r="C1076" s="2" t="s">
        <v>855</v>
      </c>
      <c r="D1076" s="2" t="s">
        <v>5567</v>
      </c>
      <c r="E1076" s="2" t="s">
        <v>18</v>
      </c>
      <c r="F1076" s="2" t="s">
        <v>2023</v>
      </c>
      <c r="G1076" s="2" t="s">
        <v>776</v>
      </c>
      <c r="H1076" s="2" t="s">
        <v>3797</v>
      </c>
      <c r="I1076" s="2">
        <v>6</v>
      </c>
      <c r="J1076" s="2" t="s">
        <v>22</v>
      </c>
      <c r="K1076" s="2" t="s">
        <v>283</v>
      </c>
      <c r="L1076" s="2" t="s">
        <v>748</v>
      </c>
      <c r="M1076" s="2" t="s">
        <v>5568</v>
      </c>
      <c r="N1076" s="2" t="s">
        <v>316</v>
      </c>
      <c r="O1076" s="2" t="s">
        <v>28</v>
      </c>
      <c r="P1076" s="2" t="s">
        <v>137</v>
      </c>
      <c r="Q1076" s="2" t="s">
        <v>608</v>
      </c>
      <c r="R1076" s="2">
        <v>5</v>
      </c>
      <c r="S1076" s="2">
        <v>47992.61</v>
      </c>
      <c r="T1076" s="2">
        <v>30</v>
      </c>
      <c r="U1076" s="2">
        <v>167974.13</v>
      </c>
      <c r="V1076" s="2">
        <v>92328.84</v>
      </c>
      <c r="W1076" s="2">
        <v>75645.289999999994</v>
      </c>
      <c r="X1076" s="2">
        <v>45.03</v>
      </c>
      <c r="Y1076" s="2">
        <v>0</v>
      </c>
      <c r="Z1076" s="2" t="s">
        <v>43</v>
      </c>
      <c r="AA1076" s="2" t="s">
        <v>100</v>
      </c>
      <c r="AB1076" s="2" t="s">
        <v>101</v>
      </c>
      <c r="AC1076" s="2"/>
    </row>
    <row r="1077" spans="1:29" x14ac:dyDescent="0.3">
      <c r="A1077" s="3" t="s">
        <v>5569</v>
      </c>
      <c r="B1077" s="3" t="s">
        <v>5570</v>
      </c>
      <c r="C1077" s="3" t="s">
        <v>1809</v>
      </c>
      <c r="D1077" s="3" t="s">
        <v>5571</v>
      </c>
      <c r="E1077" s="3" t="s">
        <v>18</v>
      </c>
      <c r="F1077" s="3" t="s">
        <v>1213</v>
      </c>
      <c r="G1077" s="3" t="s">
        <v>262</v>
      </c>
      <c r="H1077" s="3" t="s">
        <v>263</v>
      </c>
      <c r="I1077" s="3">
        <v>2</v>
      </c>
      <c r="J1077" s="3" t="s">
        <v>39</v>
      </c>
      <c r="K1077" s="3" t="s">
        <v>314</v>
      </c>
      <c r="L1077" s="3" t="s">
        <v>314</v>
      </c>
      <c r="M1077" s="3" t="s">
        <v>5572</v>
      </c>
      <c r="N1077" s="3" t="s">
        <v>475</v>
      </c>
      <c r="O1077" s="3" t="s">
        <v>13</v>
      </c>
      <c r="P1077" s="3" t="s">
        <v>228</v>
      </c>
      <c r="Q1077" s="3" t="s">
        <v>355</v>
      </c>
      <c r="R1077" s="3">
        <v>4</v>
      </c>
      <c r="S1077" s="3">
        <v>6970.58</v>
      </c>
      <c r="T1077" s="3">
        <v>10</v>
      </c>
      <c r="U1077" s="3">
        <v>25094.09</v>
      </c>
      <c r="V1077" s="3">
        <v>12713.97</v>
      </c>
      <c r="W1077" s="3">
        <v>12380.12</v>
      </c>
      <c r="X1077" s="3">
        <v>49.33</v>
      </c>
      <c r="Y1077" s="3">
        <v>99</v>
      </c>
      <c r="Z1077" s="3" t="s">
        <v>43</v>
      </c>
      <c r="AA1077" s="3" t="s">
        <v>672</v>
      </c>
      <c r="AB1077" s="3" t="s">
        <v>101</v>
      </c>
      <c r="AC1077" s="3"/>
    </row>
    <row r="1078" spans="1:29" x14ac:dyDescent="0.3">
      <c r="A1078" s="2" t="s">
        <v>5573</v>
      </c>
      <c r="B1078" s="2" t="s">
        <v>5574</v>
      </c>
      <c r="C1078" s="2" t="s">
        <v>1364</v>
      </c>
      <c r="D1078" s="2" t="s">
        <v>4143</v>
      </c>
      <c r="E1078" s="2" t="s">
        <v>18</v>
      </c>
      <c r="F1078" s="2" t="s">
        <v>2450</v>
      </c>
      <c r="G1078" s="2" t="s">
        <v>2364</v>
      </c>
      <c r="H1078" s="2" t="s">
        <v>1931</v>
      </c>
      <c r="I1078" s="2">
        <v>4</v>
      </c>
      <c r="J1078" s="2" t="s">
        <v>29</v>
      </c>
      <c r="K1078" s="2" t="s">
        <v>160</v>
      </c>
      <c r="L1078" s="2" t="s">
        <v>559</v>
      </c>
      <c r="M1078" s="2" t="s">
        <v>1559</v>
      </c>
      <c r="N1078" s="2" t="s">
        <v>1380</v>
      </c>
      <c r="O1078" s="2" t="s">
        <v>28</v>
      </c>
      <c r="P1078" s="2" t="s">
        <v>137</v>
      </c>
      <c r="Q1078" s="2" t="s">
        <v>218</v>
      </c>
      <c r="R1078" s="2">
        <v>3</v>
      </c>
      <c r="S1078" s="2">
        <v>32836.019999999997</v>
      </c>
      <c r="T1078" s="2">
        <v>15</v>
      </c>
      <c r="U1078" s="2">
        <v>83731.850000000006</v>
      </c>
      <c r="V1078" s="2">
        <v>43093.71</v>
      </c>
      <c r="W1078" s="2">
        <v>40638.14</v>
      </c>
      <c r="X1078" s="2">
        <v>48.53</v>
      </c>
      <c r="Y1078" s="2">
        <v>149</v>
      </c>
      <c r="Z1078" s="2" t="s">
        <v>30</v>
      </c>
      <c r="AA1078" s="2" t="s">
        <v>100</v>
      </c>
      <c r="AB1078" s="2" t="s">
        <v>101</v>
      </c>
      <c r="AC1078" s="2"/>
    </row>
    <row r="1079" spans="1:29" x14ac:dyDescent="0.3">
      <c r="A1079" s="3" t="s">
        <v>5575</v>
      </c>
      <c r="B1079" s="3" t="s">
        <v>5576</v>
      </c>
      <c r="C1079" s="3" t="s">
        <v>422</v>
      </c>
      <c r="D1079" s="3" t="s">
        <v>5577</v>
      </c>
      <c r="E1079" s="3" t="s">
        <v>33</v>
      </c>
      <c r="F1079" s="3" t="s">
        <v>5440</v>
      </c>
      <c r="G1079" s="3" t="s">
        <v>491</v>
      </c>
      <c r="H1079" s="3" t="s">
        <v>3834</v>
      </c>
      <c r="I1079" s="3">
        <v>6</v>
      </c>
      <c r="J1079" s="3" t="s">
        <v>29</v>
      </c>
      <c r="K1079" s="3" t="s">
        <v>160</v>
      </c>
      <c r="L1079" s="3" t="s">
        <v>161</v>
      </c>
      <c r="M1079" s="3" t="s">
        <v>4224</v>
      </c>
      <c r="N1079" s="3" t="s">
        <v>418</v>
      </c>
      <c r="O1079" s="3" t="s">
        <v>13</v>
      </c>
      <c r="P1079" s="3" t="s">
        <v>419</v>
      </c>
      <c r="Q1079" s="3" t="s">
        <v>246</v>
      </c>
      <c r="R1079" s="3">
        <v>2</v>
      </c>
      <c r="S1079" s="3">
        <v>44719.78</v>
      </c>
      <c r="T1079" s="3">
        <v>15</v>
      </c>
      <c r="U1079" s="3">
        <v>76023.63</v>
      </c>
      <c r="V1079" s="3">
        <v>37972.089999999997</v>
      </c>
      <c r="W1079" s="3">
        <v>38051.54</v>
      </c>
      <c r="X1079" s="3">
        <v>50.05</v>
      </c>
      <c r="Y1079" s="3">
        <v>49</v>
      </c>
      <c r="Z1079" s="3" t="s">
        <v>48</v>
      </c>
      <c r="AA1079" s="3" t="s">
        <v>100</v>
      </c>
      <c r="AB1079" s="3" t="s">
        <v>101</v>
      </c>
      <c r="AC1079" s="3"/>
    </row>
    <row r="1080" spans="1:29" x14ac:dyDescent="0.3">
      <c r="A1080" s="2" t="s">
        <v>5578</v>
      </c>
      <c r="B1080" s="2" t="s">
        <v>5579</v>
      </c>
      <c r="C1080" s="2" t="s">
        <v>3250</v>
      </c>
      <c r="D1080" s="2" t="s">
        <v>5580</v>
      </c>
      <c r="E1080" s="2" t="s">
        <v>33</v>
      </c>
      <c r="F1080" s="2" t="s">
        <v>1198</v>
      </c>
      <c r="G1080" s="2" t="s">
        <v>1199</v>
      </c>
      <c r="H1080" s="2" t="s">
        <v>168</v>
      </c>
      <c r="I1080" s="2">
        <v>6</v>
      </c>
      <c r="J1080" s="2" t="s">
        <v>22</v>
      </c>
      <c r="K1080" s="2" t="s">
        <v>443</v>
      </c>
      <c r="L1080" s="2" t="s">
        <v>567</v>
      </c>
      <c r="M1080" s="2" t="s">
        <v>5581</v>
      </c>
      <c r="N1080" s="2" t="s">
        <v>174</v>
      </c>
      <c r="O1080" s="2" t="s">
        <v>27</v>
      </c>
      <c r="P1080" s="2" t="s">
        <v>175</v>
      </c>
      <c r="Q1080" s="2" t="s">
        <v>246</v>
      </c>
      <c r="R1080" s="2">
        <v>4</v>
      </c>
      <c r="S1080" s="2">
        <v>49536.72</v>
      </c>
      <c r="T1080" s="2">
        <v>5</v>
      </c>
      <c r="U1080" s="2">
        <v>188239.54</v>
      </c>
      <c r="V1080" s="2">
        <v>102272.32000000001</v>
      </c>
      <c r="W1080" s="2">
        <v>85967.22</v>
      </c>
      <c r="X1080" s="2">
        <v>45.67</v>
      </c>
      <c r="Y1080" s="2">
        <v>149</v>
      </c>
      <c r="Z1080" s="2" t="s">
        <v>48</v>
      </c>
      <c r="AA1080" s="2" t="s">
        <v>100</v>
      </c>
      <c r="AB1080" s="2" t="s">
        <v>101</v>
      </c>
      <c r="AC1080" s="2">
        <v>5</v>
      </c>
    </row>
    <row r="1081" spans="1:29" x14ac:dyDescent="0.3">
      <c r="A1081" s="3" t="s">
        <v>5582</v>
      </c>
      <c r="B1081" s="3" t="s">
        <v>5583</v>
      </c>
      <c r="C1081" s="3" t="s">
        <v>5584</v>
      </c>
      <c r="D1081" s="3" t="s">
        <v>5585</v>
      </c>
      <c r="E1081" s="3" t="s">
        <v>42</v>
      </c>
      <c r="F1081" s="3" t="s">
        <v>1211</v>
      </c>
      <c r="G1081" s="3" t="s">
        <v>2106</v>
      </c>
      <c r="H1081" s="3" t="s">
        <v>132</v>
      </c>
      <c r="I1081" s="3">
        <v>7</v>
      </c>
      <c r="J1081" s="3" t="s">
        <v>39</v>
      </c>
      <c r="K1081" s="3" t="s">
        <v>324</v>
      </c>
      <c r="L1081" s="3" t="s">
        <v>1028</v>
      </c>
      <c r="M1081" s="3" t="s">
        <v>1283</v>
      </c>
      <c r="N1081" s="3" t="s">
        <v>551</v>
      </c>
      <c r="O1081" s="3" t="s">
        <v>13</v>
      </c>
      <c r="P1081" s="3" t="s">
        <v>98</v>
      </c>
      <c r="Q1081" s="3" t="s">
        <v>466</v>
      </c>
      <c r="R1081" s="3">
        <v>5</v>
      </c>
      <c r="S1081" s="3">
        <v>12847.55</v>
      </c>
      <c r="T1081" s="3">
        <v>25</v>
      </c>
      <c r="U1081" s="3">
        <v>48178.31</v>
      </c>
      <c r="V1081" s="3">
        <v>30612.53</v>
      </c>
      <c r="W1081" s="3">
        <v>17565.78</v>
      </c>
      <c r="X1081" s="3">
        <v>36.46</v>
      </c>
      <c r="Y1081" s="3">
        <v>49</v>
      </c>
      <c r="Z1081" s="3" t="s">
        <v>43</v>
      </c>
      <c r="AA1081" s="3" t="s">
        <v>100</v>
      </c>
      <c r="AB1081" s="3" t="s">
        <v>101</v>
      </c>
      <c r="AC1081" s="3">
        <v>3</v>
      </c>
    </row>
    <row r="1082" spans="1:29" x14ac:dyDescent="0.3">
      <c r="A1082" s="2" t="s">
        <v>5586</v>
      </c>
      <c r="B1082" s="2" t="s">
        <v>5587</v>
      </c>
      <c r="C1082" s="2" t="s">
        <v>200</v>
      </c>
      <c r="D1082" s="2" t="s">
        <v>1770</v>
      </c>
      <c r="E1082" s="2" t="s">
        <v>26</v>
      </c>
      <c r="F1082" s="2" t="s">
        <v>914</v>
      </c>
      <c r="G1082" s="2" t="s">
        <v>5029</v>
      </c>
      <c r="H1082" s="2" t="s">
        <v>556</v>
      </c>
      <c r="I1082" s="2">
        <v>4</v>
      </c>
      <c r="J1082" s="2" t="s">
        <v>39</v>
      </c>
      <c r="K1082" s="2" t="s">
        <v>193</v>
      </c>
      <c r="L1082" s="2" t="s">
        <v>193</v>
      </c>
      <c r="M1082" s="2" t="s">
        <v>5588</v>
      </c>
      <c r="N1082" s="2" t="s">
        <v>1380</v>
      </c>
      <c r="O1082" s="2" t="s">
        <v>28</v>
      </c>
      <c r="P1082" s="2" t="s">
        <v>137</v>
      </c>
      <c r="Q1082" s="2" t="s">
        <v>246</v>
      </c>
      <c r="R1082" s="2">
        <v>2</v>
      </c>
      <c r="S1082" s="2">
        <v>34513.089999999997</v>
      </c>
      <c r="T1082" s="2">
        <v>25</v>
      </c>
      <c r="U1082" s="2">
        <v>51769.63</v>
      </c>
      <c r="V1082" s="2">
        <v>33802.239999999998</v>
      </c>
      <c r="W1082" s="2">
        <v>17967.39</v>
      </c>
      <c r="X1082" s="2">
        <v>34.71</v>
      </c>
      <c r="Y1082" s="2">
        <v>99</v>
      </c>
      <c r="Z1082" s="2" t="s">
        <v>48</v>
      </c>
      <c r="AA1082" s="2" t="s">
        <v>100</v>
      </c>
      <c r="AB1082" s="2" t="s">
        <v>101</v>
      </c>
      <c r="AC1082" s="2">
        <v>4</v>
      </c>
    </row>
    <row r="1083" spans="1:29" x14ac:dyDescent="0.3">
      <c r="A1083" s="3" t="s">
        <v>5589</v>
      </c>
      <c r="B1083" s="3" t="s">
        <v>5590</v>
      </c>
      <c r="C1083" s="3" t="s">
        <v>695</v>
      </c>
      <c r="D1083" s="3" t="s">
        <v>5591</v>
      </c>
      <c r="E1083" s="3" t="s">
        <v>42</v>
      </c>
      <c r="F1083" s="3" t="s">
        <v>565</v>
      </c>
      <c r="G1083" s="3" t="s">
        <v>947</v>
      </c>
      <c r="H1083" s="3" t="s">
        <v>311</v>
      </c>
      <c r="I1083" s="3">
        <v>4</v>
      </c>
      <c r="J1083" s="3" t="s">
        <v>39</v>
      </c>
      <c r="K1083" s="3" t="s">
        <v>109</v>
      </c>
      <c r="L1083" s="3" t="s">
        <v>110</v>
      </c>
      <c r="M1083" s="3" t="s">
        <v>5592</v>
      </c>
      <c r="N1083" s="3" t="s">
        <v>286</v>
      </c>
      <c r="O1083" s="3" t="s">
        <v>28</v>
      </c>
      <c r="P1083" s="3" t="s">
        <v>137</v>
      </c>
      <c r="Q1083" s="3" t="s">
        <v>127</v>
      </c>
      <c r="R1083" s="3">
        <v>2</v>
      </c>
      <c r="S1083" s="3">
        <v>45525.39</v>
      </c>
      <c r="T1083" s="3">
        <v>20</v>
      </c>
      <c r="U1083" s="3">
        <v>72840.62</v>
      </c>
      <c r="V1083" s="3">
        <v>39339.07</v>
      </c>
      <c r="W1083" s="3">
        <v>33501.550000000003</v>
      </c>
      <c r="X1083" s="3">
        <v>45.99</v>
      </c>
      <c r="Y1083" s="3">
        <v>29</v>
      </c>
      <c r="Z1083" s="3" t="s">
        <v>23</v>
      </c>
      <c r="AA1083" s="3" t="s">
        <v>100</v>
      </c>
      <c r="AB1083" s="3" t="s">
        <v>101</v>
      </c>
      <c r="AC1083" s="3">
        <v>2</v>
      </c>
    </row>
    <row r="1084" spans="1:29" x14ac:dyDescent="0.3">
      <c r="A1084" s="2" t="s">
        <v>5593</v>
      </c>
      <c r="B1084" s="2" t="s">
        <v>5594</v>
      </c>
      <c r="C1084" s="2" t="s">
        <v>563</v>
      </c>
      <c r="D1084" s="2" t="s">
        <v>5595</v>
      </c>
      <c r="E1084" s="2" t="s">
        <v>33</v>
      </c>
      <c r="F1084" s="2" t="s">
        <v>1064</v>
      </c>
      <c r="G1084" s="2" t="s">
        <v>2842</v>
      </c>
      <c r="H1084" s="2" t="s">
        <v>5596</v>
      </c>
      <c r="I1084" s="2">
        <v>3</v>
      </c>
      <c r="J1084" s="2" t="s">
        <v>14</v>
      </c>
      <c r="K1084" s="2" t="s">
        <v>712</v>
      </c>
      <c r="L1084" s="2" t="s">
        <v>712</v>
      </c>
      <c r="M1084" s="2" t="s">
        <v>5597</v>
      </c>
      <c r="N1084" s="2" t="s">
        <v>852</v>
      </c>
      <c r="O1084" s="2" t="s">
        <v>27</v>
      </c>
      <c r="P1084" s="2" t="s">
        <v>175</v>
      </c>
      <c r="Q1084" s="2" t="s">
        <v>246</v>
      </c>
      <c r="R1084" s="2">
        <v>3</v>
      </c>
      <c r="S1084" s="2">
        <v>28404.49</v>
      </c>
      <c r="T1084" s="2">
        <v>5</v>
      </c>
      <c r="U1084" s="2">
        <v>80952.800000000003</v>
      </c>
      <c r="V1084" s="2">
        <v>38424.17</v>
      </c>
      <c r="W1084" s="2">
        <v>42528.63</v>
      </c>
      <c r="X1084" s="2">
        <v>52.54</v>
      </c>
      <c r="Y1084" s="2">
        <v>0</v>
      </c>
      <c r="Z1084" s="2" t="s">
        <v>15</v>
      </c>
      <c r="AA1084" s="2" t="s">
        <v>672</v>
      </c>
      <c r="AB1084" s="2" t="s">
        <v>101</v>
      </c>
      <c r="AC1084" s="2"/>
    </row>
    <row r="1085" spans="1:29" x14ac:dyDescent="0.3">
      <c r="A1085" s="3" t="s">
        <v>5598</v>
      </c>
      <c r="B1085" s="3" t="s">
        <v>5599</v>
      </c>
      <c r="C1085" s="3" t="s">
        <v>90</v>
      </c>
      <c r="D1085" s="3" t="s">
        <v>5600</v>
      </c>
      <c r="E1085" s="3" t="s">
        <v>26</v>
      </c>
      <c r="F1085" s="3" t="s">
        <v>1568</v>
      </c>
      <c r="G1085" s="3" t="s">
        <v>322</v>
      </c>
      <c r="H1085" s="3" t="s">
        <v>323</v>
      </c>
      <c r="I1085" s="3">
        <v>3</v>
      </c>
      <c r="J1085" s="3" t="s">
        <v>22</v>
      </c>
      <c r="K1085" s="3" t="s">
        <v>443</v>
      </c>
      <c r="L1085" s="3" t="s">
        <v>444</v>
      </c>
      <c r="M1085" s="3" t="s">
        <v>5601</v>
      </c>
      <c r="N1085" s="3" t="s">
        <v>1122</v>
      </c>
      <c r="O1085" s="3" t="s">
        <v>27</v>
      </c>
      <c r="P1085" s="3" t="s">
        <v>257</v>
      </c>
      <c r="Q1085" s="3" t="s">
        <v>207</v>
      </c>
      <c r="R1085" s="3">
        <v>4</v>
      </c>
      <c r="S1085" s="3">
        <v>19241.009999999998</v>
      </c>
      <c r="T1085" s="3">
        <v>20</v>
      </c>
      <c r="U1085" s="3">
        <v>61571.23</v>
      </c>
      <c r="V1085" s="3">
        <v>37822.82</v>
      </c>
      <c r="W1085" s="3">
        <v>23748.41</v>
      </c>
      <c r="X1085" s="3">
        <v>38.57</v>
      </c>
      <c r="Y1085" s="3">
        <v>29</v>
      </c>
      <c r="Z1085" s="3" t="s">
        <v>30</v>
      </c>
      <c r="AA1085" s="3" t="s">
        <v>275</v>
      </c>
      <c r="AB1085" s="3" t="s">
        <v>101</v>
      </c>
      <c r="AC1085" s="3"/>
    </row>
    <row r="1086" spans="1:29" x14ac:dyDescent="0.3">
      <c r="A1086" s="2" t="s">
        <v>5602</v>
      </c>
      <c r="B1086" s="2" t="s">
        <v>5603</v>
      </c>
      <c r="C1086" s="2" t="s">
        <v>680</v>
      </c>
      <c r="D1086" s="2" t="s">
        <v>4986</v>
      </c>
      <c r="E1086" s="2" t="s">
        <v>18</v>
      </c>
      <c r="F1086" s="2" t="s">
        <v>3596</v>
      </c>
      <c r="G1086" s="2" t="s">
        <v>1526</v>
      </c>
      <c r="H1086" s="2" t="s">
        <v>3418</v>
      </c>
      <c r="I1086" s="2">
        <v>3</v>
      </c>
      <c r="J1086" s="2" t="s">
        <v>14</v>
      </c>
      <c r="K1086" s="2" t="s">
        <v>215</v>
      </c>
      <c r="L1086" s="2" t="s">
        <v>215</v>
      </c>
      <c r="M1086" s="2" t="s">
        <v>5604</v>
      </c>
      <c r="N1086" s="2" t="s">
        <v>750</v>
      </c>
      <c r="O1086" s="2" t="s">
        <v>13</v>
      </c>
      <c r="P1086" s="2" t="s">
        <v>419</v>
      </c>
      <c r="Q1086" s="2" t="s">
        <v>138</v>
      </c>
      <c r="R1086" s="2">
        <v>1</v>
      </c>
      <c r="S1086" s="2">
        <v>23508.79</v>
      </c>
      <c r="T1086" s="2">
        <v>20</v>
      </c>
      <c r="U1086" s="2">
        <v>18807.03</v>
      </c>
      <c r="V1086" s="2">
        <v>11561.98</v>
      </c>
      <c r="W1086" s="2">
        <v>7245.05</v>
      </c>
      <c r="X1086" s="2">
        <v>38.520000000000003</v>
      </c>
      <c r="Y1086" s="2">
        <v>0</v>
      </c>
      <c r="Z1086" s="2" t="s">
        <v>48</v>
      </c>
      <c r="AA1086" s="2" t="s">
        <v>672</v>
      </c>
      <c r="AB1086" s="2" t="s">
        <v>101</v>
      </c>
      <c r="AC1086" s="2"/>
    </row>
    <row r="1087" spans="1:29" x14ac:dyDescent="0.3">
      <c r="A1087" s="3" t="s">
        <v>5605</v>
      </c>
      <c r="B1087" s="3" t="s">
        <v>5606</v>
      </c>
      <c r="C1087" s="3" t="s">
        <v>2090</v>
      </c>
      <c r="D1087" s="3" t="s">
        <v>5607</v>
      </c>
      <c r="E1087" s="3" t="s">
        <v>33</v>
      </c>
      <c r="F1087" s="3" t="s">
        <v>2639</v>
      </c>
      <c r="G1087" s="3" t="s">
        <v>1407</v>
      </c>
      <c r="H1087" s="3" t="s">
        <v>372</v>
      </c>
      <c r="I1087" s="3">
        <v>8</v>
      </c>
      <c r="J1087" s="3" t="s">
        <v>14</v>
      </c>
      <c r="K1087" s="3" t="s">
        <v>95</v>
      </c>
      <c r="L1087" s="3" t="s">
        <v>95</v>
      </c>
      <c r="M1087" s="3" t="s">
        <v>4814</v>
      </c>
      <c r="N1087" s="3" t="s">
        <v>722</v>
      </c>
      <c r="O1087" s="3" t="s">
        <v>27</v>
      </c>
      <c r="P1087" s="3" t="s">
        <v>175</v>
      </c>
      <c r="Q1087" s="3" t="s">
        <v>287</v>
      </c>
      <c r="R1087" s="3">
        <v>3</v>
      </c>
      <c r="S1087" s="3">
        <v>34046.949999999997</v>
      </c>
      <c r="T1087" s="3">
        <v>30</v>
      </c>
      <c r="U1087" s="3">
        <v>71498.59</v>
      </c>
      <c r="V1087" s="3">
        <v>45732.87</v>
      </c>
      <c r="W1087" s="3">
        <v>25765.72</v>
      </c>
      <c r="X1087" s="3">
        <v>36.04</v>
      </c>
      <c r="Y1087" s="3">
        <v>199</v>
      </c>
      <c r="Z1087" s="3" t="s">
        <v>30</v>
      </c>
      <c r="AA1087" s="3" t="s">
        <v>275</v>
      </c>
      <c r="AB1087" s="3" t="s">
        <v>101</v>
      </c>
      <c r="AC1087" s="3"/>
    </row>
    <row r="1088" spans="1:29" x14ac:dyDescent="0.3">
      <c r="A1088" s="2" t="s">
        <v>5608</v>
      </c>
      <c r="B1088" s="2" t="s">
        <v>5609</v>
      </c>
      <c r="C1088" s="2" t="s">
        <v>1866</v>
      </c>
      <c r="D1088" s="2" t="s">
        <v>5610</v>
      </c>
      <c r="E1088" s="2" t="s">
        <v>26</v>
      </c>
      <c r="F1088" s="2" t="s">
        <v>2950</v>
      </c>
      <c r="G1088" s="2" t="s">
        <v>2312</v>
      </c>
      <c r="H1088" s="2" t="s">
        <v>1344</v>
      </c>
      <c r="I1088" s="2">
        <v>7</v>
      </c>
      <c r="J1088" s="2" t="s">
        <v>39</v>
      </c>
      <c r="K1088" s="2" t="s">
        <v>314</v>
      </c>
      <c r="L1088" s="2" t="s">
        <v>314</v>
      </c>
      <c r="M1088" s="2" t="s">
        <v>5611</v>
      </c>
      <c r="N1088" s="2" t="s">
        <v>1188</v>
      </c>
      <c r="O1088" s="2" t="s">
        <v>27</v>
      </c>
      <c r="P1088" s="2" t="s">
        <v>257</v>
      </c>
      <c r="Q1088" s="2" t="s">
        <v>127</v>
      </c>
      <c r="R1088" s="2">
        <v>3</v>
      </c>
      <c r="S1088" s="2">
        <v>36846.43</v>
      </c>
      <c r="T1088" s="2">
        <v>0</v>
      </c>
      <c r="U1088" s="2">
        <v>110539.29</v>
      </c>
      <c r="V1088" s="2">
        <v>61368.75</v>
      </c>
      <c r="W1088" s="2">
        <v>49170.54</v>
      </c>
      <c r="X1088" s="2">
        <v>44.48</v>
      </c>
      <c r="Y1088" s="2">
        <v>49</v>
      </c>
      <c r="Z1088" s="2" t="s">
        <v>40</v>
      </c>
      <c r="AA1088" s="2" t="s">
        <v>275</v>
      </c>
      <c r="AB1088" s="2" t="s">
        <v>101</v>
      </c>
      <c r="AC1088" s="2"/>
    </row>
    <row r="1089" spans="1:29" x14ac:dyDescent="0.3">
      <c r="A1089" s="3" t="s">
        <v>5612</v>
      </c>
      <c r="B1089" s="3" t="s">
        <v>5613</v>
      </c>
      <c r="C1089" s="3" t="s">
        <v>1226</v>
      </c>
      <c r="D1089" s="3" t="s">
        <v>5614</v>
      </c>
      <c r="E1089" s="3" t="s">
        <v>33</v>
      </c>
      <c r="F1089" s="3" t="s">
        <v>5615</v>
      </c>
      <c r="G1089" s="3" t="s">
        <v>372</v>
      </c>
      <c r="H1089" s="3" t="s">
        <v>1421</v>
      </c>
      <c r="I1089" s="3">
        <v>8</v>
      </c>
      <c r="J1089" s="3" t="s">
        <v>29</v>
      </c>
      <c r="K1089" s="3" t="s">
        <v>160</v>
      </c>
      <c r="L1089" s="3" t="s">
        <v>161</v>
      </c>
      <c r="M1089" s="3" t="s">
        <v>5616</v>
      </c>
      <c r="N1089" s="3" t="s">
        <v>354</v>
      </c>
      <c r="O1089" s="3" t="s">
        <v>21</v>
      </c>
      <c r="P1089" s="3" t="s">
        <v>196</v>
      </c>
      <c r="Q1089" s="3" t="s">
        <v>287</v>
      </c>
      <c r="R1089" s="3">
        <v>4</v>
      </c>
      <c r="S1089" s="3">
        <v>45563.18</v>
      </c>
      <c r="T1089" s="3">
        <v>5</v>
      </c>
      <c r="U1089" s="3">
        <v>173140.08</v>
      </c>
      <c r="V1089" s="3">
        <v>116001.31</v>
      </c>
      <c r="W1089" s="3">
        <v>57138.77</v>
      </c>
      <c r="X1089" s="3">
        <v>33</v>
      </c>
      <c r="Y1089" s="3">
        <v>29</v>
      </c>
      <c r="Z1089" s="3" t="s">
        <v>47</v>
      </c>
      <c r="AA1089" s="3" t="s">
        <v>100</v>
      </c>
      <c r="AB1089" s="3" t="s">
        <v>101</v>
      </c>
      <c r="AC1089" s="3">
        <v>4</v>
      </c>
    </row>
    <row r="1090" spans="1:29" x14ac:dyDescent="0.3">
      <c r="A1090" s="2" t="s">
        <v>5617</v>
      </c>
      <c r="B1090" s="2" t="s">
        <v>5618</v>
      </c>
      <c r="C1090" s="2" t="s">
        <v>1797</v>
      </c>
      <c r="D1090" s="2" t="s">
        <v>4883</v>
      </c>
      <c r="E1090" s="2" t="s">
        <v>18</v>
      </c>
      <c r="F1090" s="2" t="s">
        <v>2731</v>
      </c>
      <c r="G1090" s="2" t="s">
        <v>4169</v>
      </c>
      <c r="H1090" s="2" t="s">
        <v>1436</v>
      </c>
      <c r="I1090" s="2">
        <v>7</v>
      </c>
      <c r="J1090" s="2" t="s">
        <v>14</v>
      </c>
      <c r="K1090" s="2" t="s">
        <v>183</v>
      </c>
      <c r="L1090" s="2" t="s">
        <v>183</v>
      </c>
      <c r="M1090" s="2" t="s">
        <v>5619</v>
      </c>
      <c r="N1090" s="2" t="s">
        <v>286</v>
      </c>
      <c r="O1090" s="2" t="s">
        <v>28</v>
      </c>
      <c r="P1090" s="2" t="s">
        <v>137</v>
      </c>
      <c r="Q1090" s="2" t="s">
        <v>287</v>
      </c>
      <c r="R1090" s="2">
        <v>1</v>
      </c>
      <c r="S1090" s="2">
        <v>1443.58</v>
      </c>
      <c r="T1090" s="2">
        <v>10</v>
      </c>
      <c r="U1090" s="2">
        <v>1299.22</v>
      </c>
      <c r="V1090" s="2">
        <v>820.57</v>
      </c>
      <c r="W1090" s="2">
        <v>478.65</v>
      </c>
      <c r="X1090" s="2">
        <v>36.840000000000003</v>
      </c>
      <c r="Y1090" s="2">
        <v>149</v>
      </c>
      <c r="Z1090" s="2" t="s">
        <v>15</v>
      </c>
      <c r="AA1090" s="2" t="s">
        <v>100</v>
      </c>
      <c r="AB1090" s="2" t="s">
        <v>101</v>
      </c>
      <c r="AC1090" s="2">
        <v>4</v>
      </c>
    </row>
    <row r="1091" spans="1:29" x14ac:dyDescent="0.3">
      <c r="A1091" s="3" t="s">
        <v>5620</v>
      </c>
      <c r="B1091" s="3" t="s">
        <v>5621</v>
      </c>
      <c r="C1091" s="3" t="s">
        <v>563</v>
      </c>
      <c r="D1091" s="3" t="s">
        <v>5622</v>
      </c>
      <c r="E1091" s="3" t="s">
        <v>33</v>
      </c>
      <c r="F1091" s="3" t="s">
        <v>948</v>
      </c>
      <c r="G1091" s="3" t="s">
        <v>312</v>
      </c>
      <c r="H1091" s="3" t="s">
        <v>313</v>
      </c>
      <c r="I1091" s="3">
        <v>8</v>
      </c>
      <c r="J1091" s="3" t="s">
        <v>22</v>
      </c>
      <c r="K1091" s="3" t="s">
        <v>122</v>
      </c>
      <c r="L1091" s="3" t="s">
        <v>123</v>
      </c>
      <c r="M1091" s="3" t="s">
        <v>5623</v>
      </c>
      <c r="N1091" s="3" t="s">
        <v>1051</v>
      </c>
      <c r="O1091" s="3" t="s">
        <v>28</v>
      </c>
      <c r="P1091" s="3" t="s">
        <v>151</v>
      </c>
      <c r="Q1091" s="3" t="s">
        <v>99</v>
      </c>
      <c r="R1091" s="3">
        <v>5</v>
      </c>
      <c r="S1091" s="3">
        <v>34786.589999999997</v>
      </c>
      <c r="T1091" s="3">
        <v>5</v>
      </c>
      <c r="U1091" s="3">
        <v>165236.29999999999</v>
      </c>
      <c r="V1091" s="3">
        <v>78516.289999999994</v>
      </c>
      <c r="W1091" s="3">
        <v>86720.01</v>
      </c>
      <c r="X1091" s="3">
        <v>52.48</v>
      </c>
      <c r="Y1091" s="3">
        <v>149</v>
      </c>
      <c r="Z1091" s="3" t="s">
        <v>15</v>
      </c>
      <c r="AA1091" s="3" t="s">
        <v>100</v>
      </c>
      <c r="AB1091" s="3" t="s">
        <v>101</v>
      </c>
      <c r="AC1091" s="3">
        <v>2</v>
      </c>
    </row>
    <row r="1092" spans="1:29" x14ac:dyDescent="0.3">
      <c r="A1092" s="2" t="s">
        <v>5624</v>
      </c>
      <c r="B1092" s="2" t="s">
        <v>5625</v>
      </c>
      <c r="C1092" s="2" t="s">
        <v>716</v>
      </c>
      <c r="D1092" s="2" t="s">
        <v>5626</v>
      </c>
      <c r="E1092" s="2" t="s">
        <v>26</v>
      </c>
      <c r="F1092" s="2" t="s">
        <v>1554</v>
      </c>
      <c r="G1092" s="2" t="s">
        <v>857</v>
      </c>
      <c r="H1092" s="2" t="s">
        <v>1428</v>
      </c>
      <c r="I1092" s="2">
        <v>8</v>
      </c>
      <c r="J1092" s="2" t="s">
        <v>22</v>
      </c>
      <c r="K1092" s="2" t="s">
        <v>254</v>
      </c>
      <c r="L1092" s="2" t="s">
        <v>254</v>
      </c>
      <c r="M1092" s="2" t="s">
        <v>2736</v>
      </c>
      <c r="N1092" s="2" t="s">
        <v>409</v>
      </c>
      <c r="O1092" s="2" t="s">
        <v>21</v>
      </c>
      <c r="P1092" s="2" t="s">
        <v>196</v>
      </c>
      <c r="Q1092" s="2" t="s">
        <v>246</v>
      </c>
      <c r="R1092" s="2">
        <v>4</v>
      </c>
      <c r="S1092" s="2">
        <v>2503.75</v>
      </c>
      <c r="T1092" s="2">
        <v>20</v>
      </c>
      <c r="U1092" s="2">
        <v>8012</v>
      </c>
      <c r="V1092" s="2">
        <v>4658.8999999999996</v>
      </c>
      <c r="W1092" s="2">
        <v>3353.1</v>
      </c>
      <c r="X1092" s="2">
        <v>41.85</v>
      </c>
      <c r="Y1092" s="2">
        <v>99</v>
      </c>
      <c r="Z1092" s="2" t="s">
        <v>15</v>
      </c>
      <c r="AA1092" s="2" t="s">
        <v>672</v>
      </c>
      <c r="AB1092" s="2" t="s">
        <v>101</v>
      </c>
      <c r="AC1092" s="2"/>
    </row>
    <row r="1093" spans="1:29" x14ac:dyDescent="0.3">
      <c r="A1093" s="3" t="s">
        <v>5627</v>
      </c>
      <c r="B1093" s="3" t="s">
        <v>3874</v>
      </c>
      <c r="C1093" s="3" t="s">
        <v>432</v>
      </c>
      <c r="D1093" s="3" t="s">
        <v>5628</v>
      </c>
      <c r="E1093" s="3" t="s">
        <v>18</v>
      </c>
      <c r="F1093" s="3" t="s">
        <v>874</v>
      </c>
      <c r="G1093" s="3" t="s">
        <v>1868</v>
      </c>
      <c r="H1093" s="3" t="s">
        <v>3596</v>
      </c>
      <c r="I1093" s="3">
        <v>4</v>
      </c>
      <c r="J1093" s="3" t="s">
        <v>14</v>
      </c>
      <c r="K1093" s="3" t="s">
        <v>95</v>
      </c>
      <c r="L1093" s="3" t="s">
        <v>95</v>
      </c>
      <c r="M1093" s="3" t="s">
        <v>5629</v>
      </c>
      <c r="N1093" s="3" t="s">
        <v>837</v>
      </c>
      <c r="O1093" s="3" t="s">
        <v>27</v>
      </c>
      <c r="P1093" s="3" t="s">
        <v>257</v>
      </c>
      <c r="Q1093" s="3" t="s">
        <v>355</v>
      </c>
      <c r="R1093" s="3">
        <v>1</v>
      </c>
      <c r="S1093" s="3">
        <v>3346.08</v>
      </c>
      <c r="T1093" s="3">
        <v>30</v>
      </c>
      <c r="U1093" s="3">
        <v>2342.2600000000002</v>
      </c>
      <c r="V1093" s="3">
        <v>1251.45</v>
      </c>
      <c r="W1093" s="3">
        <v>1090.81</v>
      </c>
      <c r="X1093" s="3">
        <v>46.57</v>
      </c>
      <c r="Y1093" s="3">
        <v>49</v>
      </c>
      <c r="Z1093" s="3" t="s">
        <v>15</v>
      </c>
      <c r="AA1093" s="3" t="s">
        <v>275</v>
      </c>
      <c r="AB1093" s="3" t="s">
        <v>101</v>
      </c>
      <c r="AC1093" s="3"/>
    </row>
    <row r="1094" spans="1:29" x14ac:dyDescent="0.3">
      <c r="A1094" s="2" t="s">
        <v>5630</v>
      </c>
      <c r="B1094" s="2" t="s">
        <v>4921</v>
      </c>
      <c r="C1094" s="2" t="s">
        <v>3938</v>
      </c>
      <c r="D1094" s="2" t="s">
        <v>5631</v>
      </c>
      <c r="E1094" s="2" t="s">
        <v>18</v>
      </c>
      <c r="F1094" s="2" t="s">
        <v>728</v>
      </c>
      <c r="G1094" s="2" t="s">
        <v>1957</v>
      </c>
      <c r="H1094" s="2" t="s">
        <v>1812</v>
      </c>
      <c r="I1094" s="2">
        <v>4</v>
      </c>
      <c r="J1094" s="2" t="s">
        <v>22</v>
      </c>
      <c r="K1094" s="2" t="s">
        <v>283</v>
      </c>
      <c r="L1094" s="2" t="s">
        <v>284</v>
      </c>
      <c r="M1094" s="2" t="s">
        <v>5632</v>
      </c>
      <c r="N1094" s="2" t="s">
        <v>889</v>
      </c>
      <c r="O1094" s="2" t="s">
        <v>27</v>
      </c>
      <c r="P1094" s="2" t="s">
        <v>257</v>
      </c>
      <c r="Q1094" s="2" t="s">
        <v>138</v>
      </c>
      <c r="R1094" s="2">
        <v>3</v>
      </c>
      <c r="S1094" s="2">
        <v>25590.59</v>
      </c>
      <c r="T1094" s="2">
        <v>0</v>
      </c>
      <c r="U1094" s="2">
        <v>76771.77</v>
      </c>
      <c r="V1094" s="2">
        <v>45285.67</v>
      </c>
      <c r="W1094" s="2">
        <v>31486.1</v>
      </c>
      <c r="X1094" s="2">
        <v>41.01</v>
      </c>
      <c r="Y1094" s="2">
        <v>49</v>
      </c>
      <c r="Z1094" s="2" t="s">
        <v>47</v>
      </c>
      <c r="AA1094" s="2" t="s">
        <v>100</v>
      </c>
      <c r="AB1094" s="2" t="s">
        <v>101</v>
      </c>
      <c r="AC1094" s="2">
        <v>2</v>
      </c>
    </row>
    <row r="1095" spans="1:29" x14ac:dyDescent="0.3">
      <c r="A1095" s="3" t="s">
        <v>5633</v>
      </c>
      <c r="B1095" s="3" t="s">
        <v>5634</v>
      </c>
      <c r="C1095" s="3" t="s">
        <v>2834</v>
      </c>
      <c r="D1095" s="3" t="s">
        <v>5635</v>
      </c>
      <c r="E1095" s="3" t="s">
        <v>18</v>
      </c>
      <c r="F1095" s="3" t="s">
        <v>2915</v>
      </c>
      <c r="G1095" s="3" t="s">
        <v>1240</v>
      </c>
      <c r="H1095" s="3" t="s">
        <v>1688</v>
      </c>
      <c r="I1095" s="3">
        <v>3</v>
      </c>
      <c r="J1095" s="3" t="s">
        <v>14</v>
      </c>
      <c r="K1095" s="3" t="s">
        <v>183</v>
      </c>
      <c r="L1095" s="3" t="s">
        <v>183</v>
      </c>
      <c r="M1095" s="3" t="s">
        <v>5636</v>
      </c>
      <c r="N1095" s="3" t="s">
        <v>631</v>
      </c>
      <c r="O1095" s="3" t="s">
        <v>19</v>
      </c>
      <c r="P1095" s="3" t="s">
        <v>297</v>
      </c>
      <c r="Q1095" s="3" t="s">
        <v>355</v>
      </c>
      <c r="R1095" s="3">
        <v>2</v>
      </c>
      <c r="S1095" s="3">
        <v>38049.93</v>
      </c>
      <c r="T1095" s="3">
        <v>10</v>
      </c>
      <c r="U1095" s="3">
        <v>68489.87</v>
      </c>
      <c r="V1095" s="3">
        <v>47329.65</v>
      </c>
      <c r="W1095" s="3">
        <v>21160.22</v>
      </c>
      <c r="X1095" s="3">
        <v>30.9</v>
      </c>
      <c r="Y1095" s="3">
        <v>199</v>
      </c>
      <c r="Z1095" s="3" t="s">
        <v>23</v>
      </c>
      <c r="AA1095" s="3" t="s">
        <v>100</v>
      </c>
      <c r="AB1095" s="3" t="s">
        <v>101</v>
      </c>
      <c r="AC1095" s="3">
        <v>4</v>
      </c>
    </row>
    <row r="1096" spans="1:29" x14ac:dyDescent="0.3">
      <c r="A1096" s="2" t="s">
        <v>5637</v>
      </c>
      <c r="B1096" s="2" t="s">
        <v>5638</v>
      </c>
      <c r="C1096" s="2" t="s">
        <v>934</v>
      </c>
      <c r="D1096" s="2" t="s">
        <v>5639</v>
      </c>
      <c r="E1096" s="2" t="s">
        <v>26</v>
      </c>
      <c r="F1096" s="2" t="s">
        <v>1206</v>
      </c>
      <c r="G1096" s="2" t="s">
        <v>598</v>
      </c>
      <c r="H1096" s="2" t="s">
        <v>4895</v>
      </c>
      <c r="I1096" s="2">
        <v>2</v>
      </c>
      <c r="J1096" s="2" t="s">
        <v>14</v>
      </c>
      <c r="K1096" s="2" t="s">
        <v>712</v>
      </c>
      <c r="L1096" s="2" t="s">
        <v>712</v>
      </c>
      <c r="M1096" s="2" t="s">
        <v>5640</v>
      </c>
      <c r="N1096" s="2" t="s">
        <v>456</v>
      </c>
      <c r="O1096" s="2" t="s">
        <v>21</v>
      </c>
      <c r="P1096" s="2" t="s">
        <v>206</v>
      </c>
      <c r="Q1096" s="2" t="s">
        <v>207</v>
      </c>
      <c r="R1096" s="2">
        <v>3</v>
      </c>
      <c r="S1096" s="2">
        <v>17414.71</v>
      </c>
      <c r="T1096" s="2">
        <v>25</v>
      </c>
      <c r="U1096" s="2">
        <v>39183.1</v>
      </c>
      <c r="V1096" s="2">
        <v>19061.13</v>
      </c>
      <c r="W1096" s="2">
        <v>20121.97</v>
      </c>
      <c r="X1096" s="2">
        <v>51.35</v>
      </c>
      <c r="Y1096" s="2">
        <v>199</v>
      </c>
      <c r="Z1096" s="2" t="s">
        <v>48</v>
      </c>
      <c r="AA1096" s="2" t="s">
        <v>100</v>
      </c>
      <c r="AB1096" s="2" t="s">
        <v>101</v>
      </c>
      <c r="AC1096" s="2">
        <v>4</v>
      </c>
    </row>
    <row r="1097" spans="1:29" x14ac:dyDescent="0.3">
      <c r="A1097" s="3" t="s">
        <v>5641</v>
      </c>
      <c r="B1097" s="3" t="s">
        <v>3203</v>
      </c>
      <c r="C1097" s="3" t="s">
        <v>967</v>
      </c>
      <c r="D1097" s="3" t="s">
        <v>5642</v>
      </c>
      <c r="E1097" s="3" t="s">
        <v>26</v>
      </c>
      <c r="F1097" s="3" t="s">
        <v>3886</v>
      </c>
      <c r="G1097" s="3" t="s">
        <v>3101</v>
      </c>
      <c r="H1097" s="3" t="s">
        <v>3505</v>
      </c>
      <c r="I1097" s="3">
        <v>3</v>
      </c>
      <c r="J1097" s="3" t="s">
        <v>14</v>
      </c>
      <c r="K1097" s="3" t="s">
        <v>712</v>
      </c>
      <c r="L1097" s="3" t="s">
        <v>712</v>
      </c>
      <c r="M1097" s="3" t="s">
        <v>5643</v>
      </c>
      <c r="N1097" s="3" t="s">
        <v>354</v>
      </c>
      <c r="O1097" s="3" t="s">
        <v>21</v>
      </c>
      <c r="P1097" s="3" t="s">
        <v>196</v>
      </c>
      <c r="Q1097" s="3" t="s">
        <v>114</v>
      </c>
      <c r="R1097" s="3">
        <v>4</v>
      </c>
      <c r="S1097" s="3">
        <v>43726.47</v>
      </c>
      <c r="T1097" s="3">
        <v>5</v>
      </c>
      <c r="U1097" s="3">
        <v>166160.59</v>
      </c>
      <c r="V1097" s="3">
        <v>105407.42</v>
      </c>
      <c r="W1097" s="3">
        <v>60753.17</v>
      </c>
      <c r="X1097" s="3">
        <v>36.56</v>
      </c>
      <c r="Y1097" s="3">
        <v>99</v>
      </c>
      <c r="Z1097" s="3" t="s">
        <v>40</v>
      </c>
      <c r="AA1097" s="3" t="s">
        <v>100</v>
      </c>
      <c r="AB1097" s="3" t="s">
        <v>101</v>
      </c>
      <c r="AC1097" s="3">
        <v>1</v>
      </c>
    </row>
    <row r="1098" spans="1:29" x14ac:dyDescent="0.3">
      <c r="A1098" s="2" t="s">
        <v>5644</v>
      </c>
      <c r="B1098" s="2" t="s">
        <v>5645</v>
      </c>
      <c r="C1098" s="2" t="s">
        <v>2590</v>
      </c>
      <c r="D1098" s="2" t="s">
        <v>5646</v>
      </c>
      <c r="E1098" s="2" t="s">
        <v>18</v>
      </c>
      <c r="F1098" s="2" t="s">
        <v>1785</v>
      </c>
      <c r="G1098" s="2" t="s">
        <v>885</v>
      </c>
      <c r="H1098" s="2" t="s">
        <v>1563</v>
      </c>
      <c r="I1098" s="2">
        <v>5</v>
      </c>
      <c r="J1098" s="2" t="s">
        <v>22</v>
      </c>
      <c r="K1098" s="2" t="s">
        <v>122</v>
      </c>
      <c r="L1098" s="2" t="s">
        <v>812</v>
      </c>
      <c r="M1098" s="2" t="s">
        <v>5647</v>
      </c>
      <c r="N1098" s="2" t="s">
        <v>227</v>
      </c>
      <c r="O1098" s="2" t="s">
        <v>13</v>
      </c>
      <c r="P1098" s="2" t="s">
        <v>228</v>
      </c>
      <c r="Q1098" s="2" t="s">
        <v>99</v>
      </c>
      <c r="R1098" s="2">
        <v>4</v>
      </c>
      <c r="S1098" s="2">
        <v>6514.32</v>
      </c>
      <c r="T1098" s="2">
        <v>30</v>
      </c>
      <c r="U1098" s="2">
        <v>18240.099999999999</v>
      </c>
      <c r="V1098" s="2">
        <v>8827.32</v>
      </c>
      <c r="W1098" s="2">
        <v>9412.7800000000007</v>
      </c>
      <c r="X1098" s="2">
        <v>51.6</v>
      </c>
      <c r="Y1098" s="2">
        <v>0</v>
      </c>
      <c r="Z1098" s="2" t="s">
        <v>47</v>
      </c>
      <c r="AA1098" s="2" t="s">
        <v>100</v>
      </c>
      <c r="AB1098" s="2" t="s">
        <v>101</v>
      </c>
      <c r="AC1098" s="2">
        <v>2</v>
      </c>
    </row>
    <row r="1099" spans="1:29" x14ac:dyDescent="0.3">
      <c r="A1099" s="3" t="s">
        <v>5648</v>
      </c>
      <c r="B1099" s="3" t="s">
        <v>5209</v>
      </c>
      <c r="C1099" s="3" t="s">
        <v>1590</v>
      </c>
      <c r="D1099" s="3" t="s">
        <v>5649</v>
      </c>
      <c r="E1099" s="3" t="s">
        <v>26</v>
      </c>
      <c r="F1099" s="3" t="s">
        <v>548</v>
      </c>
      <c r="G1099" s="3" t="s">
        <v>1833</v>
      </c>
      <c r="H1099" s="3" t="s">
        <v>1013</v>
      </c>
      <c r="I1099" s="3">
        <v>2</v>
      </c>
      <c r="J1099" s="3" t="s">
        <v>14</v>
      </c>
      <c r="K1099" s="3" t="s">
        <v>95</v>
      </c>
      <c r="L1099" s="3" t="s">
        <v>95</v>
      </c>
      <c r="M1099" s="3" t="s">
        <v>5650</v>
      </c>
      <c r="N1099" s="3" t="s">
        <v>750</v>
      </c>
      <c r="O1099" s="3" t="s">
        <v>13</v>
      </c>
      <c r="P1099" s="3" t="s">
        <v>419</v>
      </c>
      <c r="Q1099" s="3" t="s">
        <v>207</v>
      </c>
      <c r="R1099" s="3">
        <v>5</v>
      </c>
      <c r="S1099" s="3">
        <v>10227.129999999999</v>
      </c>
      <c r="T1099" s="3">
        <v>25</v>
      </c>
      <c r="U1099" s="3">
        <v>38351.74</v>
      </c>
      <c r="V1099" s="3">
        <v>21099.86</v>
      </c>
      <c r="W1099" s="3">
        <v>17251.88</v>
      </c>
      <c r="X1099" s="3">
        <v>44.98</v>
      </c>
      <c r="Y1099" s="3">
        <v>29</v>
      </c>
      <c r="Z1099" s="3" t="s">
        <v>30</v>
      </c>
      <c r="AA1099" s="3" t="s">
        <v>275</v>
      </c>
      <c r="AB1099" s="3" t="s">
        <v>101</v>
      </c>
      <c r="AC1099" s="3"/>
    </row>
    <row r="1100" spans="1:29" x14ac:dyDescent="0.3">
      <c r="A1100" s="2" t="s">
        <v>5651</v>
      </c>
      <c r="B1100" s="2" t="s">
        <v>5652</v>
      </c>
      <c r="C1100" s="2" t="s">
        <v>847</v>
      </c>
      <c r="D1100" s="2" t="s">
        <v>5653</v>
      </c>
      <c r="E1100" s="2" t="s">
        <v>26</v>
      </c>
      <c r="F1100" s="2" t="s">
        <v>1976</v>
      </c>
      <c r="G1100" s="2" t="s">
        <v>1488</v>
      </c>
      <c r="H1100" s="2" t="s">
        <v>1977</v>
      </c>
      <c r="I1100" s="2">
        <v>2</v>
      </c>
      <c r="J1100" s="2" t="s">
        <v>29</v>
      </c>
      <c r="K1100" s="2" t="s">
        <v>160</v>
      </c>
      <c r="L1100" s="2" t="s">
        <v>976</v>
      </c>
      <c r="M1100" s="2" t="s">
        <v>5654</v>
      </c>
      <c r="N1100" s="2" t="s">
        <v>1802</v>
      </c>
      <c r="O1100" s="2" t="s">
        <v>28</v>
      </c>
      <c r="P1100" s="2" t="s">
        <v>137</v>
      </c>
      <c r="Q1100" s="2" t="s">
        <v>218</v>
      </c>
      <c r="R1100" s="2">
        <v>1</v>
      </c>
      <c r="S1100" s="2">
        <v>21480.2</v>
      </c>
      <c r="T1100" s="2">
        <v>30</v>
      </c>
      <c r="U1100" s="2">
        <v>15036.14</v>
      </c>
      <c r="V1100" s="2">
        <v>10379.200000000001</v>
      </c>
      <c r="W1100" s="2">
        <v>4656.9399999999996</v>
      </c>
      <c r="X1100" s="2">
        <v>30.97</v>
      </c>
      <c r="Y1100" s="2">
        <v>99</v>
      </c>
      <c r="Z1100" s="2" t="s">
        <v>15</v>
      </c>
      <c r="AA1100" s="2" t="s">
        <v>100</v>
      </c>
      <c r="AB1100" s="2" t="s">
        <v>101</v>
      </c>
      <c r="AC1100" s="2">
        <v>1</v>
      </c>
    </row>
    <row r="1101" spans="1:29" x14ac:dyDescent="0.3">
      <c r="A1101" s="3" t="s">
        <v>5655</v>
      </c>
      <c r="B1101" s="3" t="s">
        <v>5656</v>
      </c>
      <c r="C1101" s="3" t="s">
        <v>1326</v>
      </c>
      <c r="D1101" s="3" t="s">
        <v>5657</v>
      </c>
      <c r="E1101" s="3" t="s">
        <v>26</v>
      </c>
      <c r="F1101" s="3" t="s">
        <v>3781</v>
      </c>
      <c r="G1101" s="3" t="s">
        <v>809</v>
      </c>
      <c r="H1101" s="3" t="s">
        <v>3914</v>
      </c>
      <c r="I1101" s="3">
        <v>3</v>
      </c>
      <c r="J1101" s="3" t="s">
        <v>39</v>
      </c>
      <c r="K1101" s="3" t="s">
        <v>193</v>
      </c>
      <c r="L1101" s="3" t="s">
        <v>193</v>
      </c>
      <c r="M1101" s="3" t="s">
        <v>5658</v>
      </c>
      <c r="N1101" s="3" t="s">
        <v>306</v>
      </c>
      <c r="O1101" s="3" t="s">
        <v>21</v>
      </c>
      <c r="P1101" s="3" t="s">
        <v>126</v>
      </c>
      <c r="Q1101" s="3" t="s">
        <v>152</v>
      </c>
      <c r="R1101" s="3">
        <v>1</v>
      </c>
      <c r="S1101" s="3">
        <v>43088.62</v>
      </c>
      <c r="T1101" s="3">
        <v>10</v>
      </c>
      <c r="U1101" s="3">
        <v>38779.760000000002</v>
      </c>
      <c r="V1101" s="3">
        <v>23922.880000000001</v>
      </c>
      <c r="W1101" s="3">
        <v>14856.88</v>
      </c>
      <c r="X1101" s="3">
        <v>38.31</v>
      </c>
      <c r="Y1101" s="3">
        <v>199</v>
      </c>
      <c r="Z1101" s="3" t="s">
        <v>15</v>
      </c>
      <c r="AA1101" s="3" t="s">
        <v>139</v>
      </c>
      <c r="AB1101" s="3" t="s">
        <v>140</v>
      </c>
      <c r="AC1101" s="3"/>
    </row>
    <row r="1102" spans="1:29" x14ac:dyDescent="0.3">
      <c r="A1102" s="2" t="s">
        <v>5659</v>
      </c>
      <c r="B1102" s="2" t="s">
        <v>5660</v>
      </c>
      <c r="C1102" s="2" t="s">
        <v>432</v>
      </c>
      <c r="D1102" s="2" t="s">
        <v>3674</v>
      </c>
      <c r="E1102" s="2" t="s">
        <v>18</v>
      </c>
      <c r="F1102" s="2" t="s">
        <v>1344</v>
      </c>
      <c r="G1102" s="2" t="s">
        <v>2980</v>
      </c>
      <c r="H1102" s="2" t="s">
        <v>3520</v>
      </c>
      <c r="I1102" s="2">
        <v>7</v>
      </c>
      <c r="J1102" s="2" t="s">
        <v>29</v>
      </c>
      <c r="K1102" s="2" t="s">
        <v>427</v>
      </c>
      <c r="L1102" s="2" t="s">
        <v>1871</v>
      </c>
      <c r="M1102" s="2" t="s">
        <v>5661</v>
      </c>
      <c r="N1102" s="2" t="s">
        <v>456</v>
      </c>
      <c r="O1102" s="2" t="s">
        <v>21</v>
      </c>
      <c r="P1102" s="2" t="s">
        <v>206</v>
      </c>
      <c r="Q1102" s="2" t="s">
        <v>152</v>
      </c>
      <c r="R1102" s="2">
        <v>3</v>
      </c>
      <c r="S1102" s="2">
        <v>40851.82</v>
      </c>
      <c r="T1102" s="2">
        <v>0</v>
      </c>
      <c r="U1102" s="2">
        <v>122555.46</v>
      </c>
      <c r="V1102" s="2">
        <v>73186.42</v>
      </c>
      <c r="W1102" s="2">
        <v>49369.04</v>
      </c>
      <c r="X1102" s="2">
        <v>40.28</v>
      </c>
      <c r="Y1102" s="2">
        <v>199</v>
      </c>
      <c r="Z1102" s="2" t="s">
        <v>15</v>
      </c>
      <c r="AA1102" s="2" t="s">
        <v>100</v>
      </c>
      <c r="AB1102" s="2" t="s">
        <v>101</v>
      </c>
      <c r="AC1102" s="2">
        <v>1</v>
      </c>
    </row>
    <row r="1103" spans="1:29" x14ac:dyDescent="0.3">
      <c r="A1103" s="3" t="s">
        <v>5662</v>
      </c>
      <c r="B1103" s="3" t="s">
        <v>1692</v>
      </c>
      <c r="C1103" s="3" t="s">
        <v>200</v>
      </c>
      <c r="D1103" s="3" t="s">
        <v>5663</v>
      </c>
      <c r="E1103" s="3" t="s">
        <v>42</v>
      </c>
      <c r="F1103" s="3" t="s">
        <v>3721</v>
      </c>
      <c r="G1103" s="3" t="s">
        <v>1248</v>
      </c>
      <c r="H1103" s="3" t="s">
        <v>5664</v>
      </c>
      <c r="I1103" s="3">
        <v>7</v>
      </c>
      <c r="J1103" s="3" t="s">
        <v>22</v>
      </c>
      <c r="K1103" s="3" t="s">
        <v>443</v>
      </c>
      <c r="L1103" s="3" t="s">
        <v>567</v>
      </c>
      <c r="M1103" s="3" t="s">
        <v>3606</v>
      </c>
      <c r="N1103" s="3" t="s">
        <v>623</v>
      </c>
      <c r="O1103" s="3" t="s">
        <v>19</v>
      </c>
      <c r="P1103" s="3" t="s">
        <v>297</v>
      </c>
      <c r="Q1103" s="3" t="s">
        <v>466</v>
      </c>
      <c r="R1103" s="3">
        <v>3</v>
      </c>
      <c r="S1103" s="3">
        <v>41155.86</v>
      </c>
      <c r="T1103" s="3">
        <v>30</v>
      </c>
      <c r="U1103" s="3">
        <v>86427.31</v>
      </c>
      <c r="V1103" s="3">
        <v>50791.71</v>
      </c>
      <c r="W1103" s="3">
        <v>35635.599999999999</v>
      </c>
      <c r="X1103" s="3">
        <v>41.23</v>
      </c>
      <c r="Y1103" s="3">
        <v>29</v>
      </c>
      <c r="Z1103" s="3" t="s">
        <v>30</v>
      </c>
      <c r="AA1103" s="3" t="s">
        <v>139</v>
      </c>
      <c r="AB1103" s="3" t="s">
        <v>140</v>
      </c>
      <c r="AC1103" s="3"/>
    </row>
    <row r="1104" spans="1:29" x14ac:dyDescent="0.3">
      <c r="A1104" s="2" t="s">
        <v>5665</v>
      </c>
      <c r="B1104" s="2" t="s">
        <v>5666</v>
      </c>
      <c r="C1104" s="2" t="s">
        <v>791</v>
      </c>
      <c r="D1104" s="2" t="s">
        <v>5667</v>
      </c>
      <c r="E1104" s="2" t="s">
        <v>33</v>
      </c>
      <c r="F1104" s="2" t="s">
        <v>5668</v>
      </c>
      <c r="G1104" s="2" t="s">
        <v>5669</v>
      </c>
      <c r="H1104" s="2" t="s">
        <v>5308</v>
      </c>
      <c r="I1104" s="2">
        <v>5</v>
      </c>
      <c r="J1104" s="2" t="s">
        <v>39</v>
      </c>
      <c r="K1104" s="2" t="s">
        <v>193</v>
      </c>
      <c r="L1104" s="2" t="s">
        <v>193</v>
      </c>
      <c r="M1104" s="2" t="s">
        <v>5670</v>
      </c>
      <c r="N1104" s="2" t="s">
        <v>1802</v>
      </c>
      <c r="O1104" s="2" t="s">
        <v>28</v>
      </c>
      <c r="P1104" s="2" t="s">
        <v>137</v>
      </c>
      <c r="Q1104" s="2" t="s">
        <v>152</v>
      </c>
      <c r="R1104" s="2">
        <v>3</v>
      </c>
      <c r="S1104" s="2">
        <v>25337.73</v>
      </c>
      <c r="T1104" s="2">
        <v>25</v>
      </c>
      <c r="U1104" s="2">
        <v>57009.89</v>
      </c>
      <c r="V1104" s="2">
        <v>35648.160000000003</v>
      </c>
      <c r="W1104" s="2">
        <v>21361.73</v>
      </c>
      <c r="X1104" s="2">
        <v>37.47</v>
      </c>
      <c r="Y1104" s="2">
        <v>49</v>
      </c>
      <c r="Z1104" s="2" t="s">
        <v>40</v>
      </c>
      <c r="AA1104" s="2" t="s">
        <v>100</v>
      </c>
      <c r="AB1104" s="2" t="s">
        <v>101</v>
      </c>
      <c r="AC1104" s="2">
        <v>1</v>
      </c>
    </row>
    <row r="1105" spans="1:29" x14ac:dyDescent="0.3">
      <c r="A1105" s="3" t="s">
        <v>5671</v>
      </c>
      <c r="B1105" s="3" t="s">
        <v>5672</v>
      </c>
      <c r="C1105" s="3" t="s">
        <v>1217</v>
      </c>
      <c r="D1105" s="3" t="s">
        <v>5673</v>
      </c>
      <c r="E1105" s="3" t="s">
        <v>18</v>
      </c>
      <c r="F1105" s="3" t="s">
        <v>629</v>
      </c>
      <c r="G1105" s="3" t="s">
        <v>3660</v>
      </c>
      <c r="H1105" s="3" t="s">
        <v>809</v>
      </c>
      <c r="I1105" s="3">
        <v>5</v>
      </c>
      <c r="J1105" s="3" t="s">
        <v>14</v>
      </c>
      <c r="K1105" s="3" t="s">
        <v>171</v>
      </c>
      <c r="L1105" s="3" t="s">
        <v>172</v>
      </c>
      <c r="M1105" s="3" t="s">
        <v>5674</v>
      </c>
      <c r="N1105" s="3" t="s">
        <v>722</v>
      </c>
      <c r="O1105" s="3" t="s">
        <v>27</v>
      </c>
      <c r="P1105" s="3" t="s">
        <v>175</v>
      </c>
      <c r="Q1105" s="3" t="s">
        <v>466</v>
      </c>
      <c r="R1105" s="3">
        <v>4</v>
      </c>
      <c r="S1105" s="3">
        <v>14670.57</v>
      </c>
      <c r="T1105" s="3">
        <v>15</v>
      </c>
      <c r="U1105" s="3">
        <v>49879.94</v>
      </c>
      <c r="V1105" s="3">
        <v>26957.86</v>
      </c>
      <c r="W1105" s="3">
        <v>22922.080000000002</v>
      </c>
      <c r="X1105" s="3">
        <v>45.95</v>
      </c>
      <c r="Y1105" s="3">
        <v>149</v>
      </c>
      <c r="Z1105" s="3" t="s">
        <v>43</v>
      </c>
      <c r="AA1105" s="3" t="s">
        <v>100</v>
      </c>
      <c r="AB1105" s="3" t="s">
        <v>101</v>
      </c>
      <c r="AC1105" s="3">
        <v>2</v>
      </c>
    </row>
    <row r="1106" spans="1:29" x14ac:dyDescent="0.3">
      <c r="A1106" s="2" t="s">
        <v>5675</v>
      </c>
      <c r="B1106" s="2" t="s">
        <v>5676</v>
      </c>
      <c r="C1106" s="2" t="s">
        <v>2834</v>
      </c>
      <c r="D1106" s="2" t="s">
        <v>5677</v>
      </c>
      <c r="E1106" s="2" t="s">
        <v>26</v>
      </c>
      <c r="F1106" s="2" t="s">
        <v>416</v>
      </c>
      <c r="G1106" s="2" t="s">
        <v>3591</v>
      </c>
      <c r="H1106" s="2" t="s">
        <v>2900</v>
      </c>
      <c r="I1106" s="2">
        <v>7</v>
      </c>
      <c r="J1106" s="2" t="s">
        <v>22</v>
      </c>
      <c r="K1106" s="2" t="s">
        <v>283</v>
      </c>
      <c r="L1106" s="2" t="s">
        <v>1346</v>
      </c>
      <c r="M1106" s="2" t="s">
        <v>5678</v>
      </c>
      <c r="N1106" s="2" t="s">
        <v>1535</v>
      </c>
      <c r="O1106" s="2" t="s">
        <v>13</v>
      </c>
      <c r="P1106" s="2" t="s">
        <v>98</v>
      </c>
      <c r="Q1106" s="2" t="s">
        <v>127</v>
      </c>
      <c r="R1106" s="2">
        <v>5</v>
      </c>
      <c r="S1106" s="2">
        <v>5299.21</v>
      </c>
      <c r="T1106" s="2">
        <v>25</v>
      </c>
      <c r="U1106" s="2">
        <v>19872.04</v>
      </c>
      <c r="V1106" s="2">
        <v>10976.53</v>
      </c>
      <c r="W1106" s="2">
        <v>8895.51</v>
      </c>
      <c r="X1106" s="2">
        <v>44.76</v>
      </c>
      <c r="Y1106" s="2">
        <v>99</v>
      </c>
      <c r="Z1106" s="2" t="s">
        <v>47</v>
      </c>
      <c r="AA1106" s="2" t="s">
        <v>100</v>
      </c>
      <c r="AB1106" s="2" t="s">
        <v>101</v>
      </c>
      <c r="AC1106" s="2">
        <v>5</v>
      </c>
    </row>
    <row r="1107" spans="1:29" x14ac:dyDescent="0.3">
      <c r="A1107" s="3" t="s">
        <v>5679</v>
      </c>
      <c r="B1107" s="3" t="s">
        <v>5680</v>
      </c>
      <c r="C1107" s="3" t="s">
        <v>377</v>
      </c>
      <c r="D1107" s="3" t="s">
        <v>5681</v>
      </c>
      <c r="E1107" s="3" t="s">
        <v>42</v>
      </c>
      <c r="F1107" s="3" t="s">
        <v>786</v>
      </c>
      <c r="G1107" s="3" t="s">
        <v>405</v>
      </c>
      <c r="H1107" s="3" t="s">
        <v>2359</v>
      </c>
      <c r="I1107" s="3">
        <v>4</v>
      </c>
      <c r="J1107" s="3" t="s">
        <v>14</v>
      </c>
      <c r="K1107" s="3" t="s">
        <v>712</v>
      </c>
      <c r="L1107" s="3" t="s">
        <v>712</v>
      </c>
      <c r="M1107" s="3" t="s">
        <v>5682</v>
      </c>
      <c r="N1107" s="3" t="s">
        <v>205</v>
      </c>
      <c r="O1107" s="3" t="s">
        <v>21</v>
      </c>
      <c r="P1107" s="3" t="s">
        <v>206</v>
      </c>
      <c r="Q1107" s="3" t="s">
        <v>246</v>
      </c>
      <c r="R1107" s="3">
        <v>2</v>
      </c>
      <c r="S1107" s="3">
        <v>3518.16</v>
      </c>
      <c r="T1107" s="3">
        <v>10</v>
      </c>
      <c r="U1107" s="3">
        <v>6332.69</v>
      </c>
      <c r="V1107" s="3">
        <v>2956.99</v>
      </c>
      <c r="W1107" s="3">
        <v>3375.7</v>
      </c>
      <c r="X1107" s="3">
        <v>53.31</v>
      </c>
      <c r="Y1107" s="3">
        <v>0</v>
      </c>
      <c r="Z1107" s="3" t="s">
        <v>15</v>
      </c>
      <c r="AA1107" s="3" t="s">
        <v>100</v>
      </c>
      <c r="AB1107" s="3" t="s">
        <v>101</v>
      </c>
      <c r="AC1107" s="3">
        <v>5</v>
      </c>
    </row>
    <row r="1108" spans="1:29" x14ac:dyDescent="0.3">
      <c r="A1108" s="2" t="s">
        <v>5683</v>
      </c>
      <c r="B1108" s="2" t="s">
        <v>5684</v>
      </c>
      <c r="C1108" s="2" t="s">
        <v>863</v>
      </c>
      <c r="D1108" s="2" t="s">
        <v>5331</v>
      </c>
      <c r="E1108" s="2" t="s">
        <v>18</v>
      </c>
      <c r="F1108" s="2" t="s">
        <v>540</v>
      </c>
      <c r="G1108" s="2" t="s">
        <v>5685</v>
      </c>
      <c r="H1108" s="2" t="s">
        <v>3100</v>
      </c>
      <c r="I1108" s="2">
        <v>7</v>
      </c>
      <c r="J1108" s="2" t="s">
        <v>39</v>
      </c>
      <c r="K1108" s="2" t="s">
        <v>225</v>
      </c>
      <c r="L1108" s="2" t="s">
        <v>225</v>
      </c>
      <c r="M1108" s="2" t="s">
        <v>5686</v>
      </c>
      <c r="N1108" s="2" t="s">
        <v>266</v>
      </c>
      <c r="O1108" s="2" t="s">
        <v>28</v>
      </c>
      <c r="P1108" s="2" t="s">
        <v>151</v>
      </c>
      <c r="Q1108" s="2" t="s">
        <v>99</v>
      </c>
      <c r="R1108" s="2">
        <v>4</v>
      </c>
      <c r="S1108" s="2">
        <v>8685.68</v>
      </c>
      <c r="T1108" s="2">
        <v>10</v>
      </c>
      <c r="U1108" s="2">
        <v>31268.45</v>
      </c>
      <c r="V1108" s="2">
        <v>20256.71</v>
      </c>
      <c r="W1108" s="2">
        <v>11011.74</v>
      </c>
      <c r="X1108" s="2">
        <v>35.22</v>
      </c>
      <c r="Y1108" s="2">
        <v>99</v>
      </c>
      <c r="Z1108" s="2" t="s">
        <v>30</v>
      </c>
      <c r="AA1108" s="2" t="s">
        <v>100</v>
      </c>
      <c r="AB1108" s="2" t="s">
        <v>101</v>
      </c>
      <c r="AC1108" s="2">
        <v>3</v>
      </c>
    </row>
    <row r="1109" spans="1:29" x14ac:dyDescent="0.3">
      <c r="A1109" s="3" t="s">
        <v>5687</v>
      </c>
      <c r="B1109" s="3" t="s">
        <v>5688</v>
      </c>
      <c r="C1109" s="3" t="s">
        <v>1782</v>
      </c>
      <c r="D1109" s="3" t="s">
        <v>5689</v>
      </c>
      <c r="E1109" s="3" t="s">
        <v>18</v>
      </c>
      <c r="F1109" s="3" t="s">
        <v>2774</v>
      </c>
      <c r="G1109" s="3" t="s">
        <v>2775</v>
      </c>
      <c r="H1109" s="3" t="s">
        <v>1756</v>
      </c>
      <c r="I1109" s="3">
        <v>5</v>
      </c>
      <c r="J1109" s="3" t="s">
        <v>39</v>
      </c>
      <c r="K1109" s="3" t="s">
        <v>324</v>
      </c>
      <c r="L1109" s="3" t="s">
        <v>1422</v>
      </c>
      <c r="M1109" s="3" t="s">
        <v>5690</v>
      </c>
      <c r="N1109" s="3" t="s">
        <v>1603</v>
      </c>
      <c r="O1109" s="3" t="s">
        <v>19</v>
      </c>
      <c r="P1109" s="3" t="s">
        <v>365</v>
      </c>
      <c r="Q1109" s="3" t="s">
        <v>218</v>
      </c>
      <c r="R1109" s="3">
        <v>3</v>
      </c>
      <c r="S1109" s="3">
        <v>36588.160000000003</v>
      </c>
      <c r="T1109" s="3">
        <v>15</v>
      </c>
      <c r="U1109" s="3">
        <v>93299.81</v>
      </c>
      <c r="V1109" s="3">
        <v>43694.64</v>
      </c>
      <c r="W1109" s="3">
        <v>49605.17</v>
      </c>
      <c r="X1109" s="3">
        <v>53.17</v>
      </c>
      <c r="Y1109" s="3">
        <v>149</v>
      </c>
      <c r="Z1109" s="3" t="s">
        <v>30</v>
      </c>
      <c r="AA1109" s="3" t="s">
        <v>100</v>
      </c>
      <c r="AB1109" s="3" t="s">
        <v>101</v>
      </c>
      <c r="AC1109" s="3">
        <v>2</v>
      </c>
    </row>
    <row r="1110" spans="1:29" x14ac:dyDescent="0.3">
      <c r="A1110" s="2" t="s">
        <v>5691</v>
      </c>
      <c r="B1110" s="2" t="s">
        <v>5692</v>
      </c>
      <c r="C1110" s="2" t="s">
        <v>1019</v>
      </c>
      <c r="D1110" s="2" t="s">
        <v>5693</v>
      </c>
      <c r="E1110" s="2" t="s">
        <v>26</v>
      </c>
      <c r="F1110" s="2" t="s">
        <v>1353</v>
      </c>
      <c r="G1110" s="2" t="s">
        <v>1639</v>
      </c>
      <c r="H1110" s="2" t="s">
        <v>5286</v>
      </c>
      <c r="I1110" s="2">
        <v>6</v>
      </c>
      <c r="J1110" s="2" t="s">
        <v>22</v>
      </c>
      <c r="K1110" s="2" t="s">
        <v>254</v>
      </c>
      <c r="L1110" s="2" t="s">
        <v>254</v>
      </c>
      <c r="M1110" s="2" t="s">
        <v>1347</v>
      </c>
      <c r="N1110" s="2" t="s">
        <v>518</v>
      </c>
      <c r="O1110" s="2" t="s">
        <v>19</v>
      </c>
      <c r="P1110" s="2" t="s">
        <v>365</v>
      </c>
      <c r="Q1110" s="2" t="s">
        <v>127</v>
      </c>
      <c r="R1110" s="2">
        <v>3</v>
      </c>
      <c r="S1110" s="2">
        <v>29896.79</v>
      </c>
      <c r="T1110" s="2">
        <v>30</v>
      </c>
      <c r="U1110" s="2">
        <v>62783.26</v>
      </c>
      <c r="V1110" s="2">
        <v>37560.019999999997</v>
      </c>
      <c r="W1110" s="2">
        <v>25223.24</v>
      </c>
      <c r="X1110" s="2">
        <v>40.18</v>
      </c>
      <c r="Y1110" s="2">
        <v>99</v>
      </c>
      <c r="Z1110" s="2" t="s">
        <v>30</v>
      </c>
      <c r="AA1110" s="2" t="s">
        <v>672</v>
      </c>
      <c r="AB1110" s="2" t="s">
        <v>101</v>
      </c>
      <c r="AC1110" s="2"/>
    </row>
    <row r="1111" spans="1:29" x14ac:dyDescent="0.3">
      <c r="A1111" s="3" t="s">
        <v>5694</v>
      </c>
      <c r="B1111" s="3" t="s">
        <v>5695</v>
      </c>
      <c r="C1111" s="3" t="s">
        <v>4342</v>
      </c>
      <c r="D1111" s="3" t="s">
        <v>5696</v>
      </c>
      <c r="E1111" s="3" t="s">
        <v>33</v>
      </c>
      <c r="F1111" s="3" t="s">
        <v>1118</v>
      </c>
      <c r="G1111" s="3" t="s">
        <v>3543</v>
      </c>
      <c r="H1111" s="3" t="s">
        <v>5141</v>
      </c>
      <c r="I1111" s="3">
        <v>5</v>
      </c>
      <c r="J1111" s="3" t="s">
        <v>29</v>
      </c>
      <c r="K1111" s="3" t="s">
        <v>834</v>
      </c>
      <c r="L1111" s="3" t="s">
        <v>901</v>
      </c>
      <c r="M1111" s="3" t="s">
        <v>5697</v>
      </c>
      <c r="N1111" s="3" t="s">
        <v>409</v>
      </c>
      <c r="O1111" s="3" t="s">
        <v>21</v>
      </c>
      <c r="P1111" s="3" t="s">
        <v>196</v>
      </c>
      <c r="Q1111" s="3" t="s">
        <v>608</v>
      </c>
      <c r="R1111" s="3">
        <v>5</v>
      </c>
      <c r="S1111" s="3">
        <v>6728.34</v>
      </c>
      <c r="T1111" s="3">
        <v>30</v>
      </c>
      <c r="U1111" s="3">
        <v>23549.19</v>
      </c>
      <c r="V1111" s="3">
        <v>11349.62</v>
      </c>
      <c r="W1111" s="3">
        <v>12199.57</v>
      </c>
      <c r="X1111" s="3">
        <v>51.8</v>
      </c>
      <c r="Y1111" s="3">
        <v>199</v>
      </c>
      <c r="Z1111" s="3" t="s">
        <v>23</v>
      </c>
      <c r="AA1111" s="3" t="s">
        <v>186</v>
      </c>
      <c r="AB1111" s="3" t="s">
        <v>101</v>
      </c>
      <c r="AC1111" s="3"/>
    </row>
    <row r="1112" spans="1:29" x14ac:dyDescent="0.3">
      <c r="A1112" s="2" t="s">
        <v>5698</v>
      </c>
      <c r="B1112" s="2" t="s">
        <v>5699</v>
      </c>
      <c r="C1112" s="2" t="s">
        <v>847</v>
      </c>
      <c r="D1112" s="2" t="s">
        <v>5700</v>
      </c>
      <c r="E1112" s="2" t="s">
        <v>33</v>
      </c>
      <c r="F1112" s="2" t="s">
        <v>133</v>
      </c>
      <c r="G1112" s="2" t="s">
        <v>2327</v>
      </c>
      <c r="H1112" s="2" t="s">
        <v>3010</v>
      </c>
      <c r="I1112" s="2">
        <v>8</v>
      </c>
      <c r="J1112" s="2" t="s">
        <v>14</v>
      </c>
      <c r="K1112" s="2" t="s">
        <v>171</v>
      </c>
      <c r="L1112" s="2" t="s">
        <v>172</v>
      </c>
      <c r="M1112" s="2" t="s">
        <v>5701</v>
      </c>
      <c r="N1112" s="2" t="s">
        <v>1223</v>
      </c>
      <c r="O1112" s="2" t="s">
        <v>19</v>
      </c>
      <c r="P1112" s="2" t="s">
        <v>447</v>
      </c>
      <c r="Q1112" s="2" t="s">
        <v>355</v>
      </c>
      <c r="R1112" s="2">
        <v>3</v>
      </c>
      <c r="S1112" s="2">
        <v>21474.799999999999</v>
      </c>
      <c r="T1112" s="2">
        <v>15</v>
      </c>
      <c r="U1112" s="2">
        <v>54760.74</v>
      </c>
      <c r="V1112" s="2">
        <v>37189.51</v>
      </c>
      <c r="W1112" s="2">
        <v>17571.23</v>
      </c>
      <c r="X1112" s="2">
        <v>32.090000000000003</v>
      </c>
      <c r="Y1112" s="2">
        <v>29</v>
      </c>
      <c r="Z1112" s="2" t="s">
        <v>47</v>
      </c>
      <c r="AA1112" s="2" t="s">
        <v>100</v>
      </c>
      <c r="AB1112" s="2" t="s">
        <v>101</v>
      </c>
      <c r="AC1112" s="2">
        <v>3</v>
      </c>
    </row>
    <row r="1113" spans="1:29" x14ac:dyDescent="0.3">
      <c r="A1113" s="3" t="s">
        <v>5702</v>
      </c>
      <c r="B1113" s="3" t="s">
        <v>5703</v>
      </c>
      <c r="C1113" s="3" t="s">
        <v>725</v>
      </c>
      <c r="D1113" s="3" t="s">
        <v>5704</v>
      </c>
      <c r="E1113" s="3" t="s">
        <v>33</v>
      </c>
      <c r="F1113" s="3" t="s">
        <v>613</v>
      </c>
      <c r="G1113" s="3" t="s">
        <v>2806</v>
      </c>
      <c r="H1113" s="3" t="s">
        <v>1107</v>
      </c>
      <c r="I1113" s="3">
        <v>5</v>
      </c>
      <c r="J1113" s="3" t="s">
        <v>14</v>
      </c>
      <c r="K1113" s="3" t="s">
        <v>215</v>
      </c>
      <c r="L1113" s="3" t="s">
        <v>215</v>
      </c>
      <c r="M1113" s="3" t="s">
        <v>5705</v>
      </c>
      <c r="N1113" s="3" t="s">
        <v>185</v>
      </c>
      <c r="O1113" s="3" t="s">
        <v>28</v>
      </c>
      <c r="P1113" s="3" t="s">
        <v>151</v>
      </c>
      <c r="Q1113" s="3" t="s">
        <v>152</v>
      </c>
      <c r="R1113" s="3">
        <v>3</v>
      </c>
      <c r="S1113" s="3">
        <v>44737.07</v>
      </c>
      <c r="T1113" s="3">
        <v>15</v>
      </c>
      <c r="U1113" s="3">
        <v>114079.53</v>
      </c>
      <c r="V1113" s="3">
        <v>61488.54</v>
      </c>
      <c r="W1113" s="3">
        <v>52590.99</v>
      </c>
      <c r="X1113" s="3">
        <v>46.1</v>
      </c>
      <c r="Y1113" s="3">
        <v>49</v>
      </c>
      <c r="Z1113" s="3" t="s">
        <v>15</v>
      </c>
      <c r="AA1113" s="3" t="s">
        <v>100</v>
      </c>
      <c r="AB1113" s="3" t="s">
        <v>101</v>
      </c>
      <c r="AC1113" s="3">
        <v>4</v>
      </c>
    </row>
    <row r="1114" spans="1:29" x14ac:dyDescent="0.3">
      <c r="A1114" s="2" t="s">
        <v>5706</v>
      </c>
      <c r="B1114" s="2" t="s">
        <v>5707</v>
      </c>
      <c r="C1114" s="2" t="s">
        <v>1019</v>
      </c>
      <c r="D1114" s="2" t="s">
        <v>5708</v>
      </c>
      <c r="E1114" s="2" t="s">
        <v>18</v>
      </c>
      <c r="F1114" s="2" t="s">
        <v>1161</v>
      </c>
      <c r="G1114" s="2" t="s">
        <v>1818</v>
      </c>
      <c r="H1114" s="2" t="s">
        <v>2927</v>
      </c>
      <c r="I1114" s="2">
        <v>7</v>
      </c>
      <c r="J1114" s="2" t="s">
        <v>22</v>
      </c>
      <c r="K1114" s="2" t="s">
        <v>254</v>
      </c>
      <c r="L1114" s="2" t="s">
        <v>254</v>
      </c>
      <c r="M1114" s="2" t="s">
        <v>5709</v>
      </c>
      <c r="N1114" s="2" t="s">
        <v>592</v>
      </c>
      <c r="O1114" s="2" t="s">
        <v>21</v>
      </c>
      <c r="P1114" s="2" t="s">
        <v>206</v>
      </c>
      <c r="Q1114" s="2" t="s">
        <v>287</v>
      </c>
      <c r="R1114" s="2">
        <v>2</v>
      </c>
      <c r="S1114" s="2">
        <v>8112.27</v>
      </c>
      <c r="T1114" s="2">
        <v>15</v>
      </c>
      <c r="U1114" s="2">
        <v>13790.86</v>
      </c>
      <c r="V1114" s="2">
        <v>9631.8799999999992</v>
      </c>
      <c r="W1114" s="2">
        <v>4158.9799999999996</v>
      </c>
      <c r="X1114" s="2">
        <v>30.16</v>
      </c>
      <c r="Y1114" s="2">
        <v>49</v>
      </c>
      <c r="Z1114" s="2" t="s">
        <v>48</v>
      </c>
      <c r="AA1114" s="2" t="s">
        <v>100</v>
      </c>
      <c r="AB1114" s="2" t="s">
        <v>101</v>
      </c>
      <c r="AC1114" s="2"/>
    </row>
    <row r="1115" spans="1:29" x14ac:dyDescent="0.3">
      <c r="A1115" s="3" t="s">
        <v>5710</v>
      </c>
      <c r="B1115" s="3" t="s">
        <v>5711</v>
      </c>
      <c r="C1115" s="3" t="s">
        <v>2590</v>
      </c>
      <c r="D1115" s="3" t="s">
        <v>5712</v>
      </c>
      <c r="E1115" s="3" t="s">
        <v>26</v>
      </c>
      <c r="F1115" s="3" t="s">
        <v>480</v>
      </c>
      <c r="G1115" s="3" t="s">
        <v>481</v>
      </c>
      <c r="H1115" s="3" t="s">
        <v>2332</v>
      </c>
      <c r="I1115" s="3">
        <v>4</v>
      </c>
      <c r="J1115" s="3" t="s">
        <v>14</v>
      </c>
      <c r="K1115" s="3" t="s">
        <v>215</v>
      </c>
      <c r="L1115" s="3" t="s">
        <v>215</v>
      </c>
      <c r="M1115" s="3" t="s">
        <v>5713</v>
      </c>
      <c r="N1115" s="3" t="s">
        <v>1535</v>
      </c>
      <c r="O1115" s="3" t="s">
        <v>13</v>
      </c>
      <c r="P1115" s="3" t="s">
        <v>98</v>
      </c>
      <c r="Q1115" s="3" t="s">
        <v>127</v>
      </c>
      <c r="R1115" s="3">
        <v>1</v>
      </c>
      <c r="S1115" s="3">
        <v>16750.86</v>
      </c>
      <c r="T1115" s="3">
        <v>20</v>
      </c>
      <c r="U1115" s="3">
        <v>13400.69</v>
      </c>
      <c r="V1115" s="3">
        <v>6366.14</v>
      </c>
      <c r="W1115" s="3">
        <v>7034.55</v>
      </c>
      <c r="X1115" s="3">
        <v>52.49</v>
      </c>
      <c r="Y1115" s="3">
        <v>149</v>
      </c>
      <c r="Z1115" s="3" t="s">
        <v>47</v>
      </c>
      <c r="AA1115" s="3" t="s">
        <v>100</v>
      </c>
      <c r="AB1115" s="3" t="s">
        <v>101</v>
      </c>
      <c r="AC1115" s="3">
        <v>2</v>
      </c>
    </row>
    <row r="1116" spans="1:29" x14ac:dyDescent="0.3">
      <c r="A1116" s="2" t="s">
        <v>5714</v>
      </c>
      <c r="B1116" s="2" t="s">
        <v>5715</v>
      </c>
      <c r="C1116" s="2" t="s">
        <v>967</v>
      </c>
      <c r="D1116" s="2" t="s">
        <v>5716</v>
      </c>
      <c r="E1116" s="2" t="s">
        <v>33</v>
      </c>
      <c r="F1116" s="2" t="s">
        <v>2046</v>
      </c>
      <c r="G1116" s="2" t="s">
        <v>1436</v>
      </c>
      <c r="H1116" s="2" t="s">
        <v>3623</v>
      </c>
      <c r="I1116" s="2">
        <v>2</v>
      </c>
      <c r="J1116" s="2" t="s">
        <v>14</v>
      </c>
      <c r="K1116" s="2" t="s">
        <v>95</v>
      </c>
      <c r="L1116" s="2" t="s">
        <v>95</v>
      </c>
      <c r="M1116" s="2" t="s">
        <v>5717</v>
      </c>
      <c r="N1116" s="2" t="s">
        <v>136</v>
      </c>
      <c r="O1116" s="2" t="s">
        <v>28</v>
      </c>
      <c r="P1116" s="2" t="s">
        <v>137</v>
      </c>
      <c r="Q1116" s="2" t="s">
        <v>197</v>
      </c>
      <c r="R1116" s="2">
        <v>4</v>
      </c>
      <c r="S1116" s="2">
        <v>49525.34</v>
      </c>
      <c r="T1116" s="2">
        <v>5</v>
      </c>
      <c r="U1116" s="2">
        <v>188196.29</v>
      </c>
      <c r="V1116" s="2">
        <v>120709.44</v>
      </c>
      <c r="W1116" s="2">
        <v>67486.850000000006</v>
      </c>
      <c r="X1116" s="2">
        <v>35.86</v>
      </c>
      <c r="Y1116" s="2">
        <v>0</v>
      </c>
      <c r="Z1116" s="2" t="s">
        <v>30</v>
      </c>
      <c r="AA1116" s="2" t="s">
        <v>100</v>
      </c>
      <c r="AB1116" s="2" t="s">
        <v>140</v>
      </c>
      <c r="AC1116" s="2"/>
    </row>
    <row r="1117" spans="1:29" x14ac:dyDescent="0.3">
      <c r="A1117" s="3" t="s">
        <v>5718</v>
      </c>
      <c r="B1117" s="3" t="s">
        <v>5719</v>
      </c>
      <c r="C1117" s="3" t="s">
        <v>1286</v>
      </c>
      <c r="D1117" s="3" t="s">
        <v>5720</v>
      </c>
      <c r="E1117" s="3" t="s">
        <v>18</v>
      </c>
      <c r="F1117" s="3" t="s">
        <v>3256</v>
      </c>
      <c r="G1117" s="3" t="s">
        <v>3945</v>
      </c>
      <c r="H1117" s="3" t="s">
        <v>1072</v>
      </c>
      <c r="I1117" s="3">
        <v>7</v>
      </c>
      <c r="J1117" s="3" t="s">
        <v>22</v>
      </c>
      <c r="K1117" s="3" t="s">
        <v>443</v>
      </c>
      <c r="L1117" s="3" t="s">
        <v>567</v>
      </c>
      <c r="M1117" s="3" t="s">
        <v>3311</v>
      </c>
      <c r="N1117" s="3" t="s">
        <v>227</v>
      </c>
      <c r="O1117" s="3" t="s">
        <v>13</v>
      </c>
      <c r="P1117" s="3" t="s">
        <v>228</v>
      </c>
      <c r="Q1117" s="3" t="s">
        <v>99</v>
      </c>
      <c r="R1117" s="3">
        <v>5</v>
      </c>
      <c r="S1117" s="3">
        <v>44507.08</v>
      </c>
      <c r="T1117" s="3">
        <v>5</v>
      </c>
      <c r="U1117" s="3">
        <v>211408.63</v>
      </c>
      <c r="V1117" s="3">
        <v>146329.48000000001</v>
      </c>
      <c r="W1117" s="3">
        <v>65079.15</v>
      </c>
      <c r="X1117" s="3">
        <v>30.78</v>
      </c>
      <c r="Y1117" s="3">
        <v>29</v>
      </c>
      <c r="Z1117" s="3" t="s">
        <v>30</v>
      </c>
      <c r="AA1117" s="3" t="s">
        <v>100</v>
      </c>
      <c r="AB1117" s="3" t="s">
        <v>101</v>
      </c>
      <c r="AC1117" s="3"/>
    </row>
    <row r="1118" spans="1:29" x14ac:dyDescent="0.3">
      <c r="A1118" s="2" t="s">
        <v>5721</v>
      </c>
      <c r="B1118" s="2" t="s">
        <v>5722</v>
      </c>
      <c r="C1118" s="2" t="s">
        <v>1809</v>
      </c>
      <c r="D1118" s="2" t="s">
        <v>5723</v>
      </c>
      <c r="E1118" s="2" t="s">
        <v>18</v>
      </c>
      <c r="F1118" s="2" t="s">
        <v>1983</v>
      </c>
      <c r="G1118" s="2" t="s">
        <v>333</v>
      </c>
      <c r="H1118" s="2" t="s">
        <v>302</v>
      </c>
      <c r="I1118" s="2">
        <v>5</v>
      </c>
      <c r="J1118" s="2" t="s">
        <v>14</v>
      </c>
      <c r="K1118" s="2" t="s">
        <v>215</v>
      </c>
      <c r="L1118" s="2" t="s">
        <v>215</v>
      </c>
      <c r="M1118" s="2" t="s">
        <v>5724</v>
      </c>
      <c r="N1118" s="2" t="s">
        <v>286</v>
      </c>
      <c r="O1118" s="2" t="s">
        <v>28</v>
      </c>
      <c r="P1118" s="2" t="s">
        <v>137</v>
      </c>
      <c r="Q1118" s="2" t="s">
        <v>466</v>
      </c>
      <c r="R1118" s="2">
        <v>5</v>
      </c>
      <c r="S1118" s="2">
        <v>34740.49</v>
      </c>
      <c r="T1118" s="2">
        <v>0</v>
      </c>
      <c r="U1118" s="2">
        <v>173702.45</v>
      </c>
      <c r="V1118" s="2">
        <v>96985.68</v>
      </c>
      <c r="W1118" s="2">
        <v>76716.77</v>
      </c>
      <c r="X1118" s="2">
        <v>44.17</v>
      </c>
      <c r="Y1118" s="2">
        <v>49</v>
      </c>
      <c r="Z1118" s="2" t="s">
        <v>23</v>
      </c>
      <c r="AA1118" s="2" t="s">
        <v>672</v>
      </c>
      <c r="AB1118" s="2" t="s">
        <v>101</v>
      </c>
      <c r="AC1118" s="2"/>
    </row>
    <row r="1119" spans="1:29" x14ac:dyDescent="0.3">
      <c r="A1119" s="3" t="s">
        <v>5725</v>
      </c>
      <c r="B1119" s="3" t="s">
        <v>5726</v>
      </c>
      <c r="C1119" s="3" t="s">
        <v>368</v>
      </c>
      <c r="D1119" s="3" t="s">
        <v>5727</v>
      </c>
      <c r="E1119" s="3" t="s">
        <v>18</v>
      </c>
      <c r="F1119" s="3" t="s">
        <v>1667</v>
      </c>
      <c r="G1119" s="3" t="s">
        <v>2639</v>
      </c>
      <c r="H1119" s="3" t="s">
        <v>2032</v>
      </c>
      <c r="I1119" s="3">
        <v>6</v>
      </c>
      <c r="J1119" s="3" t="s">
        <v>22</v>
      </c>
      <c r="K1119" s="3" t="s">
        <v>443</v>
      </c>
      <c r="L1119" s="3" t="s">
        <v>444</v>
      </c>
      <c r="M1119" s="3" t="s">
        <v>5728</v>
      </c>
      <c r="N1119" s="3" t="s">
        <v>924</v>
      </c>
      <c r="O1119" s="3" t="s">
        <v>13</v>
      </c>
      <c r="P1119" s="3" t="s">
        <v>228</v>
      </c>
      <c r="Q1119" s="3" t="s">
        <v>138</v>
      </c>
      <c r="R1119" s="3">
        <v>4</v>
      </c>
      <c r="S1119" s="3">
        <v>3586.53</v>
      </c>
      <c r="T1119" s="3">
        <v>10</v>
      </c>
      <c r="U1119" s="3">
        <v>12911.51</v>
      </c>
      <c r="V1119" s="3">
        <v>6673.69</v>
      </c>
      <c r="W1119" s="3">
        <v>6237.82</v>
      </c>
      <c r="X1119" s="3">
        <v>48.31</v>
      </c>
      <c r="Y1119" s="3">
        <v>199</v>
      </c>
      <c r="Z1119" s="3" t="s">
        <v>48</v>
      </c>
      <c r="AA1119" s="3" t="s">
        <v>100</v>
      </c>
      <c r="AB1119" s="3" t="s">
        <v>101</v>
      </c>
      <c r="AC1119" s="3"/>
    </row>
    <row r="1120" spans="1:29" x14ac:dyDescent="0.3">
      <c r="A1120" s="2" t="s">
        <v>5729</v>
      </c>
      <c r="B1120" s="2" t="s">
        <v>5730</v>
      </c>
      <c r="C1120" s="2" t="s">
        <v>3325</v>
      </c>
      <c r="D1120" s="2" t="s">
        <v>5731</v>
      </c>
      <c r="E1120" s="2" t="s">
        <v>33</v>
      </c>
      <c r="F1120" s="2" t="s">
        <v>2639</v>
      </c>
      <c r="G1120" s="2" t="s">
        <v>1407</v>
      </c>
      <c r="H1120" s="2" t="s">
        <v>371</v>
      </c>
      <c r="I1120" s="2">
        <v>3</v>
      </c>
      <c r="J1120" s="2" t="s">
        <v>22</v>
      </c>
      <c r="K1120" s="2" t="s">
        <v>738</v>
      </c>
      <c r="L1120" s="2" t="s">
        <v>738</v>
      </c>
      <c r="M1120" s="2" t="s">
        <v>5732</v>
      </c>
      <c r="N1120" s="2" t="s">
        <v>805</v>
      </c>
      <c r="O1120" s="2" t="s">
        <v>28</v>
      </c>
      <c r="P1120" s="2" t="s">
        <v>151</v>
      </c>
      <c r="Q1120" s="2" t="s">
        <v>246</v>
      </c>
      <c r="R1120" s="2">
        <v>1</v>
      </c>
      <c r="S1120" s="2">
        <v>5954.91</v>
      </c>
      <c r="T1120" s="2">
        <v>5</v>
      </c>
      <c r="U1120" s="2">
        <v>5657.16</v>
      </c>
      <c r="V1120" s="2">
        <v>3222.05</v>
      </c>
      <c r="W1120" s="2">
        <v>2435.11</v>
      </c>
      <c r="X1120" s="2">
        <v>43.04</v>
      </c>
      <c r="Y1120" s="2">
        <v>29</v>
      </c>
      <c r="Z1120" s="2" t="s">
        <v>15</v>
      </c>
      <c r="AA1120" s="2" t="s">
        <v>100</v>
      </c>
      <c r="AB1120" s="2" t="s">
        <v>101</v>
      </c>
      <c r="AC1120" s="2"/>
    </row>
    <row r="1121" spans="1:29" x14ac:dyDescent="0.3">
      <c r="A1121" s="3" t="s">
        <v>5733</v>
      </c>
      <c r="B1121" s="3" t="s">
        <v>5734</v>
      </c>
      <c r="C1121" s="3" t="s">
        <v>619</v>
      </c>
      <c r="D1121" s="3" t="s">
        <v>5735</v>
      </c>
      <c r="E1121" s="3" t="s">
        <v>26</v>
      </c>
      <c r="F1121" s="3" t="s">
        <v>2791</v>
      </c>
      <c r="G1121" s="3" t="s">
        <v>505</v>
      </c>
      <c r="H1121" s="3" t="s">
        <v>5736</v>
      </c>
      <c r="I1121" s="3">
        <v>3</v>
      </c>
      <c r="J1121" s="3" t="s">
        <v>39</v>
      </c>
      <c r="K1121" s="3" t="s">
        <v>314</v>
      </c>
      <c r="L1121" s="3" t="s">
        <v>314</v>
      </c>
      <c r="M1121" s="3" t="s">
        <v>5737</v>
      </c>
      <c r="N1121" s="3" t="s">
        <v>205</v>
      </c>
      <c r="O1121" s="3" t="s">
        <v>21</v>
      </c>
      <c r="P1121" s="3" t="s">
        <v>206</v>
      </c>
      <c r="Q1121" s="3" t="s">
        <v>509</v>
      </c>
      <c r="R1121" s="3">
        <v>1</v>
      </c>
      <c r="S1121" s="3">
        <v>10185.17</v>
      </c>
      <c r="T1121" s="3">
        <v>30</v>
      </c>
      <c r="U1121" s="3">
        <v>7129.62</v>
      </c>
      <c r="V1121" s="3">
        <v>4649.45</v>
      </c>
      <c r="W1121" s="3">
        <v>2480.17</v>
      </c>
      <c r="X1121" s="3">
        <v>34.79</v>
      </c>
      <c r="Y1121" s="3">
        <v>0</v>
      </c>
      <c r="Z1121" s="3" t="s">
        <v>43</v>
      </c>
      <c r="AA1121" s="3" t="s">
        <v>100</v>
      </c>
      <c r="AB1121" s="3" t="s">
        <v>101</v>
      </c>
      <c r="AC1121" s="3">
        <v>1</v>
      </c>
    </row>
    <row r="1122" spans="1:29" x14ac:dyDescent="0.3">
      <c r="A1122" s="2" t="s">
        <v>5738</v>
      </c>
      <c r="B1122" s="2" t="s">
        <v>5739</v>
      </c>
      <c r="C1122" s="2" t="s">
        <v>2529</v>
      </c>
      <c r="D1122" s="2" t="s">
        <v>5740</v>
      </c>
      <c r="E1122" s="2" t="s">
        <v>42</v>
      </c>
      <c r="F1122" s="2" t="s">
        <v>937</v>
      </c>
      <c r="G1122" s="2" t="s">
        <v>2153</v>
      </c>
      <c r="H1122" s="2" t="s">
        <v>1615</v>
      </c>
      <c r="I1122" s="2">
        <v>2</v>
      </c>
      <c r="J1122" s="2" t="s">
        <v>39</v>
      </c>
      <c r="K1122" s="2" t="s">
        <v>324</v>
      </c>
      <c r="L1122" s="2" t="s">
        <v>1422</v>
      </c>
      <c r="M1122" s="2" t="s">
        <v>5741</v>
      </c>
      <c r="N1122" s="2" t="s">
        <v>924</v>
      </c>
      <c r="O1122" s="2" t="s">
        <v>13</v>
      </c>
      <c r="P1122" s="2" t="s">
        <v>228</v>
      </c>
      <c r="Q1122" s="2" t="s">
        <v>287</v>
      </c>
      <c r="R1122" s="2">
        <v>3</v>
      </c>
      <c r="S1122" s="2">
        <v>772.63</v>
      </c>
      <c r="T1122" s="2">
        <v>15</v>
      </c>
      <c r="U1122" s="2">
        <v>1970.21</v>
      </c>
      <c r="V1122" s="2">
        <v>887.68</v>
      </c>
      <c r="W1122" s="2">
        <v>1082.53</v>
      </c>
      <c r="X1122" s="2">
        <v>54.94</v>
      </c>
      <c r="Y1122" s="2">
        <v>49</v>
      </c>
      <c r="Z1122" s="2" t="s">
        <v>23</v>
      </c>
      <c r="AA1122" s="2" t="s">
        <v>100</v>
      </c>
      <c r="AB1122" s="2" t="s">
        <v>140</v>
      </c>
      <c r="AC1122" s="2">
        <v>4</v>
      </c>
    </row>
    <row r="1123" spans="1:29" x14ac:dyDescent="0.3">
      <c r="A1123" s="3" t="s">
        <v>5742</v>
      </c>
      <c r="B1123" s="3" t="s">
        <v>5743</v>
      </c>
      <c r="C1123" s="3" t="s">
        <v>2202</v>
      </c>
      <c r="D1123" s="3" t="s">
        <v>4742</v>
      </c>
      <c r="E1123" s="3" t="s">
        <v>18</v>
      </c>
      <c r="F1123" s="3" t="s">
        <v>2403</v>
      </c>
      <c r="G1123" s="3" t="s">
        <v>4524</v>
      </c>
      <c r="H1123" s="3" t="s">
        <v>3025</v>
      </c>
      <c r="I1123" s="3">
        <v>7</v>
      </c>
      <c r="J1123" s="3" t="s">
        <v>29</v>
      </c>
      <c r="K1123" s="3" t="s">
        <v>160</v>
      </c>
      <c r="L1123" s="3" t="s">
        <v>161</v>
      </c>
      <c r="M1123" s="3" t="s">
        <v>3487</v>
      </c>
      <c r="N1123" s="3" t="s">
        <v>409</v>
      </c>
      <c r="O1123" s="3" t="s">
        <v>21</v>
      </c>
      <c r="P1123" s="3" t="s">
        <v>196</v>
      </c>
      <c r="Q1123" s="3" t="s">
        <v>207</v>
      </c>
      <c r="R1123" s="3">
        <v>1</v>
      </c>
      <c r="S1123" s="3">
        <v>46075.07</v>
      </c>
      <c r="T1123" s="3">
        <v>30</v>
      </c>
      <c r="U1123" s="3">
        <v>32252.55</v>
      </c>
      <c r="V1123" s="3">
        <v>20038.82</v>
      </c>
      <c r="W1123" s="3">
        <v>12213.73</v>
      </c>
      <c r="X1123" s="3">
        <v>37.869999999999997</v>
      </c>
      <c r="Y1123" s="3">
        <v>49</v>
      </c>
      <c r="Z1123" s="3" t="s">
        <v>48</v>
      </c>
      <c r="AA1123" s="3" t="s">
        <v>100</v>
      </c>
      <c r="AB1123" s="3" t="s">
        <v>101</v>
      </c>
      <c r="AC1123" s="3"/>
    </row>
    <row r="1124" spans="1:29" x14ac:dyDescent="0.3">
      <c r="A1124" s="2" t="s">
        <v>5744</v>
      </c>
      <c r="B1124" s="2" t="s">
        <v>5745</v>
      </c>
      <c r="C1124" s="2" t="s">
        <v>1159</v>
      </c>
      <c r="D1124" s="2" t="s">
        <v>5746</v>
      </c>
      <c r="E1124" s="2" t="s">
        <v>33</v>
      </c>
      <c r="F1124" s="2" t="s">
        <v>4241</v>
      </c>
      <c r="G1124" s="2" t="s">
        <v>2582</v>
      </c>
      <c r="H1124" s="2" t="s">
        <v>998</v>
      </c>
      <c r="I1124" s="2">
        <v>6</v>
      </c>
      <c r="J1124" s="2" t="s">
        <v>22</v>
      </c>
      <c r="K1124" s="2" t="s">
        <v>254</v>
      </c>
      <c r="L1124" s="2" t="s">
        <v>254</v>
      </c>
      <c r="M1124" s="2" t="s">
        <v>5504</v>
      </c>
      <c r="N1124" s="2" t="s">
        <v>852</v>
      </c>
      <c r="O1124" s="2" t="s">
        <v>27</v>
      </c>
      <c r="P1124" s="2" t="s">
        <v>175</v>
      </c>
      <c r="Q1124" s="2" t="s">
        <v>509</v>
      </c>
      <c r="R1124" s="2">
        <v>3</v>
      </c>
      <c r="S1124" s="2">
        <v>47932.15</v>
      </c>
      <c r="T1124" s="2">
        <v>10</v>
      </c>
      <c r="U1124" s="2">
        <v>129416.81</v>
      </c>
      <c r="V1124" s="2">
        <v>74759.56</v>
      </c>
      <c r="W1124" s="2">
        <v>54657.25</v>
      </c>
      <c r="X1124" s="2">
        <v>42.23</v>
      </c>
      <c r="Y1124" s="2">
        <v>29</v>
      </c>
      <c r="Z1124" s="2" t="s">
        <v>15</v>
      </c>
      <c r="AA1124" s="2" t="s">
        <v>186</v>
      </c>
      <c r="AB1124" s="2" t="s">
        <v>101</v>
      </c>
      <c r="AC1124" s="2"/>
    </row>
    <row r="1125" spans="1:29" x14ac:dyDescent="0.3">
      <c r="A1125" s="3" t="s">
        <v>5747</v>
      </c>
      <c r="B1125" s="3" t="s">
        <v>5748</v>
      </c>
      <c r="C1125" s="3" t="s">
        <v>1885</v>
      </c>
      <c r="D1125" s="3" t="s">
        <v>5749</v>
      </c>
      <c r="E1125" s="3" t="s">
        <v>26</v>
      </c>
      <c r="F1125" s="3" t="s">
        <v>372</v>
      </c>
      <c r="G1125" s="3" t="s">
        <v>157</v>
      </c>
      <c r="H1125" s="3" t="s">
        <v>786</v>
      </c>
      <c r="I1125" s="3">
        <v>4</v>
      </c>
      <c r="J1125" s="3" t="s">
        <v>39</v>
      </c>
      <c r="K1125" s="3" t="s">
        <v>193</v>
      </c>
      <c r="L1125" s="3" t="s">
        <v>193</v>
      </c>
      <c r="M1125" s="3" t="s">
        <v>5030</v>
      </c>
      <c r="N1125" s="3" t="s">
        <v>475</v>
      </c>
      <c r="O1125" s="3" t="s">
        <v>13</v>
      </c>
      <c r="P1125" s="3" t="s">
        <v>228</v>
      </c>
      <c r="Q1125" s="3" t="s">
        <v>355</v>
      </c>
      <c r="R1125" s="3">
        <v>2</v>
      </c>
      <c r="S1125" s="3">
        <v>2143.5100000000002</v>
      </c>
      <c r="T1125" s="3">
        <v>25</v>
      </c>
      <c r="U1125" s="3">
        <v>3215.27</v>
      </c>
      <c r="V1125" s="3">
        <v>1926.26</v>
      </c>
      <c r="W1125" s="3">
        <v>1289.01</v>
      </c>
      <c r="X1125" s="3">
        <v>40.090000000000003</v>
      </c>
      <c r="Y1125" s="3">
        <v>99</v>
      </c>
      <c r="Z1125" s="3" t="s">
        <v>47</v>
      </c>
      <c r="AA1125" s="3" t="s">
        <v>139</v>
      </c>
      <c r="AB1125" s="3" t="s">
        <v>140</v>
      </c>
      <c r="AC1125" s="3"/>
    </row>
    <row r="1126" spans="1:29" x14ac:dyDescent="0.3">
      <c r="A1126" s="2" t="s">
        <v>5750</v>
      </c>
      <c r="B1126" s="2" t="s">
        <v>1053</v>
      </c>
      <c r="C1126" s="2" t="s">
        <v>666</v>
      </c>
      <c r="D1126" s="2" t="s">
        <v>5751</v>
      </c>
      <c r="E1126" s="2" t="s">
        <v>18</v>
      </c>
      <c r="F1126" s="2" t="s">
        <v>2564</v>
      </c>
      <c r="G1126" s="2" t="s">
        <v>2348</v>
      </c>
      <c r="H1126" s="2" t="s">
        <v>4561</v>
      </c>
      <c r="I1126" s="2">
        <v>6</v>
      </c>
      <c r="J1126" s="2" t="s">
        <v>39</v>
      </c>
      <c r="K1126" s="2" t="s">
        <v>314</v>
      </c>
      <c r="L1126" s="2" t="s">
        <v>314</v>
      </c>
      <c r="M1126" s="2" t="s">
        <v>5752</v>
      </c>
      <c r="N1126" s="2" t="s">
        <v>217</v>
      </c>
      <c r="O1126" s="2" t="s">
        <v>21</v>
      </c>
      <c r="P1126" s="2" t="s">
        <v>206</v>
      </c>
      <c r="Q1126" s="2" t="s">
        <v>99</v>
      </c>
      <c r="R1126" s="2">
        <v>4</v>
      </c>
      <c r="S1126" s="2">
        <v>37443.410000000003</v>
      </c>
      <c r="T1126" s="2">
        <v>25</v>
      </c>
      <c r="U1126" s="2">
        <v>112330.23</v>
      </c>
      <c r="V1126" s="2">
        <v>65125.31</v>
      </c>
      <c r="W1126" s="2">
        <v>47204.92</v>
      </c>
      <c r="X1126" s="2">
        <v>42.02</v>
      </c>
      <c r="Y1126" s="2">
        <v>29</v>
      </c>
      <c r="Z1126" s="2" t="s">
        <v>23</v>
      </c>
      <c r="AA1126" s="2" t="s">
        <v>100</v>
      </c>
      <c r="AB1126" s="2" t="s">
        <v>101</v>
      </c>
      <c r="AC1126" s="2">
        <v>5</v>
      </c>
    </row>
    <row r="1127" spans="1:29" x14ac:dyDescent="0.3">
      <c r="A1127" s="3" t="s">
        <v>5753</v>
      </c>
      <c r="B1127" s="3" t="s">
        <v>2858</v>
      </c>
      <c r="C1127" s="3" t="s">
        <v>368</v>
      </c>
      <c r="D1127" s="3" t="s">
        <v>5754</v>
      </c>
      <c r="E1127" s="3" t="s">
        <v>33</v>
      </c>
      <c r="F1127" s="3" t="s">
        <v>386</v>
      </c>
      <c r="G1127" s="3" t="s">
        <v>2905</v>
      </c>
      <c r="H1127" s="3" t="s">
        <v>2259</v>
      </c>
      <c r="I1127" s="3">
        <v>6</v>
      </c>
      <c r="J1127" s="3" t="s">
        <v>14</v>
      </c>
      <c r="K1127" s="3" t="s">
        <v>215</v>
      </c>
      <c r="L1127" s="3" t="s">
        <v>215</v>
      </c>
      <c r="M1127" s="3" t="s">
        <v>5755</v>
      </c>
      <c r="N1127" s="3" t="s">
        <v>1802</v>
      </c>
      <c r="O1127" s="3" t="s">
        <v>28</v>
      </c>
      <c r="P1127" s="3" t="s">
        <v>137</v>
      </c>
      <c r="Q1127" s="3" t="s">
        <v>287</v>
      </c>
      <c r="R1127" s="3">
        <v>2</v>
      </c>
      <c r="S1127" s="3">
        <v>44950.9</v>
      </c>
      <c r="T1127" s="3">
        <v>5</v>
      </c>
      <c r="U1127" s="3">
        <v>85406.71</v>
      </c>
      <c r="V1127" s="3">
        <v>49359.56</v>
      </c>
      <c r="W1127" s="3">
        <v>36047.15</v>
      </c>
      <c r="X1127" s="3">
        <v>42.21</v>
      </c>
      <c r="Y1127" s="3">
        <v>199</v>
      </c>
      <c r="Z1127" s="3" t="s">
        <v>23</v>
      </c>
      <c r="AA1127" s="3" t="s">
        <v>100</v>
      </c>
      <c r="AB1127" s="3" t="s">
        <v>101</v>
      </c>
      <c r="AC1127" s="3">
        <v>5</v>
      </c>
    </row>
    <row r="1128" spans="1:29" x14ac:dyDescent="0.3">
      <c r="A1128" s="2" t="s">
        <v>5756</v>
      </c>
      <c r="B1128" s="2" t="s">
        <v>5757</v>
      </c>
      <c r="C1128" s="2" t="s">
        <v>459</v>
      </c>
      <c r="D1128" s="2" t="s">
        <v>5758</v>
      </c>
      <c r="E1128" s="2" t="s">
        <v>33</v>
      </c>
      <c r="F1128" s="2" t="s">
        <v>2172</v>
      </c>
      <c r="G1128" s="2" t="s">
        <v>1976</v>
      </c>
      <c r="H1128" s="2" t="s">
        <v>1321</v>
      </c>
      <c r="I1128" s="2">
        <v>6</v>
      </c>
      <c r="J1128" s="2" t="s">
        <v>39</v>
      </c>
      <c r="K1128" s="2" t="s">
        <v>225</v>
      </c>
      <c r="L1128" s="2" t="s">
        <v>225</v>
      </c>
      <c r="M1128" s="2" t="s">
        <v>5759</v>
      </c>
      <c r="N1128" s="2" t="s">
        <v>174</v>
      </c>
      <c r="O1128" s="2" t="s">
        <v>27</v>
      </c>
      <c r="P1128" s="2" t="s">
        <v>175</v>
      </c>
      <c r="Q1128" s="2" t="s">
        <v>246</v>
      </c>
      <c r="R1128" s="2">
        <v>3</v>
      </c>
      <c r="S1128" s="2">
        <v>27171.07</v>
      </c>
      <c r="T1128" s="2">
        <v>5</v>
      </c>
      <c r="U1128" s="2">
        <v>77437.55</v>
      </c>
      <c r="V1128" s="2">
        <v>39488.21</v>
      </c>
      <c r="W1128" s="2">
        <v>37949.339999999997</v>
      </c>
      <c r="X1128" s="2">
        <v>49.01</v>
      </c>
      <c r="Y1128" s="2">
        <v>99</v>
      </c>
      <c r="Z1128" s="2" t="s">
        <v>48</v>
      </c>
      <c r="AA1128" s="2" t="s">
        <v>672</v>
      </c>
      <c r="AB1128" s="2" t="s">
        <v>101</v>
      </c>
      <c r="AC1128" s="2"/>
    </row>
    <row r="1129" spans="1:29" x14ac:dyDescent="0.3">
      <c r="A1129" s="3" t="s">
        <v>5760</v>
      </c>
      <c r="B1129" s="3" t="s">
        <v>5761</v>
      </c>
      <c r="C1129" s="3" t="s">
        <v>3436</v>
      </c>
      <c r="D1129" s="3" t="s">
        <v>5762</v>
      </c>
      <c r="E1129" s="3" t="s">
        <v>18</v>
      </c>
      <c r="F1129" s="3" t="s">
        <v>1689</v>
      </c>
      <c r="G1129" s="3" t="s">
        <v>1725</v>
      </c>
      <c r="H1129" s="3" t="s">
        <v>1479</v>
      </c>
      <c r="I1129" s="3">
        <v>5</v>
      </c>
      <c r="J1129" s="3" t="s">
        <v>39</v>
      </c>
      <c r="K1129" s="3" t="s">
        <v>193</v>
      </c>
      <c r="L1129" s="3" t="s">
        <v>193</v>
      </c>
      <c r="M1129" s="3" t="s">
        <v>5763</v>
      </c>
      <c r="N1129" s="3" t="s">
        <v>465</v>
      </c>
      <c r="O1129" s="3" t="s">
        <v>19</v>
      </c>
      <c r="P1129" s="3" t="s">
        <v>447</v>
      </c>
      <c r="Q1129" s="3" t="s">
        <v>114</v>
      </c>
      <c r="R1129" s="3">
        <v>2</v>
      </c>
      <c r="S1129" s="3">
        <v>33337.279999999999</v>
      </c>
      <c r="T1129" s="3">
        <v>30</v>
      </c>
      <c r="U1129" s="3">
        <v>46672.19</v>
      </c>
      <c r="V1129" s="3">
        <v>31928.34</v>
      </c>
      <c r="W1129" s="3">
        <v>14743.85</v>
      </c>
      <c r="X1129" s="3">
        <v>31.59</v>
      </c>
      <c r="Y1129" s="3">
        <v>149</v>
      </c>
      <c r="Z1129" s="3" t="s">
        <v>23</v>
      </c>
      <c r="AA1129" s="3" t="s">
        <v>100</v>
      </c>
      <c r="AB1129" s="3" t="s">
        <v>101</v>
      </c>
      <c r="AC1129" s="3">
        <v>5</v>
      </c>
    </row>
    <row r="1130" spans="1:29" x14ac:dyDescent="0.3">
      <c r="A1130" s="2" t="s">
        <v>5764</v>
      </c>
      <c r="B1130" s="2" t="s">
        <v>5765</v>
      </c>
      <c r="C1130" s="2" t="s">
        <v>1989</v>
      </c>
      <c r="D1130" s="2" t="s">
        <v>5766</v>
      </c>
      <c r="E1130" s="2" t="s">
        <v>26</v>
      </c>
      <c r="F1130" s="2" t="s">
        <v>480</v>
      </c>
      <c r="G1130" s="2" t="s">
        <v>1021</v>
      </c>
      <c r="H1130" s="2" t="s">
        <v>482</v>
      </c>
      <c r="I1130" s="2">
        <v>2</v>
      </c>
      <c r="J1130" s="2" t="s">
        <v>14</v>
      </c>
      <c r="K1130" s="2" t="s">
        <v>712</v>
      </c>
      <c r="L1130" s="2" t="s">
        <v>712</v>
      </c>
      <c r="M1130" s="2" t="s">
        <v>373</v>
      </c>
      <c r="N1130" s="2" t="s">
        <v>418</v>
      </c>
      <c r="O1130" s="2" t="s">
        <v>13</v>
      </c>
      <c r="P1130" s="2" t="s">
        <v>419</v>
      </c>
      <c r="Q1130" s="2" t="s">
        <v>355</v>
      </c>
      <c r="R1130" s="2">
        <v>3</v>
      </c>
      <c r="S1130" s="2">
        <v>21010.44</v>
      </c>
      <c r="T1130" s="2">
        <v>25</v>
      </c>
      <c r="U1130" s="2">
        <v>47273.49</v>
      </c>
      <c r="V1130" s="2">
        <v>29661.23</v>
      </c>
      <c r="W1130" s="2">
        <v>17612.259999999998</v>
      </c>
      <c r="X1130" s="2">
        <v>37.26</v>
      </c>
      <c r="Y1130" s="2">
        <v>0</v>
      </c>
      <c r="Z1130" s="2" t="s">
        <v>15</v>
      </c>
      <c r="AA1130" s="2" t="s">
        <v>100</v>
      </c>
      <c r="AB1130" s="2" t="s">
        <v>101</v>
      </c>
      <c r="AC1130" s="2">
        <v>4</v>
      </c>
    </row>
    <row r="1131" spans="1:29" x14ac:dyDescent="0.3">
      <c r="A1131" s="3" t="s">
        <v>5767</v>
      </c>
      <c r="B1131" s="3" t="s">
        <v>5768</v>
      </c>
      <c r="C1131" s="3" t="s">
        <v>1038</v>
      </c>
      <c r="D1131" s="3" t="s">
        <v>5769</v>
      </c>
      <c r="E1131" s="3" t="s">
        <v>33</v>
      </c>
      <c r="F1131" s="3" t="s">
        <v>1256</v>
      </c>
      <c r="G1131" s="3" t="s">
        <v>1257</v>
      </c>
      <c r="H1131" s="3" t="s">
        <v>3708</v>
      </c>
      <c r="I1131" s="3">
        <v>2</v>
      </c>
      <c r="J1131" s="3" t="s">
        <v>14</v>
      </c>
      <c r="K1131" s="3" t="s">
        <v>215</v>
      </c>
      <c r="L1131" s="3" t="s">
        <v>215</v>
      </c>
      <c r="M1131" s="3" t="s">
        <v>5770</v>
      </c>
      <c r="N1131" s="3" t="s">
        <v>1332</v>
      </c>
      <c r="O1131" s="3" t="s">
        <v>19</v>
      </c>
      <c r="P1131" s="3" t="s">
        <v>447</v>
      </c>
      <c r="Q1131" s="3" t="s">
        <v>287</v>
      </c>
      <c r="R1131" s="3">
        <v>3</v>
      </c>
      <c r="S1131" s="3">
        <v>48553.93</v>
      </c>
      <c r="T1131" s="3">
        <v>10</v>
      </c>
      <c r="U1131" s="3">
        <v>131095.60999999999</v>
      </c>
      <c r="V1131" s="3">
        <v>76025.259999999995</v>
      </c>
      <c r="W1131" s="3">
        <v>55070.35</v>
      </c>
      <c r="X1131" s="3">
        <v>42.01</v>
      </c>
      <c r="Y1131" s="3">
        <v>29</v>
      </c>
      <c r="Z1131" s="3" t="s">
        <v>40</v>
      </c>
      <c r="AA1131" s="3" t="s">
        <v>100</v>
      </c>
      <c r="AB1131" s="3" t="s">
        <v>101</v>
      </c>
      <c r="AC1131" s="3">
        <v>5</v>
      </c>
    </row>
    <row r="1132" spans="1:29" x14ac:dyDescent="0.3">
      <c r="A1132" s="2" t="s">
        <v>5771</v>
      </c>
      <c r="B1132" s="2" t="s">
        <v>5772</v>
      </c>
      <c r="C1132" s="2" t="s">
        <v>952</v>
      </c>
      <c r="D1132" s="2" t="s">
        <v>5773</v>
      </c>
      <c r="E1132" s="2" t="s">
        <v>26</v>
      </c>
      <c r="F1132" s="2" t="s">
        <v>928</v>
      </c>
      <c r="G1132" s="2" t="s">
        <v>556</v>
      </c>
      <c r="H1132" s="2" t="s">
        <v>1713</v>
      </c>
      <c r="I1132" s="2">
        <v>7</v>
      </c>
      <c r="J1132" s="2" t="s">
        <v>29</v>
      </c>
      <c r="K1132" s="2" t="s">
        <v>160</v>
      </c>
      <c r="L1132" s="2" t="s">
        <v>559</v>
      </c>
      <c r="M1132" s="2" t="s">
        <v>5774</v>
      </c>
      <c r="N1132" s="2" t="s">
        <v>97</v>
      </c>
      <c r="O1132" s="2" t="s">
        <v>13</v>
      </c>
      <c r="P1132" s="2" t="s">
        <v>98</v>
      </c>
      <c r="Q1132" s="2" t="s">
        <v>152</v>
      </c>
      <c r="R1132" s="2">
        <v>2</v>
      </c>
      <c r="S1132" s="2">
        <v>28943.43</v>
      </c>
      <c r="T1132" s="2">
        <v>0</v>
      </c>
      <c r="U1132" s="2">
        <v>57886.86</v>
      </c>
      <c r="V1132" s="2">
        <v>33898.26</v>
      </c>
      <c r="W1132" s="2">
        <v>23988.6</v>
      </c>
      <c r="X1132" s="2">
        <v>41.44</v>
      </c>
      <c r="Y1132" s="2">
        <v>49</v>
      </c>
      <c r="Z1132" s="2" t="s">
        <v>43</v>
      </c>
      <c r="AA1132" s="2" t="s">
        <v>186</v>
      </c>
      <c r="AB1132" s="2" t="s">
        <v>101</v>
      </c>
      <c r="AC1132" s="2"/>
    </row>
    <row r="1133" spans="1:29" x14ac:dyDescent="0.3">
      <c r="A1133" s="3" t="s">
        <v>5775</v>
      </c>
      <c r="B1133" s="3" t="s">
        <v>5776</v>
      </c>
      <c r="C1133" s="3" t="s">
        <v>3547</v>
      </c>
      <c r="D1133" s="3" t="s">
        <v>5777</v>
      </c>
      <c r="E1133" s="3" t="s">
        <v>33</v>
      </c>
      <c r="F1133" s="3" t="s">
        <v>1593</v>
      </c>
      <c r="G1133" s="3" t="s">
        <v>1014</v>
      </c>
      <c r="H1133" s="3" t="s">
        <v>2955</v>
      </c>
      <c r="I1133" s="3">
        <v>3</v>
      </c>
      <c r="J1133" s="3" t="s">
        <v>39</v>
      </c>
      <c r="K1133" s="3" t="s">
        <v>109</v>
      </c>
      <c r="L1133" s="3" t="s">
        <v>134</v>
      </c>
      <c r="M1133" s="3" t="s">
        <v>5778</v>
      </c>
      <c r="N1133" s="3" t="s">
        <v>364</v>
      </c>
      <c r="O1133" s="3" t="s">
        <v>19</v>
      </c>
      <c r="P1133" s="3" t="s">
        <v>365</v>
      </c>
      <c r="Q1133" s="3" t="s">
        <v>127</v>
      </c>
      <c r="R1133" s="3">
        <v>5</v>
      </c>
      <c r="S1133" s="3">
        <v>6720.44</v>
      </c>
      <c r="T1133" s="3">
        <v>25</v>
      </c>
      <c r="U1133" s="3">
        <v>25201.65</v>
      </c>
      <c r="V1133" s="3">
        <v>14592.66</v>
      </c>
      <c r="W1133" s="3">
        <v>10608.99</v>
      </c>
      <c r="X1133" s="3">
        <v>42.1</v>
      </c>
      <c r="Y1133" s="3">
        <v>199</v>
      </c>
      <c r="Z1133" s="3" t="s">
        <v>15</v>
      </c>
      <c r="AA1133" s="3" t="s">
        <v>139</v>
      </c>
      <c r="AB1133" s="3" t="s">
        <v>140</v>
      </c>
      <c r="AC1133" s="3"/>
    </row>
    <row r="1134" spans="1:29" x14ac:dyDescent="0.3">
      <c r="A1134" s="2" t="s">
        <v>5779</v>
      </c>
      <c r="B1134" s="2" t="s">
        <v>5780</v>
      </c>
      <c r="C1134" s="2" t="s">
        <v>774</v>
      </c>
      <c r="D1134" s="2" t="s">
        <v>5406</v>
      </c>
      <c r="E1134" s="2" t="s">
        <v>26</v>
      </c>
      <c r="F1134" s="2" t="s">
        <v>914</v>
      </c>
      <c r="G1134" s="2" t="s">
        <v>820</v>
      </c>
      <c r="H1134" s="2" t="s">
        <v>1712</v>
      </c>
      <c r="I1134" s="2">
        <v>4</v>
      </c>
      <c r="J1134" s="2" t="s">
        <v>22</v>
      </c>
      <c r="K1134" s="2" t="s">
        <v>443</v>
      </c>
      <c r="L1134" s="2" t="s">
        <v>498</v>
      </c>
      <c r="M1134" s="2" t="s">
        <v>3891</v>
      </c>
      <c r="N1134" s="2" t="s">
        <v>266</v>
      </c>
      <c r="O1134" s="2" t="s">
        <v>28</v>
      </c>
      <c r="P1134" s="2" t="s">
        <v>151</v>
      </c>
      <c r="Q1134" s="2" t="s">
        <v>509</v>
      </c>
      <c r="R1134" s="2">
        <v>1</v>
      </c>
      <c r="S1134" s="2">
        <v>31817.8</v>
      </c>
      <c r="T1134" s="2">
        <v>25</v>
      </c>
      <c r="U1134" s="2">
        <v>23863.35</v>
      </c>
      <c r="V1134" s="2">
        <v>16652.75</v>
      </c>
      <c r="W1134" s="2">
        <v>7210.6</v>
      </c>
      <c r="X1134" s="2">
        <v>30.22</v>
      </c>
      <c r="Y1134" s="2">
        <v>49</v>
      </c>
      <c r="Z1134" s="2" t="s">
        <v>40</v>
      </c>
      <c r="AA1134" s="2" t="s">
        <v>139</v>
      </c>
      <c r="AB1134" s="2" t="s">
        <v>140</v>
      </c>
      <c r="AC1134" s="2"/>
    </row>
    <row r="1135" spans="1:29" x14ac:dyDescent="0.3">
      <c r="A1135" s="3" t="s">
        <v>5781</v>
      </c>
      <c r="B1135" s="3" t="s">
        <v>5782</v>
      </c>
      <c r="C1135" s="3" t="s">
        <v>847</v>
      </c>
      <c r="D1135" s="3" t="s">
        <v>5783</v>
      </c>
      <c r="E1135" s="3" t="s">
        <v>18</v>
      </c>
      <c r="F1135" s="3" t="s">
        <v>4619</v>
      </c>
      <c r="G1135" s="3" t="s">
        <v>1540</v>
      </c>
      <c r="H1135" s="3" t="s">
        <v>746</v>
      </c>
      <c r="I1135" s="3">
        <v>8</v>
      </c>
      <c r="J1135" s="3" t="s">
        <v>39</v>
      </c>
      <c r="K1135" s="3" t="s">
        <v>109</v>
      </c>
      <c r="L1135" s="3" t="s">
        <v>134</v>
      </c>
      <c r="M1135" s="3" t="s">
        <v>5784</v>
      </c>
      <c r="N1135" s="3" t="s">
        <v>788</v>
      </c>
      <c r="O1135" s="3" t="s">
        <v>27</v>
      </c>
      <c r="P1135" s="3" t="s">
        <v>113</v>
      </c>
      <c r="Q1135" s="3" t="s">
        <v>138</v>
      </c>
      <c r="R1135" s="3">
        <v>4</v>
      </c>
      <c r="S1135" s="3">
        <v>38195.07</v>
      </c>
      <c r="T1135" s="3">
        <v>25</v>
      </c>
      <c r="U1135" s="3">
        <v>114585.21</v>
      </c>
      <c r="V1135" s="3">
        <v>71273.14</v>
      </c>
      <c r="W1135" s="3">
        <v>43312.07</v>
      </c>
      <c r="X1135" s="3">
        <v>37.799999999999997</v>
      </c>
      <c r="Y1135" s="3">
        <v>49</v>
      </c>
      <c r="Z1135" s="3" t="s">
        <v>23</v>
      </c>
      <c r="AA1135" s="3" t="s">
        <v>100</v>
      </c>
      <c r="AB1135" s="3" t="s">
        <v>101</v>
      </c>
      <c r="AC1135" s="3">
        <v>1</v>
      </c>
    </row>
    <row r="1136" spans="1:29" x14ac:dyDescent="0.3">
      <c r="A1136" s="2" t="s">
        <v>5785</v>
      </c>
      <c r="B1136" s="2" t="s">
        <v>5786</v>
      </c>
      <c r="C1136" s="2" t="s">
        <v>290</v>
      </c>
      <c r="D1136" s="2" t="s">
        <v>5787</v>
      </c>
      <c r="E1136" s="2" t="s">
        <v>33</v>
      </c>
      <c r="F1136" s="2" t="s">
        <v>3191</v>
      </c>
      <c r="G1136" s="2" t="s">
        <v>1913</v>
      </c>
      <c r="H1136" s="2" t="s">
        <v>1197</v>
      </c>
      <c r="I1136" s="2">
        <v>6</v>
      </c>
      <c r="J1136" s="2" t="s">
        <v>39</v>
      </c>
      <c r="K1136" s="2" t="s">
        <v>193</v>
      </c>
      <c r="L1136" s="2" t="s">
        <v>193</v>
      </c>
      <c r="M1136" s="2" t="s">
        <v>1610</v>
      </c>
      <c r="N1136" s="2" t="s">
        <v>306</v>
      </c>
      <c r="O1136" s="2" t="s">
        <v>21</v>
      </c>
      <c r="P1136" s="2" t="s">
        <v>126</v>
      </c>
      <c r="Q1136" s="2" t="s">
        <v>608</v>
      </c>
      <c r="R1136" s="2">
        <v>2</v>
      </c>
      <c r="S1136" s="2">
        <v>35122.35</v>
      </c>
      <c r="T1136" s="2">
        <v>10</v>
      </c>
      <c r="U1136" s="2">
        <v>63220.23</v>
      </c>
      <c r="V1136" s="2">
        <v>30817.33</v>
      </c>
      <c r="W1136" s="2">
        <v>32402.9</v>
      </c>
      <c r="X1136" s="2">
        <v>51.25</v>
      </c>
      <c r="Y1136" s="2">
        <v>0</v>
      </c>
      <c r="Z1136" s="2" t="s">
        <v>30</v>
      </c>
      <c r="AA1136" s="2" t="s">
        <v>100</v>
      </c>
      <c r="AB1136" s="2" t="s">
        <v>101</v>
      </c>
      <c r="AC1136" s="2"/>
    </row>
    <row r="1137" spans="1:29" x14ac:dyDescent="0.3">
      <c r="A1137" s="3" t="s">
        <v>5788</v>
      </c>
      <c r="B1137" s="3" t="s">
        <v>5789</v>
      </c>
      <c r="C1137" s="3" t="s">
        <v>1019</v>
      </c>
      <c r="D1137" s="3" t="s">
        <v>5790</v>
      </c>
      <c r="E1137" s="3" t="s">
        <v>18</v>
      </c>
      <c r="F1137" s="3" t="s">
        <v>1533</v>
      </c>
      <c r="G1137" s="3" t="s">
        <v>2763</v>
      </c>
      <c r="H1137" s="3" t="s">
        <v>5791</v>
      </c>
      <c r="I1137" s="3">
        <v>6</v>
      </c>
      <c r="J1137" s="3" t="s">
        <v>29</v>
      </c>
      <c r="K1137" s="3" t="s">
        <v>427</v>
      </c>
      <c r="L1137" s="3" t="s">
        <v>1081</v>
      </c>
      <c r="M1137" s="3" t="s">
        <v>5792</v>
      </c>
      <c r="N1137" s="3" t="s">
        <v>1332</v>
      </c>
      <c r="O1137" s="3" t="s">
        <v>19</v>
      </c>
      <c r="P1137" s="3" t="s">
        <v>447</v>
      </c>
      <c r="Q1137" s="3" t="s">
        <v>152</v>
      </c>
      <c r="R1137" s="3">
        <v>1</v>
      </c>
      <c r="S1137" s="3">
        <v>9143.02</v>
      </c>
      <c r="T1137" s="3">
        <v>25</v>
      </c>
      <c r="U1137" s="3">
        <v>6857.27</v>
      </c>
      <c r="V1137" s="3">
        <v>4089.14</v>
      </c>
      <c r="W1137" s="3">
        <v>2768.13</v>
      </c>
      <c r="X1137" s="3">
        <v>40.369999999999997</v>
      </c>
      <c r="Y1137" s="3">
        <v>149</v>
      </c>
      <c r="Z1137" s="3" t="s">
        <v>30</v>
      </c>
      <c r="AA1137" s="3" t="s">
        <v>672</v>
      </c>
      <c r="AB1137" s="3" t="s">
        <v>101</v>
      </c>
      <c r="AC1137" s="3"/>
    </row>
    <row r="1138" spans="1:29" x14ac:dyDescent="0.3">
      <c r="A1138" s="2" t="s">
        <v>5793</v>
      </c>
      <c r="B1138" s="2" t="s">
        <v>5794</v>
      </c>
      <c r="C1138" s="2" t="s">
        <v>1606</v>
      </c>
      <c r="D1138" s="2" t="s">
        <v>5795</v>
      </c>
      <c r="E1138" s="2" t="s">
        <v>18</v>
      </c>
      <c r="F1138" s="2" t="s">
        <v>2403</v>
      </c>
      <c r="G1138" s="2" t="s">
        <v>1141</v>
      </c>
      <c r="H1138" s="2" t="s">
        <v>2503</v>
      </c>
      <c r="I1138" s="2">
        <v>2</v>
      </c>
      <c r="J1138" s="2" t="s">
        <v>39</v>
      </c>
      <c r="K1138" s="2" t="s">
        <v>324</v>
      </c>
      <c r="L1138" s="2" t="s">
        <v>325</v>
      </c>
      <c r="M1138" s="2" t="s">
        <v>5796</v>
      </c>
      <c r="N1138" s="2" t="s">
        <v>217</v>
      </c>
      <c r="O1138" s="2" t="s">
        <v>21</v>
      </c>
      <c r="P1138" s="2" t="s">
        <v>206</v>
      </c>
      <c r="Q1138" s="2" t="s">
        <v>207</v>
      </c>
      <c r="R1138" s="2">
        <v>5</v>
      </c>
      <c r="S1138" s="2">
        <v>20136.560000000001</v>
      </c>
      <c r="T1138" s="2">
        <v>5</v>
      </c>
      <c r="U1138" s="2">
        <v>95648.66</v>
      </c>
      <c r="V1138" s="2">
        <v>48983.34</v>
      </c>
      <c r="W1138" s="2">
        <v>46665.32</v>
      </c>
      <c r="X1138" s="2">
        <v>48.79</v>
      </c>
      <c r="Y1138" s="2">
        <v>49</v>
      </c>
      <c r="Z1138" s="2" t="s">
        <v>48</v>
      </c>
      <c r="AA1138" s="2" t="s">
        <v>672</v>
      </c>
      <c r="AB1138" s="2" t="s">
        <v>101</v>
      </c>
      <c r="AC1138" s="2"/>
    </row>
    <row r="1139" spans="1:29" x14ac:dyDescent="0.3">
      <c r="A1139" s="3" t="s">
        <v>5797</v>
      </c>
      <c r="B1139" s="3" t="s">
        <v>5798</v>
      </c>
      <c r="C1139" s="3" t="s">
        <v>1637</v>
      </c>
      <c r="D1139" s="3" t="s">
        <v>5799</v>
      </c>
      <c r="E1139" s="3" t="s">
        <v>42</v>
      </c>
      <c r="F1139" s="3" t="s">
        <v>1811</v>
      </c>
      <c r="G1139" s="3" t="s">
        <v>1812</v>
      </c>
      <c r="H1139" s="3" t="s">
        <v>2640</v>
      </c>
      <c r="I1139" s="3">
        <v>8</v>
      </c>
      <c r="J1139" s="3" t="s">
        <v>39</v>
      </c>
      <c r="K1139" s="3" t="s">
        <v>109</v>
      </c>
      <c r="L1139" s="3" t="s">
        <v>344</v>
      </c>
      <c r="M1139" s="3" t="s">
        <v>1222</v>
      </c>
      <c r="N1139" s="3" t="s">
        <v>3017</v>
      </c>
      <c r="O1139" s="3" t="s">
        <v>13</v>
      </c>
      <c r="P1139" s="3" t="s">
        <v>419</v>
      </c>
      <c r="Q1139" s="3" t="s">
        <v>355</v>
      </c>
      <c r="R1139" s="3">
        <v>4</v>
      </c>
      <c r="S1139" s="3">
        <v>9486.67</v>
      </c>
      <c r="T1139" s="3">
        <v>20</v>
      </c>
      <c r="U1139" s="3">
        <v>30357.34</v>
      </c>
      <c r="V1139" s="3">
        <v>20368.86</v>
      </c>
      <c r="W1139" s="3">
        <v>9988.48</v>
      </c>
      <c r="X1139" s="3">
        <v>32.9</v>
      </c>
      <c r="Y1139" s="3">
        <v>199</v>
      </c>
      <c r="Z1139" s="3" t="s">
        <v>47</v>
      </c>
      <c r="AA1139" s="3" t="s">
        <v>100</v>
      </c>
      <c r="AB1139" s="3" t="s">
        <v>101</v>
      </c>
      <c r="AC1139" s="3">
        <v>5</v>
      </c>
    </row>
    <row r="1140" spans="1:29" x14ac:dyDescent="0.3">
      <c r="A1140" s="2" t="s">
        <v>5800</v>
      </c>
      <c r="B1140" s="2" t="s">
        <v>4235</v>
      </c>
      <c r="C1140" s="2" t="s">
        <v>3865</v>
      </c>
      <c r="D1140" s="2" t="s">
        <v>5801</v>
      </c>
      <c r="E1140" s="2" t="s">
        <v>18</v>
      </c>
      <c r="F1140" s="2" t="s">
        <v>1415</v>
      </c>
      <c r="G1140" s="2" t="s">
        <v>1146</v>
      </c>
      <c r="H1140" s="2" t="s">
        <v>2785</v>
      </c>
      <c r="I1140" s="2">
        <v>5</v>
      </c>
      <c r="J1140" s="2" t="s">
        <v>14</v>
      </c>
      <c r="K1140" s="2" t="s">
        <v>712</v>
      </c>
      <c r="L1140" s="2" t="s">
        <v>712</v>
      </c>
      <c r="M1140" s="2" t="s">
        <v>4535</v>
      </c>
      <c r="N1140" s="2" t="s">
        <v>583</v>
      </c>
      <c r="O1140" s="2" t="s">
        <v>19</v>
      </c>
      <c r="P1140" s="2" t="s">
        <v>447</v>
      </c>
      <c r="Q1140" s="2" t="s">
        <v>138</v>
      </c>
      <c r="R1140" s="2">
        <v>4</v>
      </c>
      <c r="S1140" s="2">
        <v>19689</v>
      </c>
      <c r="T1140" s="2">
        <v>30</v>
      </c>
      <c r="U1140" s="2">
        <v>55129.2</v>
      </c>
      <c r="V1140" s="2">
        <v>31926.9</v>
      </c>
      <c r="W1140" s="2">
        <v>23202.3</v>
      </c>
      <c r="X1140" s="2">
        <v>42.09</v>
      </c>
      <c r="Y1140" s="2">
        <v>199</v>
      </c>
      <c r="Z1140" s="2" t="s">
        <v>23</v>
      </c>
      <c r="AA1140" s="2" t="s">
        <v>100</v>
      </c>
      <c r="AB1140" s="2" t="s">
        <v>101</v>
      </c>
      <c r="AC1140" s="2">
        <v>2</v>
      </c>
    </row>
    <row r="1141" spans="1:29" x14ac:dyDescent="0.3">
      <c r="A1141" s="3" t="s">
        <v>5802</v>
      </c>
      <c r="B1141" s="3" t="s">
        <v>5803</v>
      </c>
      <c r="C1141" s="3" t="s">
        <v>1085</v>
      </c>
      <c r="D1141" s="3" t="s">
        <v>5804</v>
      </c>
      <c r="E1141" s="3" t="s">
        <v>33</v>
      </c>
      <c r="F1141" s="3" t="s">
        <v>1622</v>
      </c>
      <c r="G1141" s="3" t="s">
        <v>581</v>
      </c>
      <c r="H1141" s="3" t="s">
        <v>2227</v>
      </c>
      <c r="I1141" s="3">
        <v>2</v>
      </c>
      <c r="J1141" s="3" t="s">
        <v>22</v>
      </c>
      <c r="K1141" s="3" t="s">
        <v>122</v>
      </c>
      <c r="L1141" s="3" t="s">
        <v>812</v>
      </c>
      <c r="M1141" s="3" t="s">
        <v>3282</v>
      </c>
      <c r="N1141" s="3" t="s">
        <v>1051</v>
      </c>
      <c r="O1141" s="3" t="s">
        <v>28</v>
      </c>
      <c r="P1141" s="3" t="s">
        <v>151</v>
      </c>
      <c r="Q1141" s="3" t="s">
        <v>207</v>
      </c>
      <c r="R1141" s="3">
        <v>3</v>
      </c>
      <c r="S1141" s="3">
        <v>9165.6</v>
      </c>
      <c r="T1141" s="3">
        <v>20</v>
      </c>
      <c r="U1141" s="3">
        <v>21997.439999999999</v>
      </c>
      <c r="V1141" s="3">
        <v>12726.83</v>
      </c>
      <c r="W1141" s="3">
        <v>9270.61</v>
      </c>
      <c r="X1141" s="3">
        <v>42.14</v>
      </c>
      <c r="Y1141" s="3">
        <v>99</v>
      </c>
      <c r="Z1141" s="3" t="s">
        <v>48</v>
      </c>
      <c r="AA1141" s="3" t="s">
        <v>100</v>
      </c>
      <c r="AB1141" s="3" t="s">
        <v>101</v>
      </c>
      <c r="AC1141" s="3"/>
    </row>
    <row r="1142" spans="1:29" x14ac:dyDescent="0.3">
      <c r="A1142" s="2" t="s">
        <v>5805</v>
      </c>
      <c r="B1142" s="2" t="s">
        <v>5806</v>
      </c>
      <c r="C1142" s="2" t="s">
        <v>495</v>
      </c>
      <c r="D1142" s="2" t="s">
        <v>5807</v>
      </c>
      <c r="E1142" s="2" t="s">
        <v>42</v>
      </c>
      <c r="F1142" s="2" t="s">
        <v>597</v>
      </c>
      <c r="G1142" s="2" t="s">
        <v>1206</v>
      </c>
      <c r="H1142" s="2" t="s">
        <v>5808</v>
      </c>
      <c r="I1142" s="2">
        <v>7</v>
      </c>
      <c r="J1142" s="2" t="s">
        <v>14</v>
      </c>
      <c r="K1142" s="2" t="s">
        <v>215</v>
      </c>
      <c r="L1142" s="2" t="s">
        <v>215</v>
      </c>
      <c r="M1142" s="2" t="s">
        <v>5809</v>
      </c>
      <c r="N1142" s="2" t="s">
        <v>266</v>
      </c>
      <c r="O1142" s="2" t="s">
        <v>28</v>
      </c>
      <c r="P1142" s="2" t="s">
        <v>151</v>
      </c>
      <c r="Q1142" s="2" t="s">
        <v>127</v>
      </c>
      <c r="R1142" s="2">
        <v>2</v>
      </c>
      <c r="S1142" s="2">
        <v>18682.27</v>
      </c>
      <c r="T1142" s="2">
        <v>15</v>
      </c>
      <c r="U1142" s="2">
        <v>31759.86</v>
      </c>
      <c r="V1142" s="2">
        <v>14978.06</v>
      </c>
      <c r="W1142" s="2">
        <v>16781.8</v>
      </c>
      <c r="X1142" s="2">
        <v>52.84</v>
      </c>
      <c r="Y1142" s="2">
        <v>149</v>
      </c>
      <c r="Z1142" s="2" t="s">
        <v>43</v>
      </c>
      <c r="AA1142" s="2" t="s">
        <v>100</v>
      </c>
      <c r="AB1142" s="2" t="s">
        <v>101</v>
      </c>
      <c r="AC1142" s="2"/>
    </row>
    <row r="1143" spans="1:29" x14ac:dyDescent="0.3">
      <c r="A1143" s="3" t="s">
        <v>5810</v>
      </c>
      <c r="B1143" s="3" t="s">
        <v>5811</v>
      </c>
      <c r="C1143" s="3" t="s">
        <v>2147</v>
      </c>
      <c r="D1143" s="3" t="s">
        <v>5812</v>
      </c>
      <c r="E1143" s="3" t="s">
        <v>18</v>
      </c>
      <c r="F1143" s="3" t="s">
        <v>2593</v>
      </c>
      <c r="G1143" s="3" t="s">
        <v>5813</v>
      </c>
      <c r="H1143" s="3" t="s">
        <v>107</v>
      </c>
      <c r="I1143" s="3">
        <v>4</v>
      </c>
      <c r="J1143" s="3" t="s">
        <v>14</v>
      </c>
      <c r="K1143" s="3" t="s">
        <v>171</v>
      </c>
      <c r="L1143" s="3" t="s">
        <v>541</v>
      </c>
      <c r="M1143" s="3" t="s">
        <v>5814</v>
      </c>
      <c r="N1143" s="3" t="s">
        <v>1188</v>
      </c>
      <c r="O1143" s="3" t="s">
        <v>27</v>
      </c>
      <c r="P1143" s="3" t="s">
        <v>257</v>
      </c>
      <c r="Q1143" s="3" t="s">
        <v>608</v>
      </c>
      <c r="R1143" s="3">
        <v>2</v>
      </c>
      <c r="S1143" s="3">
        <v>34043.64</v>
      </c>
      <c r="T1143" s="3">
        <v>5</v>
      </c>
      <c r="U1143" s="3">
        <v>64682.92</v>
      </c>
      <c r="V1143" s="3">
        <v>42040.92</v>
      </c>
      <c r="W1143" s="3">
        <v>22642</v>
      </c>
      <c r="X1143" s="3">
        <v>35</v>
      </c>
      <c r="Y1143" s="3">
        <v>99</v>
      </c>
      <c r="Z1143" s="3" t="s">
        <v>23</v>
      </c>
      <c r="AA1143" s="3" t="s">
        <v>672</v>
      </c>
      <c r="AB1143" s="3" t="s">
        <v>101</v>
      </c>
      <c r="AC1143" s="3"/>
    </row>
    <row r="1144" spans="1:29" x14ac:dyDescent="0.3">
      <c r="A1144" s="2" t="s">
        <v>5815</v>
      </c>
      <c r="B1144" s="2" t="s">
        <v>5816</v>
      </c>
      <c r="C1144" s="2" t="s">
        <v>1880</v>
      </c>
      <c r="D1144" s="2" t="s">
        <v>5817</v>
      </c>
      <c r="E1144" s="2" t="s">
        <v>26</v>
      </c>
      <c r="F1144" s="2" t="s">
        <v>2120</v>
      </c>
      <c r="G1144" s="2" t="s">
        <v>3369</v>
      </c>
      <c r="H1144" s="2" t="s">
        <v>2143</v>
      </c>
      <c r="I1144" s="2">
        <v>4</v>
      </c>
      <c r="J1144" s="2" t="s">
        <v>39</v>
      </c>
      <c r="K1144" s="2" t="s">
        <v>193</v>
      </c>
      <c r="L1144" s="2" t="s">
        <v>193</v>
      </c>
      <c r="M1144" s="2" t="s">
        <v>697</v>
      </c>
      <c r="N1144" s="2" t="s">
        <v>616</v>
      </c>
      <c r="O1144" s="2" t="s">
        <v>21</v>
      </c>
      <c r="P1144" s="2" t="s">
        <v>206</v>
      </c>
      <c r="Q1144" s="2" t="s">
        <v>207</v>
      </c>
      <c r="R1144" s="2">
        <v>1</v>
      </c>
      <c r="S1144" s="2">
        <v>5770.35</v>
      </c>
      <c r="T1144" s="2">
        <v>0</v>
      </c>
      <c r="U1144" s="2">
        <v>5770.35</v>
      </c>
      <c r="V1144" s="2">
        <v>3886.04</v>
      </c>
      <c r="W1144" s="2">
        <v>1884.31</v>
      </c>
      <c r="X1144" s="2">
        <v>32.659999999999997</v>
      </c>
      <c r="Y1144" s="2">
        <v>199</v>
      </c>
      <c r="Z1144" s="2" t="s">
        <v>40</v>
      </c>
      <c r="AA1144" s="2" t="s">
        <v>100</v>
      </c>
      <c r="AB1144" s="2" t="s">
        <v>101</v>
      </c>
      <c r="AC1144" s="2">
        <v>2</v>
      </c>
    </row>
    <row r="1145" spans="1:29" x14ac:dyDescent="0.3">
      <c r="A1145" s="3" t="s">
        <v>5818</v>
      </c>
      <c r="B1145" s="3" t="s">
        <v>5819</v>
      </c>
      <c r="C1145" s="3" t="s">
        <v>619</v>
      </c>
      <c r="D1145" s="3" t="s">
        <v>5820</v>
      </c>
      <c r="E1145" s="3" t="s">
        <v>18</v>
      </c>
      <c r="F1145" s="3" t="s">
        <v>2126</v>
      </c>
      <c r="G1145" s="3" t="s">
        <v>1876</v>
      </c>
      <c r="H1145" s="3" t="s">
        <v>1056</v>
      </c>
      <c r="I1145" s="3">
        <v>8</v>
      </c>
      <c r="J1145" s="3" t="s">
        <v>29</v>
      </c>
      <c r="K1145" s="3" t="s">
        <v>834</v>
      </c>
      <c r="L1145" s="3" t="s">
        <v>901</v>
      </c>
      <c r="M1145" s="3" t="s">
        <v>5821</v>
      </c>
      <c r="N1145" s="3" t="s">
        <v>125</v>
      </c>
      <c r="O1145" s="3" t="s">
        <v>21</v>
      </c>
      <c r="P1145" s="3" t="s">
        <v>126</v>
      </c>
      <c r="Q1145" s="3" t="s">
        <v>246</v>
      </c>
      <c r="R1145" s="3">
        <v>1</v>
      </c>
      <c r="S1145" s="3">
        <v>34381.81</v>
      </c>
      <c r="T1145" s="3">
        <v>15</v>
      </c>
      <c r="U1145" s="3">
        <v>29224.54</v>
      </c>
      <c r="V1145" s="3">
        <v>18884.34</v>
      </c>
      <c r="W1145" s="3">
        <v>10340.200000000001</v>
      </c>
      <c r="X1145" s="3">
        <v>35.380000000000003</v>
      </c>
      <c r="Y1145" s="3">
        <v>199</v>
      </c>
      <c r="Z1145" s="3" t="s">
        <v>40</v>
      </c>
      <c r="AA1145" s="3" t="s">
        <v>139</v>
      </c>
      <c r="AB1145" s="3" t="s">
        <v>140</v>
      </c>
      <c r="AC1145" s="3"/>
    </row>
    <row r="1146" spans="1:29" x14ac:dyDescent="0.3">
      <c r="A1146" s="2" t="s">
        <v>5822</v>
      </c>
      <c r="B1146" s="2" t="s">
        <v>5823</v>
      </c>
      <c r="C1146" s="2" t="s">
        <v>1097</v>
      </c>
      <c r="D1146" s="2" t="s">
        <v>5824</v>
      </c>
      <c r="E1146" s="2" t="s">
        <v>42</v>
      </c>
      <c r="F1146" s="2" t="s">
        <v>3074</v>
      </c>
      <c r="G1146" s="2" t="s">
        <v>3369</v>
      </c>
      <c r="H1146" s="2" t="s">
        <v>322</v>
      </c>
      <c r="I1146" s="2">
        <v>6</v>
      </c>
      <c r="J1146" s="2" t="s">
        <v>22</v>
      </c>
      <c r="K1146" s="2" t="s">
        <v>254</v>
      </c>
      <c r="L1146" s="2" t="s">
        <v>254</v>
      </c>
      <c r="M1146" s="2" t="s">
        <v>5825</v>
      </c>
      <c r="N1146" s="2" t="s">
        <v>1535</v>
      </c>
      <c r="O1146" s="2" t="s">
        <v>13</v>
      </c>
      <c r="P1146" s="2" t="s">
        <v>98</v>
      </c>
      <c r="Q1146" s="2" t="s">
        <v>99</v>
      </c>
      <c r="R1146" s="2">
        <v>4</v>
      </c>
      <c r="S1146" s="2">
        <v>14523.74</v>
      </c>
      <c r="T1146" s="2">
        <v>10</v>
      </c>
      <c r="U1146" s="2">
        <v>52285.46</v>
      </c>
      <c r="V1146" s="2">
        <v>24776.65</v>
      </c>
      <c r="W1146" s="2">
        <v>27508.81</v>
      </c>
      <c r="X1146" s="2">
        <v>52.61</v>
      </c>
      <c r="Y1146" s="2">
        <v>149</v>
      </c>
      <c r="Z1146" s="2" t="s">
        <v>48</v>
      </c>
      <c r="AA1146" s="2" t="s">
        <v>186</v>
      </c>
      <c r="AB1146" s="2" t="s">
        <v>140</v>
      </c>
      <c r="AC1146" s="2"/>
    </row>
    <row r="1147" spans="1:29" x14ac:dyDescent="0.3">
      <c r="A1147" s="3" t="s">
        <v>5826</v>
      </c>
      <c r="B1147" s="3" t="s">
        <v>5827</v>
      </c>
      <c r="C1147" s="3" t="s">
        <v>1809</v>
      </c>
      <c r="D1147" s="3" t="s">
        <v>5828</v>
      </c>
      <c r="E1147" s="3" t="s">
        <v>33</v>
      </c>
      <c r="F1147" s="3" t="s">
        <v>655</v>
      </c>
      <c r="G1147" s="3" t="s">
        <v>1501</v>
      </c>
      <c r="H1147" s="3" t="s">
        <v>1162</v>
      </c>
      <c r="I1147" s="3">
        <v>4</v>
      </c>
      <c r="J1147" s="3" t="s">
        <v>14</v>
      </c>
      <c r="K1147" s="3" t="s">
        <v>95</v>
      </c>
      <c r="L1147" s="3" t="s">
        <v>95</v>
      </c>
      <c r="M1147" s="3" t="s">
        <v>5829</v>
      </c>
      <c r="N1147" s="3" t="s">
        <v>686</v>
      </c>
      <c r="O1147" s="3" t="s">
        <v>13</v>
      </c>
      <c r="P1147" s="3" t="s">
        <v>228</v>
      </c>
      <c r="Q1147" s="3" t="s">
        <v>152</v>
      </c>
      <c r="R1147" s="3">
        <v>2</v>
      </c>
      <c r="S1147" s="3">
        <v>36946.9</v>
      </c>
      <c r="T1147" s="3">
        <v>30</v>
      </c>
      <c r="U1147" s="3">
        <v>51725.66</v>
      </c>
      <c r="V1147" s="3">
        <v>27036.66</v>
      </c>
      <c r="W1147" s="3">
        <v>24689</v>
      </c>
      <c r="X1147" s="3">
        <v>47.73</v>
      </c>
      <c r="Y1147" s="3">
        <v>0</v>
      </c>
      <c r="Z1147" s="3" t="s">
        <v>15</v>
      </c>
      <c r="AA1147" s="3" t="s">
        <v>100</v>
      </c>
      <c r="AB1147" s="3" t="s">
        <v>101</v>
      </c>
      <c r="AC1147" s="3">
        <v>1</v>
      </c>
    </row>
    <row r="1148" spans="1:29" x14ac:dyDescent="0.3">
      <c r="A1148" s="2" t="s">
        <v>5830</v>
      </c>
      <c r="B1148" s="2" t="s">
        <v>5831</v>
      </c>
      <c r="C1148" s="2" t="s">
        <v>980</v>
      </c>
      <c r="D1148" s="2" t="s">
        <v>5832</v>
      </c>
      <c r="E1148" s="2" t="s">
        <v>42</v>
      </c>
      <c r="F1148" s="2" t="s">
        <v>720</v>
      </c>
      <c r="G1148" s="2" t="s">
        <v>5295</v>
      </c>
      <c r="H1148" s="2" t="s">
        <v>1027</v>
      </c>
      <c r="I1148" s="2">
        <v>6</v>
      </c>
      <c r="J1148" s="2" t="s">
        <v>22</v>
      </c>
      <c r="K1148" s="2" t="s">
        <v>443</v>
      </c>
      <c r="L1148" s="2" t="s">
        <v>567</v>
      </c>
      <c r="M1148" s="2" t="s">
        <v>5833</v>
      </c>
      <c r="N1148" s="2" t="s">
        <v>316</v>
      </c>
      <c r="O1148" s="2" t="s">
        <v>28</v>
      </c>
      <c r="P1148" s="2" t="s">
        <v>137</v>
      </c>
      <c r="Q1148" s="2" t="s">
        <v>197</v>
      </c>
      <c r="R1148" s="2">
        <v>5</v>
      </c>
      <c r="S1148" s="2">
        <v>34796.870000000003</v>
      </c>
      <c r="T1148" s="2">
        <v>10</v>
      </c>
      <c r="U1148" s="2">
        <v>156585.92000000001</v>
      </c>
      <c r="V1148" s="2">
        <v>107503.36</v>
      </c>
      <c r="W1148" s="2">
        <v>49082.559999999998</v>
      </c>
      <c r="X1148" s="2">
        <v>31.35</v>
      </c>
      <c r="Y1148" s="2">
        <v>29</v>
      </c>
      <c r="Z1148" s="2" t="s">
        <v>43</v>
      </c>
      <c r="AA1148" s="2" t="s">
        <v>100</v>
      </c>
      <c r="AB1148" s="2" t="s">
        <v>101</v>
      </c>
      <c r="AC1148" s="2">
        <v>4</v>
      </c>
    </row>
    <row r="1149" spans="1:29" x14ac:dyDescent="0.3">
      <c r="A1149" s="3" t="s">
        <v>5834</v>
      </c>
      <c r="B1149" s="3" t="s">
        <v>5835</v>
      </c>
      <c r="C1149" s="3" t="s">
        <v>4049</v>
      </c>
      <c r="D1149" s="3" t="s">
        <v>5058</v>
      </c>
      <c r="E1149" s="3" t="s">
        <v>33</v>
      </c>
      <c r="F1149" s="3" t="s">
        <v>169</v>
      </c>
      <c r="G1149" s="3" t="s">
        <v>1330</v>
      </c>
      <c r="H1149" s="3" t="s">
        <v>613</v>
      </c>
      <c r="I1149" s="3">
        <v>6</v>
      </c>
      <c r="J1149" s="3" t="s">
        <v>39</v>
      </c>
      <c r="K1149" s="3" t="s">
        <v>193</v>
      </c>
      <c r="L1149" s="3" t="s">
        <v>193</v>
      </c>
      <c r="M1149" s="3" t="s">
        <v>345</v>
      </c>
      <c r="N1149" s="3" t="s">
        <v>931</v>
      </c>
      <c r="O1149" s="3" t="s">
        <v>13</v>
      </c>
      <c r="P1149" s="3" t="s">
        <v>419</v>
      </c>
      <c r="Q1149" s="3" t="s">
        <v>608</v>
      </c>
      <c r="R1149" s="3">
        <v>3</v>
      </c>
      <c r="S1149" s="3">
        <v>21981.86</v>
      </c>
      <c r="T1149" s="3">
        <v>20</v>
      </c>
      <c r="U1149" s="3">
        <v>52756.46</v>
      </c>
      <c r="V1149" s="3">
        <v>34978.46</v>
      </c>
      <c r="W1149" s="3">
        <v>17778</v>
      </c>
      <c r="X1149" s="3">
        <v>33.700000000000003</v>
      </c>
      <c r="Y1149" s="3">
        <v>0</v>
      </c>
      <c r="Z1149" s="3" t="s">
        <v>30</v>
      </c>
      <c r="AA1149" s="3" t="s">
        <v>100</v>
      </c>
      <c r="AB1149" s="3" t="s">
        <v>101</v>
      </c>
      <c r="AC1149" s="3">
        <v>1</v>
      </c>
    </row>
    <row r="1150" spans="1:29" x14ac:dyDescent="0.3">
      <c r="A1150" s="2" t="s">
        <v>5836</v>
      </c>
      <c r="B1150" s="2" t="s">
        <v>468</v>
      </c>
      <c r="C1150" s="2" t="s">
        <v>680</v>
      </c>
      <c r="D1150" s="2" t="s">
        <v>5837</v>
      </c>
      <c r="E1150" s="2" t="s">
        <v>33</v>
      </c>
      <c r="F1150" s="2" t="s">
        <v>119</v>
      </c>
      <c r="G1150" s="2" t="s">
        <v>120</v>
      </c>
      <c r="H1150" s="2" t="s">
        <v>1063</v>
      </c>
      <c r="I1150" s="2">
        <v>8</v>
      </c>
      <c r="J1150" s="2" t="s">
        <v>14</v>
      </c>
      <c r="K1150" s="2" t="s">
        <v>215</v>
      </c>
      <c r="L1150" s="2" t="s">
        <v>215</v>
      </c>
      <c r="M1150" s="2" t="s">
        <v>4796</v>
      </c>
      <c r="N1150" s="2" t="s">
        <v>374</v>
      </c>
      <c r="O1150" s="2" t="s">
        <v>21</v>
      </c>
      <c r="P1150" s="2" t="s">
        <v>196</v>
      </c>
      <c r="Q1150" s="2" t="s">
        <v>287</v>
      </c>
      <c r="R1150" s="2">
        <v>3</v>
      </c>
      <c r="S1150" s="2">
        <v>22755.84</v>
      </c>
      <c r="T1150" s="2">
        <v>30</v>
      </c>
      <c r="U1150" s="2">
        <v>47787.26</v>
      </c>
      <c r="V1150" s="2">
        <v>27504.18</v>
      </c>
      <c r="W1150" s="2">
        <v>20283.080000000002</v>
      </c>
      <c r="X1150" s="2">
        <v>42.44</v>
      </c>
      <c r="Y1150" s="2">
        <v>49</v>
      </c>
      <c r="Z1150" s="2" t="s">
        <v>47</v>
      </c>
      <c r="AA1150" s="2" t="s">
        <v>100</v>
      </c>
      <c r="AB1150" s="2" t="s">
        <v>101</v>
      </c>
      <c r="AC1150" s="2">
        <v>3</v>
      </c>
    </row>
    <row r="1151" spans="1:29" x14ac:dyDescent="0.3">
      <c r="A1151" s="3" t="s">
        <v>5838</v>
      </c>
      <c r="B1151" s="3" t="s">
        <v>5839</v>
      </c>
      <c r="C1151" s="3" t="s">
        <v>863</v>
      </c>
      <c r="D1151" s="3" t="s">
        <v>5840</v>
      </c>
      <c r="E1151" s="3" t="s">
        <v>26</v>
      </c>
      <c r="F1151" s="3" t="s">
        <v>1063</v>
      </c>
      <c r="G1151" s="3" t="s">
        <v>2841</v>
      </c>
      <c r="H1151" s="3" t="s">
        <v>1064</v>
      </c>
      <c r="I1151" s="3">
        <v>6</v>
      </c>
      <c r="J1151" s="3" t="s">
        <v>14</v>
      </c>
      <c r="K1151" s="3" t="s">
        <v>171</v>
      </c>
      <c r="L1151" s="3" t="s">
        <v>541</v>
      </c>
      <c r="M1151" s="3" t="s">
        <v>5841</v>
      </c>
      <c r="N1151" s="3" t="s">
        <v>1332</v>
      </c>
      <c r="O1151" s="3" t="s">
        <v>19</v>
      </c>
      <c r="P1151" s="3" t="s">
        <v>447</v>
      </c>
      <c r="Q1151" s="3" t="s">
        <v>400</v>
      </c>
      <c r="R1151" s="3">
        <v>1</v>
      </c>
      <c r="S1151" s="3">
        <v>49926.879999999997</v>
      </c>
      <c r="T1151" s="3">
        <v>20</v>
      </c>
      <c r="U1151" s="3">
        <v>39941.5</v>
      </c>
      <c r="V1151" s="3">
        <v>20469.3</v>
      </c>
      <c r="W1151" s="3">
        <v>19472.2</v>
      </c>
      <c r="X1151" s="3">
        <v>48.75</v>
      </c>
      <c r="Y1151" s="3">
        <v>99</v>
      </c>
      <c r="Z1151" s="3" t="s">
        <v>15</v>
      </c>
      <c r="AA1151" s="3" t="s">
        <v>100</v>
      </c>
      <c r="AB1151" s="3" t="s">
        <v>101</v>
      </c>
      <c r="AC1151" s="3">
        <v>4</v>
      </c>
    </row>
    <row r="1152" spans="1:29" x14ac:dyDescent="0.3">
      <c r="A1152" s="2" t="s">
        <v>5842</v>
      </c>
      <c r="B1152" s="2" t="s">
        <v>5843</v>
      </c>
      <c r="C1152" s="2" t="s">
        <v>1152</v>
      </c>
      <c r="D1152" s="2" t="s">
        <v>5844</v>
      </c>
      <c r="E1152" s="2" t="s">
        <v>26</v>
      </c>
      <c r="F1152" s="2" t="s">
        <v>1519</v>
      </c>
      <c r="G1152" s="2" t="s">
        <v>2630</v>
      </c>
      <c r="H1152" s="2" t="s">
        <v>547</v>
      </c>
      <c r="I1152" s="2">
        <v>8</v>
      </c>
      <c r="J1152" s="2" t="s">
        <v>22</v>
      </c>
      <c r="K1152" s="2" t="s">
        <v>283</v>
      </c>
      <c r="L1152" s="2" t="s">
        <v>1346</v>
      </c>
      <c r="M1152" s="2" t="s">
        <v>1680</v>
      </c>
      <c r="N1152" s="2" t="s">
        <v>399</v>
      </c>
      <c r="O1152" s="2" t="s">
        <v>21</v>
      </c>
      <c r="P1152" s="2" t="s">
        <v>196</v>
      </c>
      <c r="Q1152" s="2" t="s">
        <v>400</v>
      </c>
      <c r="R1152" s="2">
        <v>5</v>
      </c>
      <c r="S1152" s="2">
        <v>32749.3</v>
      </c>
      <c r="T1152" s="2">
        <v>10</v>
      </c>
      <c r="U1152" s="2">
        <v>147371.85</v>
      </c>
      <c r="V1152" s="2">
        <v>76528.62</v>
      </c>
      <c r="W1152" s="2">
        <v>70843.23</v>
      </c>
      <c r="X1152" s="2">
        <v>48.07</v>
      </c>
      <c r="Y1152" s="2">
        <v>49</v>
      </c>
      <c r="Z1152" s="2" t="s">
        <v>40</v>
      </c>
      <c r="AA1152" s="2" t="s">
        <v>275</v>
      </c>
      <c r="AB1152" s="2" t="s">
        <v>101</v>
      </c>
      <c r="AC1152" s="2"/>
    </row>
    <row r="1153" spans="1:29" x14ac:dyDescent="0.3">
      <c r="A1153" s="3" t="s">
        <v>5845</v>
      </c>
      <c r="B1153" s="3" t="s">
        <v>5846</v>
      </c>
      <c r="C1153" s="3" t="s">
        <v>1911</v>
      </c>
      <c r="D1153" s="3" t="s">
        <v>5847</v>
      </c>
      <c r="E1153" s="3" t="s">
        <v>33</v>
      </c>
      <c r="F1153" s="3" t="s">
        <v>3317</v>
      </c>
      <c r="G1153" s="3" t="s">
        <v>2387</v>
      </c>
      <c r="H1153" s="3" t="s">
        <v>424</v>
      </c>
      <c r="I1153" s="3">
        <v>8</v>
      </c>
      <c r="J1153" s="3" t="s">
        <v>22</v>
      </c>
      <c r="K1153" s="3" t="s">
        <v>122</v>
      </c>
      <c r="L1153" s="3" t="s">
        <v>812</v>
      </c>
      <c r="M1153" s="3" t="s">
        <v>5848</v>
      </c>
      <c r="N1153" s="3" t="s">
        <v>686</v>
      </c>
      <c r="O1153" s="3" t="s">
        <v>13</v>
      </c>
      <c r="P1153" s="3" t="s">
        <v>228</v>
      </c>
      <c r="Q1153" s="3" t="s">
        <v>400</v>
      </c>
      <c r="R1153" s="3">
        <v>5</v>
      </c>
      <c r="S1153" s="3">
        <v>13663.04</v>
      </c>
      <c r="T1153" s="3">
        <v>25</v>
      </c>
      <c r="U1153" s="3">
        <v>51236.4</v>
      </c>
      <c r="V1153" s="3">
        <v>31846.85</v>
      </c>
      <c r="W1153" s="3">
        <v>19389.55</v>
      </c>
      <c r="X1153" s="3">
        <v>37.840000000000003</v>
      </c>
      <c r="Y1153" s="3">
        <v>29</v>
      </c>
      <c r="Z1153" s="3" t="s">
        <v>47</v>
      </c>
      <c r="AA1153" s="3" t="s">
        <v>100</v>
      </c>
      <c r="AB1153" s="3" t="s">
        <v>101</v>
      </c>
      <c r="AC1153" s="3">
        <v>2</v>
      </c>
    </row>
    <row r="1154" spans="1:29" x14ac:dyDescent="0.3">
      <c r="A1154" s="2" t="s">
        <v>5849</v>
      </c>
      <c r="B1154" s="2" t="s">
        <v>5850</v>
      </c>
      <c r="C1154" s="2" t="s">
        <v>1683</v>
      </c>
      <c r="D1154" s="2" t="s">
        <v>1693</v>
      </c>
      <c r="E1154" s="2" t="s">
        <v>42</v>
      </c>
      <c r="F1154" s="2" t="s">
        <v>5813</v>
      </c>
      <c r="G1154" s="2" t="s">
        <v>2211</v>
      </c>
      <c r="H1154" s="2" t="s">
        <v>1799</v>
      </c>
      <c r="I1154" s="2">
        <v>3</v>
      </c>
      <c r="J1154" s="2" t="s">
        <v>29</v>
      </c>
      <c r="K1154" s="2" t="s">
        <v>334</v>
      </c>
      <c r="L1154" s="2" t="s">
        <v>1073</v>
      </c>
      <c r="M1154" s="2" t="s">
        <v>5851</v>
      </c>
      <c r="N1154" s="2" t="s">
        <v>125</v>
      </c>
      <c r="O1154" s="2" t="s">
        <v>21</v>
      </c>
      <c r="P1154" s="2" t="s">
        <v>126</v>
      </c>
      <c r="Q1154" s="2" t="s">
        <v>207</v>
      </c>
      <c r="R1154" s="2">
        <v>5</v>
      </c>
      <c r="S1154" s="2">
        <v>32654.62</v>
      </c>
      <c r="T1154" s="2">
        <v>15</v>
      </c>
      <c r="U1154" s="2">
        <v>138782.14000000001</v>
      </c>
      <c r="V1154" s="2">
        <v>84731.8</v>
      </c>
      <c r="W1154" s="2">
        <v>54050.34</v>
      </c>
      <c r="X1154" s="2">
        <v>38.950000000000003</v>
      </c>
      <c r="Y1154" s="2">
        <v>49</v>
      </c>
      <c r="Z1154" s="2" t="s">
        <v>15</v>
      </c>
      <c r="AA1154" s="2" t="s">
        <v>100</v>
      </c>
      <c r="AB1154" s="2" t="s">
        <v>101</v>
      </c>
      <c r="AC1154" s="2">
        <v>4</v>
      </c>
    </row>
    <row r="1155" spans="1:29" x14ac:dyDescent="0.3">
      <c r="A1155" s="3" t="s">
        <v>5852</v>
      </c>
      <c r="B1155" s="3" t="s">
        <v>5853</v>
      </c>
      <c r="C1155" s="3" t="s">
        <v>768</v>
      </c>
      <c r="D1155" s="3" t="s">
        <v>5854</v>
      </c>
      <c r="E1155" s="3" t="s">
        <v>42</v>
      </c>
      <c r="F1155" s="3" t="s">
        <v>2943</v>
      </c>
      <c r="G1155" s="3" t="s">
        <v>5855</v>
      </c>
      <c r="H1155" s="3" t="s">
        <v>5856</v>
      </c>
      <c r="I1155" s="3">
        <v>5</v>
      </c>
      <c r="J1155" s="3" t="s">
        <v>29</v>
      </c>
      <c r="K1155" s="3" t="s">
        <v>334</v>
      </c>
      <c r="L1155" s="3" t="s">
        <v>335</v>
      </c>
      <c r="M1155" s="3" t="s">
        <v>5857</v>
      </c>
      <c r="N1155" s="3" t="s">
        <v>286</v>
      </c>
      <c r="O1155" s="3" t="s">
        <v>28</v>
      </c>
      <c r="P1155" s="3" t="s">
        <v>137</v>
      </c>
      <c r="Q1155" s="3" t="s">
        <v>287</v>
      </c>
      <c r="R1155" s="3">
        <v>5</v>
      </c>
      <c r="S1155" s="3">
        <v>27949.26</v>
      </c>
      <c r="T1155" s="3">
        <v>25</v>
      </c>
      <c r="U1155" s="3">
        <v>104809.72</v>
      </c>
      <c r="V1155" s="3">
        <v>48340.99</v>
      </c>
      <c r="W1155" s="3">
        <v>56468.73</v>
      </c>
      <c r="X1155" s="3">
        <v>53.88</v>
      </c>
      <c r="Y1155" s="3">
        <v>99</v>
      </c>
      <c r="Z1155" s="3" t="s">
        <v>47</v>
      </c>
      <c r="AA1155" s="3" t="s">
        <v>100</v>
      </c>
      <c r="AB1155" s="3" t="s">
        <v>101</v>
      </c>
      <c r="AC1155" s="3">
        <v>5</v>
      </c>
    </row>
    <row r="1156" spans="1:29" x14ac:dyDescent="0.3">
      <c r="A1156" s="2" t="s">
        <v>5858</v>
      </c>
      <c r="B1156" s="2" t="s">
        <v>5859</v>
      </c>
      <c r="C1156" s="2" t="s">
        <v>554</v>
      </c>
      <c r="D1156" s="2" t="s">
        <v>5860</v>
      </c>
      <c r="E1156" s="2" t="s">
        <v>18</v>
      </c>
      <c r="F1156" s="2" t="s">
        <v>3479</v>
      </c>
      <c r="G1156" s="2" t="s">
        <v>332</v>
      </c>
      <c r="H1156" s="2" t="s">
        <v>691</v>
      </c>
      <c r="I1156" s="2">
        <v>3</v>
      </c>
      <c r="J1156" s="2" t="s">
        <v>39</v>
      </c>
      <c r="K1156" s="2" t="s">
        <v>324</v>
      </c>
      <c r="L1156" s="2" t="s">
        <v>1422</v>
      </c>
      <c r="M1156" s="2" t="s">
        <v>5861</v>
      </c>
      <c r="N1156" s="2" t="s">
        <v>592</v>
      </c>
      <c r="O1156" s="2" t="s">
        <v>21</v>
      </c>
      <c r="P1156" s="2" t="s">
        <v>206</v>
      </c>
      <c r="Q1156" s="2" t="s">
        <v>127</v>
      </c>
      <c r="R1156" s="2">
        <v>3</v>
      </c>
      <c r="S1156" s="2">
        <v>34533.01</v>
      </c>
      <c r="T1156" s="2">
        <v>5</v>
      </c>
      <c r="U1156" s="2">
        <v>98419.08</v>
      </c>
      <c r="V1156" s="2">
        <v>63543.03</v>
      </c>
      <c r="W1156" s="2">
        <v>34876.050000000003</v>
      </c>
      <c r="X1156" s="2">
        <v>35.44</v>
      </c>
      <c r="Y1156" s="2">
        <v>199</v>
      </c>
      <c r="Z1156" s="2" t="s">
        <v>30</v>
      </c>
      <c r="AA1156" s="2" t="s">
        <v>100</v>
      </c>
      <c r="AB1156" s="2" t="s">
        <v>101</v>
      </c>
      <c r="AC1156" s="2">
        <v>5</v>
      </c>
    </row>
    <row r="1157" spans="1:29" x14ac:dyDescent="0.3">
      <c r="A1157" s="3" t="s">
        <v>5862</v>
      </c>
      <c r="B1157" s="3" t="s">
        <v>4377</v>
      </c>
      <c r="C1157" s="3" t="s">
        <v>4332</v>
      </c>
      <c r="D1157" s="3" t="s">
        <v>5863</v>
      </c>
      <c r="E1157" s="3" t="s">
        <v>26</v>
      </c>
      <c r="F1157" s="3" t="s">
        <v>2408</v>
      </c>
      <c r="G1157" s="3" t="s">
        <v>2409</v>
      </c>
      <c r="H1157" s="3" t="s">
        <v>4498</v>
      </c>
      <c r="I1157" s="3">
        <v>8</v>
      </c>
      <c r="J1157" s="3" t="s">
        <v>14</v>
      </c>
      <c r="K1157" s="3" t="s">
        <v>171</v>
      </c>
      <c r="L1157" s="3" t="s">
        <v>541</v>
      </c>
      <c r="M1157" s="3" t="s">
        <v>5864</v>
      </c>
      <c r="N1157" s="3" t="s">
        <v>409</v>
      </c>
      <c r="O1157" s="3" t="s">
        <v>21</v>
      </c>
      <c r="P1157" s="3" t="s">
        <v>196</v>
      </c>
      <c r="Q1157" s="3" t="s">
        <v>218</v>
      </c>
      <c r="R1157" s="3">
        <v>4</v>
      </c>
      <c r="S1157" s="3">
        <v>43554.74</v>
      </c>
      <c r="T1157" s="3">
        <v>15</v>
      </c>
      <c r="U1157" s="3">
        <v>148086.12</v>
      </c>
      <c r="V1157" s="3">
        <v>71612.55</v>
      </c>
      <c r="W1157" s="3">
        <v>76473.570000000007</v>
      </c>
      <c r="X1157" s="3">
        <v>51.64</v>
      </c>
      <c r="Y1157" s="3">
        <v>149</v>
      </c>
      <c r="Z1157" s="3" t="s">
        <v>40</v>
      </c>
      <c r="AA1157" s="3" t="s">
        <v>672</v>
      </c>
      <c r="AB1157" s="3" t="s">
        <v>101</v>
      </c>
      <c r="AC1157" s="3"/>
    </row>
    <row r="1158" spans="1:29" x14ac:dyDescent="0.3">
      <c r="A1158" s="2" t="s">
        <v>5865</v>
      </c>
      <c r="B1158" s="2" t="s">
        <v>5866</v>
      </c>
      <c r="C1158" s="2" t="s">
        <v>2141</v>
      </c>
      <c r="D1158" s="2" t="s">
        <v>5867</v>
      </c>
      <c r="E1158" s="2" t="s">
        <v>26</v>
      </c>
      <c r="F1158" s="2" t="s">
        <v>1971</v>
      </c>
      <c r="G1158" s="2" t="s">
        <v>4498</v>
      </c>
      <c r="H1158" s="2" t="s">
        <v>5082</v>
      </c>
      <c r="I1158" s="2">
        <v>4</v>
      </c>
      <c r="J1158" s="2" t="s">
        <v>22</v>
      </c>
      <c r="K1158" s="2" t="s">
        <v>254</v>
      </c>
      <c r="L1158" s="2" t="s">
        <v>254</v>
      </c>
      <c r="M1158" s="2" t="s">
        <v>5868</v>
      </c>
      <c r="N1158" s="2" t="s">
        <v>374</v>
      </c>
      <c r="O1158" s="2" t="s">
        <v>21</v>
      </c>
      <c r="P1158" s="2" t="s">
        <v>196</v>
      </c>
      <c r="Q1158" s="2" t="s">
        <v>218</v>
      </c>
      <c r="R1158" s="2">
        <v>3</v>
      </c>
      <c r="S1158" s="2">
        <v>44606.65</v>
      </c>
      <c r="T1158" s="2">
        <v>20</v>
      </c>
      <c r="U1158" s="2">
        <v>107055.96</v>
      </c>
      <c r="V1158" s="2">
        <v>65793.399999999994</v>
      </c>
      <c r="W1158" s="2">
        <v>41262.559999999998</v>
      </c>
      <c r="X1158" s="2">
        <v>38.54</v>
      </c>
      <c r="Y1158" s="2">
        <v>199</v>
      </c>
      <c r="Z1158" s="2" t="s">
        <v>40</v>
      </c>
      <c r="AA1158" s="2" t="s">
        <v>100</v>
      </c>
      <c r="AB1158" s="2" t="s">
        <v>101</v>
      </c>
      <c r="AC1158" s="2">
        <v>3</v>
      </c>
    </row>
    <row r="1159" spans="1:29" x14ac:dyDescent="0.3">
      <c r="A1159" s="3" t="s">
        <v>5869</v>
      </c>
      <c r="B1159" s="3" t="s">
        <v>5870</v>
      </c>
      <c r="C1159" s="3" t="s">
        <v>1782</v>
      </c>
      <c r="D1159" s="3" t="s">
        <v>5871</v>
      </c>
      <c r="E1159" s="3" t="s">
        <v>42</v>
      </c>
      <c r="F1159" s="3" t="s">
        <v>372</v>
      </c>
      <c r="G1159" s="3" t="s">
        <v>784</v>
      </c>
      <c r="H1159" s="3" t="s">
        <v>786</v>
      </c>
      <c r="I1159" s="3">
        <v>6</v>
      </c>
      <c r="J1159" s="3" t="s">
        <v>14</v>
      </c>
      <c r="K1159" s="3" t="s">
        <v>183</v>
      </c>
      <c r="L1159" s="3" t="s">
        <v>183</v>
      </c>
      <c r="M1159" s="3" t="s">
        <v>1368</v>
      </c>
      <c r="N1159" s="3" t="s">
        <v>765</v>
      </c>
      <c r="O1159" s="3" t="s">
        <v>27</v>
      </c>
      <c r="P1159" s="3" t="s">
        <v>113</v>
      </c>
      <c r="Q1159" s="3" t="s">
        <v>355</v>
      </c>
      <c r="R1159" s="3">
        <v>1</v>
      </c>
      <c r="S1159" s="3">
        <v>8841.9500000000007</v>
      </c>
      <c r="T1159" s="3">
        <v>25</v>
      </c>
      <c r="U1159" s="3">
        <v>6631.46</v>
      </c>
      <c r="V1159" s="3">
        <v>3762.61</v>
      </c>
      <c r="W1159" s="3">
        <v>2868.85</v>
      </c>
      <c r="X1159" s="3">
        <v>43.26</v>
      </c>
      <c r="Y1159" s="3">
        <v>99</v>
      </c>
      <c r="Z1159" s="3" t="s">
        <v>47</v>
      </c>
      <c r="AA1159" s="3" t="s">
        <v>100</v>
      </c>
      <c r="AB1159" s="3" t="s">
        <v>101</v>
      </c>
      <c r="AC1159" s="3">
        <v>3</v>
      </c>
    </row>
    <row r="1160" spans="1:29" x14ac:dyDescent="0.3">
      <c r="A1160" s="2" t="s">
        <v>5872</v>
      </c>
      <c r="B1160" s="2" t="s">
        <v>5873</v>
      </c>
      <c r="C1160" s="2" t="s">
        <v>545</v>
      </c>
      <c r="D1160" s="2" t="s">
        <v>4343</v>
      </c>
      <c r="E1160" s="2" t="s">
        <v>33</v>
      </c>
      <c r="F1160" s="2" t="s">
        <v>3181</v>
      </c>
      <c r="G1160" s="2" t="s">
        <v>1985</v>
      </c>
      <c r="H1160" s="2" t="s">
        <v>304</v>
      </c>
      <c r="I1160" s="2">
        <v>7</v>
      </c>
      <c r="J1160" s="2" t="s">
        <v>29</v>
      </c>
      <c r="K1160" s="2" t="s">
        <v>160</v>
      </c>
      <c r="L1160" s="2" t="s">
        <v>161</v>
      </c>
      <c r="M1160" s="2" t="s">
        <v>2984</v>
      </c>
      <c r="N1160" s="2" t="s">
        <v>924</v>
      </c>
      <c r="O1160" s="2" t="s">
        <v>13</v>
      </c>
      <c r="P1160" s="2" t="s">
        <v>228</v>
      </c>
      <c r="Q1160" s="2" t="s">
        <v>114</v>
      </c>
      <c r="R1160" s="2">
        <v>1</v>
      </c>
      <c r="S1160" s="2">
        <v>32703.52</v>
      </c>
      <c r="T1160" s="2">
        <v>10</v>
      </c>
      <c r="U1160" s="2">
        <v>29433.17</v>
      </c>
      <c r="V1160" s="2">
        <v>14496.81</v>
      </c>
      <c r="W1160" s="2">
        <v>14936.36</v>
      </c>
      <c r="X1160" s="2">
        <v>50.75</v>
      </c>
      <c r="Y1160" s="2">
        <v>149</v>
      </c>
      <c r="Z1160" s="2" t="s">
        <v>15</v>
      </c>
      <c r="AA1160" s="2" t="s">
        <v>100</v>
      </c>
      <c r="AB1160" s="2" t="s">
        <v>101</v>
      </c>
      <c r="AC1160" s="2">
        <v>4</v>
      </c>
    </row>
    <row r="1161" spans="1:29" x14ac:dyDescent="0.3">
      <c r="A1161" s="3" t="s">
        <v>5874</v>
      </c>
      <c r="B1161" s="3" t="s">
        <v>2723</v>
      </c>
      <c r="C1161" s="3" t="s">
        <v>1822</v>
      </c>
      <c r="D1161" s="3" t="s">
        <v>5875</v>
      </c>
      <c r="E1161" s="3" t="s">
        <v>33</v>
      </c>
      <c r="F1161" s="3" t="s">
        <v>302</v>
      </c>
      <c r="G1161" s="3" t="s">
        <v>1985</v>
      </c>
      <c r="H1161" s="3" t="s">
        <v>3373</v>
      </c>
      <c r="I1161" s="3">
        <v>4</v>
      </c>
      <c r="J1161" s="3" t="s">
        <v>29</v>
      </c>
      <c r="K1161" s="3" t="s">
        <v>427</v>
      </c>
      <c r="L1161" s="3" t="s">
        <v>1871</v>
      </c>
      <c r="M1161" s="3" t="s">
        <v>923</v>
      </c>
      <c r="N1161" s="3" t="s">
        <v>1380</v>
      </c>
      <c r="O1161" s="3" t="s">
        <v>28</v>
      </c>
      <c r="P1161" s="3" t="s">
        <v>137</v>
      </c>
      <c r="Q1161" s="3" t="s">
        <v>138</v>
      </c>
      <c r="R1161" s="3">
        <v>1</v>
      </c>
      <c r="S1161" s="3">
        <v>46061.93</v>
      </c>
      <c r="T1161" s="3">
        <v>10</v>
      </c>
      <c r="U1161" s="3">
        <v>41455.74</v>
      </c>
      <c r="V1161" s="3">
        <v>19965.87</v>
      </c>
      <c r="W1161" s="3">
        <v>21489.87</v>
      </c>
      <c r="X1161" s="3">
        <v>51.84</v>
      </c>
      <c r="Y1161" s="3">
        <v>99</v>
      </c>
      <c r="Z1161" s="3" t="s">
        <v>48</v>
      </c>
      <c r="AA1161" s="3" t="s">
        <v>139</v>
      </c>
      <c r="AB1161" s="3" t="s">
        <v>140</v>
      </c>
      <c r="AC1161" s="3"/>
    </row>
    <row r="1162" spans="1:29" x14ac:dyDescent="0.3">
      <c r="A1162" s="2" t="s">
        <v>5876</v>
      </c>
      <c r="B1162" s="2" t="s">
        <v>5877</v>
      </c>
      <c r="C1162" s="2" t="s">
        <v>2572</v>
      </c>
      <c r="D1162" s="2" t="s">
        <v>5878</v>
      </c>
      <c r="E1162" s="2" t="s">
        <v>18</v>
      </c>
      <c r="F1162" s="2" t="s">
        <v>5879</v>
      </c>
      <c r="G1162" s="2" t="s">
        <v>1154</v>
      </c>
      <c r="H1162" s="2" t="s">
        <v>5503</v>
      </c>
      <c r="I1162" s="2">
        <v>3</v>
      </c>
      <c r="J1162" s="2" t="s">
        <v>14</v>
      </c>
      <c r="K1162" s="2" t="s">
        <v>183</v>
      </c>
      <c r="L1162" s="2" t="s">
        <v>183</v>
      </c>
      <c r="M1162" s="2" t="s">
        <v>5880</v>
      </c>
      <c r="N1162" s="2" t="s">
        <v>508</v>
      </c>
      <c r="O1162" s="2" t="s">
        <v>19</v>
      </c>
      <c r="P1162" s="2" t="s">
        <v>365</v>
      </c>
      <c r="Q1162" s="2" t="s">
        <v>127</v>
      </c>
      <c r="R1162" s="2">
        <v>3</v>
      </c>
      <c r="S1162" s="2">
        <v>34265.339999999997</v>
      </c>
      <c r="T1162" s="2">
        <v>30</v>
      </c>
      <c r="U1162" s="2">
        <v>71957.210000000006</v>
      </c>
      <c r="V1162" s="2">
        <v>49354.78</v>
      </c>
      <c r="W1162" s="2">
        <v>22602.43</v>
      </c>
      <c r="X1162" s="2">
        <v>31.41</v>
      </c>
      <c r="Y1162" s="2">
        <v>49</v>
      </c>
      <c r="Z1162" s="2" t="s">
        <v>23</v>
      </c>
      <c r="AA1162" s="2" t="s">
        <v>100</v>
      </c>
      <c r="AB1162" s="2" t="s">
        <v>101</v>
      </c>
      <c r="AC1162" s="2"/>
    </row>
    <row r="1163" spans="1:29" x14ac:dyDescent="0.3">
      <c r="A1163" s="3" t="s">
        <v>5881</v>
      </c>
      <c r="B1163" s="3" t="s">
        <v>5882</v>
      </c>
      <c r="C1163" s="3" t="s">
        <v>995</v>
      </c>
      <c r="D1163" s="3" t="s">
        <v>5883</v>
      </c>
      <c r="E1163" s="3" t="s">
        <v>18</v>
      </c>
      <c r="F1163" s="3" t="s">
        <v>3106</v>
      </c>
      <c r="G1163" s="3" t="s">
        <v>5884</v>
      </c>
      <c r="H1163" s="3" t="s">
        <v>416</v>
      </c>
      <c r="I1163" s="3">
        <v>4</v>
      </c>
      <c r="J1163" s="3" t="s">
        <v>29</v>
      </c>
      <c r="K1163" s="3" t="s">
        <v>160</v>
      </c>
      <c r="L1163" s="3" t="s">
        <v>976</v>
      </c>
      <c r="M1163" s="3" t="s">
        <v>517</v>
      </c>
      <c r="N1163" s="3" t="s">
        <v>399</v>
      </c>
      <c r="O1163" s="3" t="s">
        <v>21</v>
      </c>
      <c r="P1163" s="3" t="s">
        <v>196</v>
      </c>
      <c r="Q1163" s="3" t="s">
        <v>287</v>
      </c>
      <c r="R1163" s="3">
        <v>2</v>
      </c>
      <c r="S1163" s="3">
        <v>5882.45</v>
      </c>
      <c r="T1163" s="3">
        <v>25</v>
      </c>
      <c r="U1163" s="3">
        <v>8823.67</v>
      </c>
      <c r="V1163" s="3">
        <v>5977.47</v>
      </c>
      <c r="W1163" s="3">
        <v>2846.2</v>
      </c>
      <c r="X1163" s="3">
        <v>32.26</v>
      </c>
      <c r="Y1163" s="3">
        <v>99</v>
      </c>
      <c r="Z1163" s="3" t="s">
        <v>23</v>
      </c>
      <c r="AA1163" s="3" t="s">
        <v>275</v>
      </c>
      <c r="AB1163" s="3" t="s">
        <v>101</v>
      </c>
      <c r="AC1163" s="3"/>
    </row>
    <row r="1164" spans="1:29" x14ac:dyDescent="0.3">
      <c r="A1164" s="2" t="s">
        <v>5885</v>
      </c>
      <c r="B1164" s="2" t="s">
        <v>5886</v>
      </c>
      <c r="C1164" s="2" t="s">
        <v>1311</v>
      </c>
      <c r="D1164" s="2" t="s">
        <v>5887</v>
      </c>
      <c r="E1164" s="2" t="s">
        <v>42</v>
      </c>
      <c r="F1164" s="2" t="s">
        <v>1435</v>
      </c>
      <c r="G1164" s="2" t="s">
        <v>3623</v>
      </c>
      <c r="H1164" s="2" t="s">
        <v>4619</v>
      </c>
      <c r="I1164" s="2">
        <v>7</v>
      </c>
      <c r="J1164" s="2" t="s">
        <v>22</v>
      </c>
      <c r="K1164" s="2" t="s">
        <v>254</v>
      </c>
      <c r="L1164" s="2" t="s">
        <v>254</v>
      </c>
      <c r="M1164" s="2" t="s">
        <v>4859</v>
      </c>
      <c r="N1164" s="2" t="s">
        <v>316</v>
      </c>
      <c r="O1164" s="2" t="s">
        <v>28</v>
      </c>
      <c r="P1164" s="2" t="s">
        <v>137</v>
      </c>
      <c r="Q1164" s="2" t="s">
        <v>355</v>
      </c>
      <c r="R1164" s="2">
        <v>2</v>
      </c>
      <c r="S1164" s="2">
        <v>13811.63</v>
      </c>
      <c r="T1164" s="2">
        <v>0</v>
      </c>
      <c r="U1164" s="2">
        <v>27623.26</v>
      </c>
      <c r="V1164" s="2">
        <v>15727.11</v>
      </c>
      <c r="W1164" s="2">
        <v>11896.15</v>
      </c>
      <c r="X1164" s="2">
        <v>43.07</v>
      </c>
      <c r="Y1164" s="2">
        <v>29</v>
      </c>
      <c r="Z1164" s="2" t="s">
        <v>47</v>
      </c>
      <c r="AA1164" s="2" t="s">
        <v>100</v>
      </c>
      <c r="AB1164" s="2" t="s">
        <v>101</v>
      </c>
      <c r="AC1164" s="2">
        <v>4</v>
      </c>
    </row>
    <row r="1165" spans="1:29" x14ac:dyDescent="0.3">
      <c r="A1165" s="3" t="s">
        <v>5888</v>
      </c>
      <c r="B1165" s="3" t="s">
        <v>5889</v>
      </c>
      <c r="C1165" s="3" t="s">
        <v>512</v>
      </c>
      <c r="D1165" s="3" t="s">
        <v>5890</v>
      </c>
      <c r="E1165" s="3" t="s">
        <v>42</v>
      </c>
      <c r="F1165" s="3" t="s">
        <v>637</v>
      </c>
      <c r="G1165" s="3" t="s">
        <v>271</v>
      </c>
      <c r="H1165" s="3" t="s">
        <v>2354</v>
      </c>
      <c r="I1165" s="3">
        <v>4</v>
      </c>
      <c r="J1165" s="3" t="s">
        <v>29</v>
      </c>
      <c r="K1165" s="3" t="s">
        <v>834</v>
      </c>
      <c r="L1165" s="3" t="s">
        <v>835</v>
      </c>
      <c r="M1165" s="3" t="s">
        <v>5891</v>
      </c>
      <c r="N1165" s="3" t="s">
        <v>97</v>
      </c>
      <c r="O1165" s="3" t="s">
        <v>13</v>
      </c>
      <c r="P1165" s="3" t="s">
        <v>98</v>
      </c>
      <c r="Q1165" s="3" t="s">
        <v>400</v>
      </c>
      <c r="R1165" s="3">
        <v>1</v>
      </c>
      <c r="S1165" s="3">
        <v>36853.42</v>
      </c>
      <c r="T1165" s="3">
        <v>25</v>
      </c>
      <c r="U1165" s="3">
        <v>27640.06</v>
      </c>
      <c r="V1165" s="3">
        <v>12685.42</v>
      </c>
      <c r="W1165" s="3">
        <v>14954.64</v>
      </c>
      <c r="X1165" s="3">
        <v>54.1</v>
      </c>
      <c r="Y1165" s="3">
        <v>149</v>
      </c>
      <c r="Z1165" s="3" t="s">
        <v>47</v>
      </c>
      <c r="AA1165" s="3" t="s">
        <v>186</v>
      </c>
      <c r="AB1165" s="3" t="s">
        <v>101</v>
      </c>
      <c r="AC1165" s="3"/>
    </row>
    <row r="1166" spans="1:29" x14ac:dyDescent="0.3">
      <c r="A1166" s="2" t="s">
        <v>5892</v>
      </c>
      <c r="B1166" s="2" t="s">
        <v>3230</v>
      </c>
      <c r="C1166" s="2" t="s">
        <v>3903</v>
      </c>
      <c r="D1166" s="2" t="s">
        <v>5893</v>
      </c>
      <c r="E1166" s="2" t="s">
        <v>42</v>
      </c>
      <c r="F1166" s="2" t="s">
        <v>937</v>
      </c>
      <c r="G1166" s="2" t="s">
        <v>5308</v>
      </c>
      <c r="H1166" s="2" t="s">
        <v>3510</v>
      </c>
      <c r="I1166" s="2">
        <v>2</v>
      </c>
      <c r="J1166" s="2" t="s">
        <v>29</v>
      </c>
      <c r="K1166" s="2" t="s">
        <v>334</v>
      </c>
      <c r="L1166" s="2" t="s">
        <v>1073</v>
      </c>
      <c r="M1166" s="2" t="s">
        <v>3808</v>
      </c>
      <c r="N1166" s="2" t="s">
        <v>327</v>
      </c>
      <c r="O1166" s="2" t="s">
        <v>27</v>
      </c>
      <c r="P1166" s="2" t="s">
        <v>113</v>
      </c>
      <c r="Q1166" s="2" t="s">
        <v>127</v>
      </c>
      <c r="R1166" s="2">
        <v>3</v>
      </c>
      <c r="S1166" s="2">
        <v>7131</v>
      </c>
      <c r="T1166" s="2">
        <v>0</v>
      </c>
      <c r="U1166" s="2">
        <v>21393</v>
      </c>
      <c r="V1166" s="2">
        <v>12210.69</v>
      </c>
      <c r="W1166" s="2">
        <v>9182.31</v>
      </c>
      <c r="X1166" s="2">
        <v>42.92</v>
      </c>
      <c r="Y1166" s="2">
        <v>149</v>
      </c>
      <c r="Z1166" s="2" t="s">
        <v>15</v>
      </c>
      <c r="AA1166" s="2" t="s">
        <v>100</v>
      </c>
      <c r="AB1166" s="2" t="s">
        <v>101</v>
      </c>
      <c r="AC1166" s="2">
        <v>1</v>
      </c>
    </row>
    <row r="1167" spans="1:29" x14ac:dyDescent="0.3">
      <c r="A1167" s="3" t="s">
        <v>5894</v>
      </c>
      <c r="B1167" s="3" t="s">
        <v>5895</v>
      </c>
      <c r="C1167" s="3" t="s">
        <v>1590</v>
      </c>
      <c r="D1167" s="3" t="s">
        <v>5896</v>
      </c>
      <c r="E1167" s="3" t="s">
        <v>42</v>
      </c>
      <c r="F1167" s="3" t="s">
        <v>4561</v>
      </c>
      <c r="G1167" s="3" t="s">
        <v>754</v>
      </c>
      <c r="H1167" s="3" t="s">
        <v>4218</v>
      </c>
      <c r="I1167" s="3">
        <v>6</v>
      </c>
      <c r="J1167" s="3" t="s">
        <v>14</v>
      </c>
      <c r="K1167" s="3" t="s">
        <v>183</v>
      </c>
      <c r="L1167" s="3" t="s">
        <v>183</v>
      </c>
      <c r="M1167" s="3" t="s">
        <v>5829</v>
      </c>
      <c r="N1167" s="3" t="s">
        <v>592</v>
      </c>
      <c r="O1167" s="3" t="s">
        <v>21</v>
      </c>
      <c r="P1167" s="3" t="s">
        <v>206</v>
      </c>
      <c r="Q1167" s="3" t="s">
        <v>509</v>
      </c>
      <c r="R1167" s="3">
        <v>3</v>
      </c>
      <c r="S1167" s="3">
        <v>27719.14</v>
      </c>
      <c r="T1167" s="3">
        <v>25</v>
      </c>
      <c r="U1167" s="3">
        <v>62368.07</v>
      </c>
      <c r="V1167" s="3">
        <v>37187.31</v>
      </c>
      <c r="W1167" s="3">
        <v>25180.76</v>
      </c>
      <c r="X1167" s="3">
        <v>40.369999999999997</v>
      </c>
      <c r="Y1167" s="3">
        <v>99</v>
      </c>
      <c r="Z1167" s="3" t="s">
        <v>23</v>
      </c>
      <c r="AA1167" s="3" t="s">
        <v>275</v>
      </c>
      <c r="AB1167" s="3" t="s">
        <v>101</v>
      </c>
      <c r="AC1167" s="3"/>
    </row>
    <row r="1168" spans="1:29" x14ac:dyDescent="0.3">
      <c r="A1168" s="2" t="s">
        <v>5897</v>
      </c>
      <c r="B1168" s="2" t="s">
        <v>5898</v>
      </c>
      <c r="C1168" s="2" t="s">
        <v>155</v>
      </c>
      <c r="D1168" s="2" t="s">
        <v>5899</v>
      </c>
      <c r="E1168" s="2" t="s">
        <v>18</v>
      </c>
      <c r="F1168" s="2" t="s">
        <v>948</v>
      </c>
      <c r="G1168" s="2" t="s">
        <v>1373</v>
      </c>
      <c r="H1168" s="2" t="s">
        <v>5900</v>
      </c>
      <c r="I1168" s="2">
        <v>5</v>
      </c>
      <c r="J1168" s="2" t="s">
        <v>14</v>
      </c>
      <c r="K1168" s="2" t="s">
        <v>712</v>
      </c>
      <c r="L1168" s="2" t="s">
        <v>712</v>
      </c>
      <c r="M1168" s="2" t="s">
        <v>5901</v>
      </c>
      <c r="N1168" s="2" t="s">
        <v>924</v>
      </c>
      <c r="O1168" s="2" t="s">
        <v>13</v>
      </c>
      <c r="P1168" s="2" t="s">
        <v>228</v>
      </c>
      <c r="Q1168" s="2" t="s">
        <v>127</v>
      </c>
      <c r="R1168" s="2">
        <v>2</v>
      </c>
      <c r="S1168" s="2">
        <v>431.91</v>
      </c>
      <c r="T1168" s="2">
        <v>20</v>
      </c>
      <c r="U1168" s="2">
        <v>691.06</v>
      </c>
      <c r="V1168" s="2">
        <v>447.13</v>
      </c>
      <c r="W1168" s="2">
        <v>243.93</v>
      </c>
      <c r="X1168" s="2">
        <v>35.299999999999997</v>
      </c>
      <c r="Y1168" s="2">
        <v>0</v>
      </c>
      <c r="Z1168" s="2" t="s">
        <v>47</v>
      </c>
      <c r="AA1168" s="2" t="s">
        <v>100</v>
      </c>
      <c r="AB1168" s="2" t="s">
        <v>101</v>
      </c>
      <c r="AC1168" s="2">
        <v>3</v>
      </c>
    </row>
    <row r="1169" spans="1:29" x14ac:dyDescent="0.3">
      <c r="A1169" s="3" t="s">
        <v>5902</v>
      </c>
      <c r="B1169" s="3" t="s">
        <v>5903</v>
      </c>
      <c r="C1169" s="3" t="s">
        <v>1159</v>
      </c>
      <c r="D1169" s="3" t="s">
        <v>5904</v>
      </c>
      <c r="E1169" s="3" t="s">
        <v>18</v>
      </c>
      <c r="F1169" s="3" t="s">
        <v>1784</v>
      </c>
      <c r="G1169" s="3" t="s">
        <v>4552</v>
      </c>
      <c r="H1169" s="3" t="s">
        <v>885</v>
      </c>
      <c r="I1169" s="3">
        <v>3</v>
      </c>
      <c r="J1169" s="3" t="s">
        <v>22</v>
      </c>
      <c r="K1169" s="3" t="s">
        <v>122</v>
      </c>
      <c r="L1169" s="3" t="s">
        <v>123</v>
      </c>
      <c r="M1169" s="3" t="s">
        <v>5905</v>
      </c>
      <c r="N1169" s="3" t="s">
        <v>316</v>
      </c>
      <c r="O1169" s="3" t="s">
        <v>28</v>
      </c>
      <c r="P1169" s="3" t="s">
        <v>137</v>
      </c>
      <c r="Q1169" s="3" t="s">
        <v>466</v>
      </c>
      <c r="R1169" s="3">
        <v>5</v>
      </c>
      <c r="S1169" s="3">
        <v>30637.81</v>
      </c>
      <c r="T1169" s="3">
        <v>25</v>
      </c>
      <c r="U1169" s="3">
        <v>114891.79</v>
      </c>
      <c r="V1169" s="3">
        <v>55967.1</v>
      </c>
      <c r="W1169" s="3">
        <v>58924.69</v>
      </c>
      <c r="X1169" s="3">
        <v>51.29</v>
      </c>
      <c r="Y1169" s="3">
        <v>199</v>
      </c>
      <c r="Z1169" s="3" t="s">
        <v>48</v>
      </c>
      <c r="AA1169" s="3" t="s">
        <v>139</v>
      </c>
      <c r="AB1169" s="3" t="s">
        <v>140</v>
      </c>
      <c r="AC1169" s="3"/>
    </row>
    <row r="1170" spans="1:29" x14ac:dyDescent="0.3">
      <c r="A1170" s="2" t="s">
        <v>5906</v>
      </c>
      <c r="B1170" s="2" t="s">
        <v>5907</v>
      </c>
      <c r="C1170" s="2" t="s">
        <v>1159</v>
      </c>
      <c r="D1170" s="2" t="s">
        <v>5908</v>
      </c>
      <c r="E1170" s="2" t="s">
        <v>33</v>
      </c>
      <c r="F1170" s="2" t="s">
        <v>1390</v>
      </c>
      <c r="G1170" s="2" t="s">
        <v>2987</v>
      </c>
      <c r="H1170" s="2" t="s">
        <v>2801</v>
      </c>
      <c r="I1170" s="2">
        <v>4</v>
      </c>
      <c r="J1170" s="2" t="s">
        <v>22</v>
      </c>
      <c r="K1170" s="2" t="s">
        <v>122</v>
      </c>
      <c r="L1170" s="2" t="s">
        <v>123</v>
      </c>
      <c r="M1170" s="2" t="s">
        <v>5909</v>
      </c>
      <c r="N1170" s="2" t="s">
        <v>266</v>
      </c>
      <c r="O1170" s="2" t="s">
        <v>28</v>
      </c>
      <c r="P1170" s="2" t="s">
        <v>151</v>
      </c>
      <c r="Q1170" s="2" t="s">
        <v>138</v>
      </c>
      <c r="R1170" s="2">
        <v>4</v>
      </c>
      <c r="S1170" s="2">
        <v>15075.61</v>
      </c>
      <c r="T1170" s="2">
        <v>25</v>
      </c>
      <c r="U1170" s="2">
        <v>45226.83</v>
      </c>
      <c r="V1170" s="2">
        <v>22645.08</v>
      </c>
      <c r="W1170" s="2">
        <v>22581.75</v>
      </c>
      <c r="X1170" s="2">
        <v>49.93</v>
      </c>
      <c r="Y1170" s="2">
        <v>199</v>
      </c>
      <c r="Z1170" s="2" t="s">
        <v>30</v>
      </c>
      <c r="AA1170" s="2" t="s">
        <v>100</v>
      </c>
      <c r="AB1170" s="2" t="s">
        <v>101</v>
      </c>
      <c r="AC1170" s="2">
        <v>4</v>
      </c>
    </row>
    <row r="1171" spans="1:29" x14ac:dyDescent="0.3">
      <c r="A1171" s="3" t="s">
        <v>5910</v>
      </c>
      <c r="B1171" s="3" t="s">
        <v>5911</v>
      </c>
      <c r="C1171" s="3" t="s">
        <v>1246</v>
      </c>
      <c r="D1171" s="3" t="s">
        <v>5912</v>
      </c>
      <c r="E1171" s="3" t="s">
        <v>42</v>
      </c>
      <c r="F1171" s="3" t="s">
        <v>1240</v>
      </c>
      <c r="G1171" s="3" t="s">
        <v>1241</v>
      </c>
      <c r="H1171" s="3" t="s">
        <v>1242</v>
      </c>
      <c r="I1171" s="3">
        <v>8</v>
      </c>
      <c r="J1171" s="3" t="s">
        <v>29</v>
      </c>
      <c r="K1171" s="3" t="s">
        <v>334</v>
      </c>
      <c r="L1171" s="3" t="s">
        <v>1073</v>
      </c>
      <c r="M1171" s="3" t="s">
        <v>5913</v>
      </c>
      <c r="N1171" s="3" t="s">
        <v>125</v>
      </c>
      <c r="O1171" s="3" t="s">
        <v>21</v>
      </c>
      <c r="P1171" s="3" t="s">
        <v>126</v>
      </c>
      <c r="Q1171" s="3" t="s">
        <v>138</v>
      </c>
      <c r="R1171" s="3">
        <v>2</v>
      </c>
      <c r="S1171" s="3">
        <v>27338.47</v>
      </c>
      <c r="T1171" s="3">
        <v>5</v>
      </c>
      <c r="U1171" s="3">
        <v>51943.09</v>
      </c>
      <c r="V1171" s="3">
        <v>23597.52</v>
      </c>
      <c r="W1171" s="3">
        <v>28345.57</v>
      </c>
      <c r="X1171" s="3">
        <v>54.57</v>
      </c>
      <c r="Y1171" s="3">
        <v>199</v>
      </c>
      <c r="Z1171" s="3" t="s">
        <v>47</v>
      </c>
      <c r="AA1171" s="3" t="s">
        <v>100</v>
      </c>
      <c r="AB1171" s="3" t="s">
        <v>101</v>
      </c>
      <c r="AC1171" s="3">
        <v>3</v>
      </c>
    </row>
    <row r="1172" spans="1:29" x14ac:dyDescent="0.3">
      <c r="A1172" s="2" t="s">
        <v>5914</v>
      </c>
      <c r="B1172" s="2" t="s">
        <v>5915</v>
      </c>
      <c r="C1172" s="2" t="s">
        <v>1286</v>
      </c>
      <c r="D1172" s="2" t="s">
        <v>5916</v>
      </c>
      <c r="E1172" s="2" t="s">
        <v>33</v>
      </c>
      <c r="F1172" s="2" t="s">
        <v>262</v>
      </c>
      <c r="G1172" s="2" t="s">
        <v>2237</v>
      </c>
      <c r="H1172" s="2" t="s">
        <v>770</v>
      </c>
      <c r="I1172" s="2">
        <v>8</v>
      </c>
      <c r="J1172" s="2" t="s">
        <v>39</v>
      </c>
      <c r="K1172" s="2" t="s">
        <v>225</v>
      </c>
      <c r="L1172" s="2" t="s">
        <v>225</v>
      </c>
      <c r="M1172" s="2" t="s">
        <v>5917</v>
      </c>
      <c r="N1172" s="2" t="s">
        <v>1535</v>
      </c>
      <c r="O1172" s="2" t="s">
        <v>13</v>
      </c>
      <c r="P1172" s="2" t="s">
        <v>98</v>
      </c>
      <c r="Q1172" s="2" t="s">
        <v>400</v>
      </c>
      <c r="R1172" s="2">
        <v>5</v>
      </c>
      <c r="S1172" s="2">
        <v>29535.33</v>
      </c>
      <c r="T1172" s="2">
        <v>10</v>
      </c>
      <c r="U1172" s="2">
        <v>132908.99</v>
      </c>
      <c r="V1172" s="2">
        <v>72101.14</v>
      </c>
      <c r="W1172" s="2">
        <v>60807.85</v>
      </c>
      <c r="X1172" s="2">
        <v>45.75</v>
      </c>
      <c r="Y1172" s="2">
        <v>0</v>
      </c>
      <c r="Z1172" s="2" t="s">
        <v>48</v>
      </c>
      <c r="AA1172" s="2" t="s">
        <v>100</v>
      </c>
      <c r="AB1172" s="2" t="s">
        <v>101</v>
      </c>
      <c r="AC1172" s="2">
        <v>3</v>
      </c>
    </row>
    <row r="1173" spans="1:29" x14ac:dyDescent="0.3">
      <c r="A1173" s="3" t="s">
        <v>5918</v>
      </c>
      <c r="B1173" s="3" t="s">
        <v>5919</v>
      </c>
      <c r="C1173" s="3" t="s">
        <v>1885</v>
      </c>
      <c r="D1173" s="3" t="s">
        <v>5920</v>
      </c>
      <c r="E1173" s="3" t="s">
        <v>26</v>
      </c>
      <c r="F1173" s="3" t="s">
        <v>2007</v>
      </c>
      <c r="G1173" s="3" t="s">
        <v>2424</v>
      </c>
      <c r="H1173" s="3" t="s">
        <v>627</v>
      </c>
      <c r="I1173" s="3">
        <v>7</v>
      </c>
      <c r="J1173" s="3" t="s">
        <v>29</v>
      </c>
      <c r="K1173" s="3" t="s">
        <v>427</v>
      </c>
      <c r="L1173" s="3" t="s">
        <v>1871</v>
      </c>
      <c r="M1173" s="3" t="s">
        <v>5921</v>
      </c>
      <c r="N1173" s="3" t="s">
        <v>1051</v>
      </c>
      <c r="O1173" s="3" t="s">
        <v>28</v>
      </c>
      <c r="P1173" s="3" t="s">
        <v>151</v>
      </c>
      <c r="Q1173" s="3" t="s">
        <v>197</v>
      </c>
      <c r="R1173" s="3">
        <v>2</v>
      </c>
      <c r="S1173" s="3">
        <v>35719.06</v>
      </c>
      <c r="T1173" s="3">
        <v>5</v>
      </c>
      <c r="U1173" s="3">
        <v>67866.210000000006</v>
      </c>
      <c r="V1173" s="3">
        <v>44500.26</v>
      </c>
      <c r="W1173" s="3">
        <v>23365.95</v>
      </c>
      <c r="X1173" s="3">
        <v>34.43</v>
      </c>
      <c r="Y1173" s="3">
        <v>49</v>
      </c>
      <c r="Z1173" s="3" t="s">
        <v>47</v>
      </c>
      <c r="AA1173" s="3" t="s">
        <v>100</v>
      </c>
      <c r="AB1173" s="3" t="s">
        <v>101</v>
      </c>
      <c r="AC1173" s="3"/>
    </row>
    <row r="1174" spans="1:29" x14ac:dyDescent="0.3">
      <c r="A1174" s="2" t="s">
        <v>5922</v>
      </c>
      <c r="B1174" s="2" t="s">
        <v>5923</v>
      </c>
      <c r="C1174" s="2" t="s">
        <v>799</v>
      </c>
      <c r="D1174" s="2" t="s">
        <v>775</v>
      </c>
      <c r="E1174" s="2" t="s">
        <v>26</v>
      </c>
      <c r="F1174" s="2" t="s">
        <v>4486</v>
      </c>
      <c r="G1174" s="2" t="s">
        <v>850</v>
      </c>
      <c r="H1174" s="2" t="s">
        <v>4416</v>
      </c>
      <c r="I1174" s="2">
        <v>4</v>
      </c>
      <c r="J1174" s="2" t="s">
        <v>29</v>
      </c>
      <c r="K1174" s="2" t="s">
        <v>427</v>
      </c>
      <c r="L1174" s="2" t="s">
        <v>428</v>
      </c>
      <c r="M1174" s="2" t="s">
        <v>1207</v>
      </c>
      <c r="N1174" s="2" t="s">
        <v>97</v>
      </c>
      <c r="O1174" s="2" t="s">
        <v>13</v>
      </c>
      <c r="P1174" s="2" t="s">
        <v>98</v>
      </c>
      <c r="Q1174" s="2" t="s">
        <v>127</v>
      </c>
      <c r="R1174" s="2">
        <v>1</v>
      </c>
      <c r="S1174" s="2">
        <v>11797.96</v>
      </c>
      <c r="T1174" s="2">
        <v>25</v>
      </c>
      <c r="U1174" s="2">
        <v>8848.4699999999993</v>
      </c>
      <c r="V1174" s="2">
        <v>4401.6099999999997</v>
      </c>
      <c r="W1174" s="2">
        <v>4446.8599999999997</v>
      </c>
      <c r="X1174" s="2">
        <v>50.26</v>
      </c>
      <c r="Y1174" s="2">
        <v>199</v>
      </c>
      <c r="Z1174" s="2" t="s">
        <v>23</v>
      </c>
      <c r="AA1174" s="2" t="s">
        <v>100</v>
      </c>
      <c r="AB1174" s="2" t="s">
        <v>101</v>
      </c>
      <c r="AC1174" s="2"/>
    </row>
    <row r="1175" spans="1:29" x14ac:dyDescent="0.3">
      <c r="A1175" s="3" t="s">
        <v>5924</v>
      </c>
      <c r="B1175" s="3" t="s">
        <v>5925</v>
      </c>
      <c r="C1175" s="3" t="s">
        <v>3547</v>
      </c>
      <c r="D1175" s="3" t="s">
        <v>5926</v>
      </c>
      <c r="E1175" s="3" t="s">
        <v>26</v>
      </c>
      <c r="F1175" s="3" t="s">
        <v>2861</v>
      </c>
      <c r="G1175" s="3" t="s">
        <v>2182</v>
      </c>
      <c r="H1175" s="3" t="s">
        <v>763</v>
      </c>
      <c r="I1175" s="3">
        <v>3</v>
      </c>
      <c r="J1175" s="3" t="s">
        <v>29</v>
      </c>
      <c r="K1175" s="3" t="s">
        <v>160</v>
      </c>
      <c r="L1175" s="3" t="s">
        <v>559</v>
      </c>
      <c r="M1175" s="3" t="s">
        <v>5927</v>
      </c>
      <c r="N1175" s="3" t="s">
        <v>1802</v>
      </c>
      <c r="O1175" s="3" t="s">
        <v>28</v>
      </c>
      <c r="P1175" s="3" t="s">
        <v>137</v>
      </c>
      <c r="Q1175" s="3" t="s">
        <v>509</v>
      </c>
      <c r="R1175" s="3">
        <v>1</v>
      </c>
      <c r="S1175" s="3">
        <v>47265.39</v>
      </c>
      <c r="T1175" s="3">
        <v>25</v>
      </c>
      <c r="U1175" s="3">
        <v>35449.040000000001</v>
      </c>
      <c r="V1175" s="3">
        <v>23652.16</v>
      </c>
      <c r="W1175" s="3">
        <v>11796.88</v>
      </c>
      <c r="X1175" s="3">
        <v>33.28</v>
      </c>
      <c r="Y1175" s="3">
        <v>199</v>
      </c>
      <c r="Z1175" s="3" t="s">
        <v>43</v>
      </c>
      <c r="AA1175" s="3" t="s">
        <v>100</v>
      </c>
      <c r="AB1175" s="3" t="s">
        <v>101</v>
      </c>
      <c r="AC1175" s="3">
        <v>4</v>
      </c>
    </row>
    <row r="1176" spans="1:29" x14ac:dyDescent="0.3">
      <c r="A1176" s="2" t="s">
        <v>5928</v>
      </c>
      <c r="B1176" s="2" t="s">
        <v>724</v>
      </c>
      <c r="C1176" s="2" t="s">
        <v>1085</v>
      </c>
      <c r="D1176" s="2" t="s">
        <v>5929</v>
      </c>
      <c r="E1176" s="2" t="s">
        <v>26</v>
      </c>
      <c r="F1176" s="2" t="s">
        <v>3495</v>
      </c>
      <c r="G1176" s="2" t="s">
        <v>1841</v>
      </c>
      <c r="H1176" s="2" t="s">
        <v>396</v>
      </c>
      <c r="I1176" s="2">
        <v>7</v>
      </c>
      <c r="J1176" s="2" t="s">
        <v>22</v>
      </c>
      <c r="K1176" s="2" t="s">
        <v>122</v>
      </c>
      <c r="L1176" s="2" t="s">
        <v>123</v>
      </c>
      <c r="M1176" s="2" t="s">
        <v>5930</v>
      </c>
      <c r="N1176" s="2" t="s">
        <v>1380</v>
      </c>
      <c r="O1176" s="2" t="s">
        <v>28</v>
      </c>
      <c r="P1176" s="2" t="s">
        <v>137</v>
      </c>
      <c r="Q1176" s="2" t="s">
        <v>138</v>
      </c>
      <c r="R1176" s="2">
        <v>1</v>
      </c>
      <c r="S1176" s="2">
        <v>30073.99</v>
      </c>
      <c r="T1176" s="2">
        <v>30</v>
      </c>
      <c r="U1176" s="2">
        <v>21051.79</v>
      </c>
      <c r="V1176" s="2">
        <v>9806.0400000000009</v>
      </c>
      <c r="W1176" s="2">
        <v>11245.75</v>
      </c>
      <c r="X1176" s="2">
        <v>53.42</v>
      </c>
      <c r="Y1176" s="2">
        <v>149</v>
      </c>
      <c r="Z1176" s="2" t="s">
        <v>15</v>
      </c>
      <c r="AA1176" s="2" t="s">
        <v>100</v>
      </c>
      <c r="AB1176" s="2" t="s">
        <v>101</v>
      </c>
      <c r="AC1176" s="2">
        <v>1</v>
      </c>
    </row>
    <row r="1177" spans="1:29" x14ac:dyDescent="0.3">
      <c r="A1177" s="3" t="s">
        <v>5931</v>
      </c>
      <c r="B1177" s="3" t="s">
        <v>5932</v>
      </c>
      <c r="C1177" s="3" t="s">
        <v>4171</v>
      </c>
      <c r="D1177" s="3" t="s">
        <v>5933</v>
      </c>
      <c r="E1177" s="3" t="s">
        <v>42</v>
      </c>
      <c r="F1177" s="3" t="s">
        <v>1615</v>
      </c>
      <c r="G1177" s="3" t="s">
        <v>1616</v>
      </c>
      <c r="H1177" s="3" t="s">
        <v>3201</v>
      </c>
      <c r="I1177" s="3">
        <v>6</v>
      </c>
      <c r="J1177" s="3" t="s">
        <v>39</v>
      </c>
      <c r="K1177" s="3" t="s">
        <v>193</v>
      </c>
      <c r="L1177" s="3" t="s">
        <v>193</v>
      </c>
      <c r="M1177" s="3" t="s">
        <v>4442</v>
      </c>
      <c r="N1177" s="3" t="s">
        <v>286</v>
      </c>
      <c r="O1177" s="3" t="s">
        <v>28</v>
      </c>
      <c r="P1177" s="3" t="s">
        <v>137</v>
      </c>
      <c r="Q1177" s="3" t="s">
        <v>138</v>
      </c>
      <c r="R1177" s="3">
        <v>2</v>
      </c>
      <c r="S1177" s="3">
        <v>38233.199999999997</v>
      </c>
      <c r="T1177" s="3">
        <v>25</v>
      </c>
      <c r="U1177" s="3">
        <v>57349.8</v>
      </c>
      <c r="V1177" s="3">
        <v>37386.269999999997</v>
      </c>
      <c r="W1177" s="3">
        <v>19963.53</v>
      </c>
      <c r="X1177" s="3">
        <v>34.81</v>
      </c>
      <c r="Y1177" s="3">
        <v>149</v>
      </c>
      <c r="Z1177" s="3" t="s">
        <v>43</v>
      </c>
      <c r="AA1177" s="3" t="s">
        <v>100</v>
      </c>
      <c r="AB1177" s="3" t="s">
        <v>101</v>
      </c>
      <c r="AC1177" s="3"/>
    </row>
    <row r="1178" spans="1:29" x14ac:dyDescent="0.3">
      <c r="A1178" s="2" t="s">
        <v>5934</v>
      </c>
      <c r="B1178" s="2" t="s">
        <v>5935</v>
      </c>
      <c r="C1178" s="2" t="s">
        <v>1644</v>
      </c>
      <c r="D1178" s="2" t="s">
        <v>5936</v>
      </c>
      <c r="E1178" s="2" t="s">
        <v>18</v>
      </c>
      <c r="F1178" s="2" t="s">
        <v>4895</v>
      </c>
      <c r="G1178" s="2" t="s">
        <v>4673</v>
      </c>
      <c r="H1178" s="2" t="s">
        <v>5937</v>
      </c>
      <c r="I1178" s="2">
        <v>3</v>
      </c>
      <c r="J1178" s="2" t="s">
        <v>39</v>
      </c>
      <c r="K1178" s="2" t="s">
        <v>193</v>
      </c>
      <c r="L1178" s="2" t="s">
        <v>193</v>
      </c>
      <c r="M1178" s="2" t="s">
        <v>5938</v>
      </c>
      <c r="N1178" s="2" t="s">
        <v>852</v>
      </c>
      <c r="O1178" s="2" t="s">
        <v>27</v>
      </c>
      <c r="P1178" s="2" t="s">
        <v>175</v>
      </c>
      <c r="Q1178" s="2" t="s">
        <v>152</v>
      </c>
      <c r="R1178" s="2">
        <v>5</v>
      </c>
      <c r="S1178" s="2">
        <v>2621.23</v>
      </c>
      <c r="T1178" s="2">
        <v>10</v>
      </c>
      <c r="U1178" s="2">
        <v>11795.53</v>
      </c>
      <c r="V1178" s="2">
        <v>6144.61</v>
      </c>
      <c r="W1178" s="2">
        <v>5650.92</v>
      </c>
      <c r="X1178" s="2">
        <v>47.91</v>
      </c>
      <c r="Y1178" s="2">
        <v>49</v>
      </c>
      <c r="Z1178" s="2" t="s">
        <v>43</v>
      </c>
      <c r="AA1178" s="2" t="s">
        <v>100</v>
      </c>
      <c r="AB1178" s="2" t="s">
        <v>101</v>
      </c>
      <c r="AC1178" s="2">
        <v>2</v>
      </c>
    </row>
    <row r="1179" spans="1:29" x14ac:dyDescent="0.3">
      <c r="A1179" s="3" t="s">
        <v>5939</v>
      </c>
      <c r="B1179" s="3" t="s">
        <v>5940</v>
      </c>
      <c r="C1179" s="3" t="s">
        <v>1131</v>
      </c>
      <c r="D1179" s="3" t="s">
        <v>5941</v>
      </c>
      <c r="E1179" s="3" t="s">
        <v>42</v>
      </c>
      <c r="F1179" s="3" t="s">
        <v>1834</v>
      </c>
      <c r="G1179" s="3" t="s">
        <v>1835</v>
      </c>
      <c r="H1179" s="3" t="s">
        <v>1205</v>
      </c>
      <c r="I1179" s="3">
        <v>6</v>
      </c>
      <c r="J1179" s="3" t="s">
        <v>29</v>
      </c>
      <c r="K1179" s="3" t="s">
        <v>160</v>
      </c>
      <c r="L1179" s="3" t="s">
        <v>161</v>
      </c>
      <c r="M1179" s="3" t="s">
        <v>2583</v>
      </c>
      <c r="N1179" s="3" t="s">
        <v>583</v>
      </c>
      <c r="O1179" s="3" t="s">
        <v>19</v>
      </c>
      <c r="P1179" s="3" t="s">
        <v>447</v>
      </c>
      <c r="Q1179" s="3" t="s">
        <v>355</v>
      </c>
      <c r="R1179" s="3">
        <v>4</v>
      </c>
      <c r="S1179" s="3">
        <v>45366.09</v>
      </c>
      <c r="T1179" s="3">
        <v>10</v>
      </c>
      <c r="U1179" s="3">
        <v>163317.92000000001</v>
      </c>
      <c r="V1179" s="3">
        <v>113656.93</v>
      </c>
      <c r="W1179" s="3">
        <v>49660.99</v>
      </c>
      <c r="X1179" s="3">
        <v>30.41</v>
      </c>
      <c r="Y1179" s="3">
        <v>29</v>
      </c>
      <c r="Z1179" s="3" t="s">
        <v>43</v>
      </c>
      <c r="AA1179" s="3" t="s">
        <v>100</v>
      </c>
      <c r="AB1179" s="3" t="s">
        <v>101</v>
      </c>
      <c r="AC1179" s="3">
        <v>4</v>
      </c>
    </row>
    <row r="1180" spans="1:29" x14ac:dyDescent="0.3">
      <c r="A1180" s="2" t="s">
        <v>5942</v>
      </c>
      <c r="B1180" s="2" t="s">
        <v>5943</v>
      </c>
      <c r="C1180" s="2" t="s">
        <v>3325</v>
      </c>
      <c r="D1180" s="2" t="s">
        <v>5944</v>
      </c>
      <c r="E1180" s="2" t="s">
        <v>26</v>
      </c>
      <c r="F1180" s="2" t="s">
        <v>2456</v>
      </c>
      <c r="G1180" s="2" t="s">
        <v>2081</v>
      </c>
      <c r="H1180" s="2" t="s">
        <v>3792</v>
      </c>
      <c r="I1180" s="2">
        <v>8</v>
      </c>
      <c r="J1180" s="2" t="s">
        <v>22</v>
      </c>
      <c r="K1180" s="2" t="s">
        <v>738</v>
      </c>
      <c r="L1180" s="2" t="s">
        <v>738</v>
      </c>
      <c r="M1180" s="2" t="s">
        <v>5945</v>
      </c>
      <c r="N1180" s="2" t="s">
        <v>97</v>
      </c>
      <c r="O1180" s="2" t="s">
        <v>13</v>
      </c>
      <c r="P1180" s="2" t="s">
        <v>98</v>
      </c>
      <c r="Q1180" s="2" t="s">
        <v>246</v>
      </c>
      <c r="R1180" s="2">
        <v>5</v>
      </c>
      <c r="S1180" s="2">
        <v>36035.03</v>
      </c>
      <c r="T1180" s="2">
        <v>0</v>
      </c>
      <c r="U1180" s="2">
        <v>180175.15</v>
      </c>
      <c r="V1180" s="2">
        <v>93382.69</v>
      </c>
      <c r="W1180" s="2">
        <v>86792.46</v>
      </c>
      <c r="X1180" s="2">
        <v>48.17</v>
      </c>
      <c r="Y1180" s="2">
        <v>29</v>
      </c>
      <c r="Z1180" s="2" t="s">
        <v>40</v>
      </c>
      <c r="AA1180" s="2" t="s">
        <v>100</v>
      </c>
      <c r="AB1180" s="2" t="s">
        <v>101</v>
      </c>
      <c r="AC1180" s="2">
        <v>1</v>
      </c>
    </row>
    <row r="1181" spans="1:29" x14ac:dyDescent="0.3">
      <c r="A1181" s="3" t="s">
        <v>5946</v>
      </c>
      <c r="B1181" s="3" t="s">
        <v>5947</v>
      </c>
      <c r="C1181" s="3" t="s">
        <v>912</v>
      </c>
      <c r="D1181" s="3" t="s">
        <v>5948</v>
      </c>
      <c r="E1181" s="3" t="s">
        <v>33</v>
      </c>
      <c r="F1181" s="3" t="s">
        <v>2450</v>
      </c>
      <c r="G1181" s="3" t="s">
        <v>2253</v>
      </c>
      <c r="H1181" s="3" t="s">
        <v>1695</v>
      </c>
      <c r="I1181" s="3">
        <v>5</v>
      </c>
      <c r="J1181" s="3" t="s">
        <v>29</v>
      </c>
      <c r="K1181" s="3" t="s">
        <v>160</v>
      </c>
      <c r="L1181" s="3" t="s">
        <v>161</v>
      </c>
      <c r="M1181" s="3" t="s">
        <v>1962</v>
      </c>
      <c r="N1181" s="3" t="s">
        <v>1603</v>
      </c>
      <c r="O1181" s="3" t="s">
        <v>19</v>
      </c>
      <c r="P1181" s="3" t="s">
        <v>365</v>
      </c>
      <c r="Q1181" s="3" t="s">
        <v>608</v>
      </c>
      <c r="R1181" s="3">
        <v>4</v>
      </c>
      <c r="S1181" s="3">
        <v>2957.38</v>
      </c>
      <c r="T1181" s="3">
        <v>25</v>
      </c>
      <c r="U1181" s="3">
        <v>8872.14</v>
      </c>
      <c r="V1181" s="3">
        <v>4148.53</v>
      </c>
      <c r="W1181" s="3">
        <v>4723.6099999999997</v>
      </c>
      <c r="X1181" s="3">
        <v>53.24</v>
      </c>
      <c r="Y1181" s="3">
        <v>99</v>
      </c>
      <c r="Z1181" s="3" t="s">
        <v>43</v>
      </c>
      <c r="AA1181" s="3" t="s">
        <v>100</v>
      </c>
      <c r="AB1181" s="3" t="s">
        <v>101</v>
      </c>
      <c r="AC1181" s="3">
        <v>5</v>
      </c>
    </row>
    <row r="1182" spans="1:29" x14ac:dyDescent="0.3">
      <c r="A1182" s="2" t="s">
        <v>5949</v>
      </c>
      <c r="B1182" s="2" t="s">
        <v>5950</v>
      </c>
      <c r="C1182" s="2" t="s">
        <v>1433</v>
      </c>
      <c r="D1182" s="2" t="s">
        <v>5951</v>
      </c>
      <c r="E1182" s="2" t="s">
        <v>33</v>
      </c>
      <c r="F1182" s="2" t="s">
        <v>4168</v>
      </c>
      <c r="G1182" s="2" t="s">
        <v>4169</v>
      </c>
      <c r="H1182" s="2" t="s">
        <v>4045</v>
      </c>
      <c r="I1182" s="2">
        <v>3</v>
      </c>
      <c r="J1182" s="2" t="s">
        <v>14</v>
      </c>
      <c r="K1182" s="2" t="s">
        <v>215</v>
      </c>
      <c r="L1182" s="2" t="s">
        <v>215</v>
      </c>
      <c r="M1182" s="2" t="s">
        <v>5952</v>
      </c>
      <c r="N1182" s="2" t="s">
        <v>150</v>
      </c>
      <c r="O1182" s="2" t="s">
        <v>28</v>
      </c>
      <c r="P1182" s="2" t="s">
        <v>151</v>
      </c>
      <c r="Q1182" s="2" t="s">
        <v>466</v>
      </c>
      <c r="R1182" s="2">
        <v>1</v>
      </c>
      <c r="S1182" s="2">
        <v>24195.55</v>
      </c>
      <c r="T1182" s="2">
        <v>15</v>
      </c>
      <c r="U1182" s="2">
        <v>20566.22</v>
      </c>
      <c r="V1182" s="2">
        <v>9853.07</v>
      </c>
      <c r="W1182" s="2">
        <v>10713.15</v>
      </c>
      <c r="X1182" s="2">
        <v>52.09</v>
      </c>
      <c r="Y1182" s="2">
        <v>49</v>
      </c>
      <c r="Z1182" s="2" t="s">
        <v>30</v>
      </c>
      <c r="AA1182" s="2" t="s">
        <v>100</v>
      </c>
      <c r="AB1182" s="2" t="s">
        <v>101</v>
      </c>
      <c r="AC1182" s="2">
        <v>3</v>
      </c>
    </row>
    <row r="1183" spans="1:29" x14ac:dyDescent="0.3">
      <c r="A1183" s="3" t="s">
        <v>5953</v>
      </c>
      <c r="B1183" s="3" t="s">
        <v>5954</v>
      </c>
      <c r="C1183" s="3" t="s">
        <v>1159</v>
      </c>
      <c r="D1183" s="3" t="s">
        <v>5955</v>
      </c>
      <c r="E1183" s="3" t="s">
        <v>42</v>
      </c>
      <c r="F1183" s="3" t="s">
        <v>2456</v>
      </c>
      <c r="G1183" s="3" t="s">
        <v>2081</v>
      </c>
      <c r="H1183" s="3" t="s">
        <v>3791</v>
      </c>
      <c r="I1183" s="3">
        <v>6</v>
      </c>
      <c r="J1183" s="3" t="s">
        <v>14</v>
      </c>
      <c r="K1183" s="3" t="s">
        <v>95</v>
      </c>
      <c r="L1183" s="3" t="s">
        <v>95</v>
      </c>
      <c r="M1183" s="3" t="s">
        <v>3858</v>
      </c>
      <c r="N1183" s="3" t="s">
        <v>266</v>
      </c>
      <c r="O1183" s="3" t="s">
        <v>28</v>
      </c>
      <c r="P1183" s="3" t="s">
        <v>151</v>
      </c>
      <c r="Q1183" s="3" t="s">
        <v>114</v>
      </c>
      <c r="R1183" s="3">
        <v>3</v>
      </c>
      <c r="S1183" s="3">
        <v>14470.72</v>
      </c>
      <c r="T1183" s="3">
        <v>15</v>
      </c>
      <c r="U1183" s="3">
        <v>36900.339999999997</v>
      </c>
      <c r="V1183" s="3">
        <v>16776.560000000001</v>
      </c>
      <c r="W1183" s="3">
        <v>20123.78</v>
      </c>
      <c r="X1183" s="3">
        <v>54.54</v>
      </c>
      <c r="Y1183" s="3">
        <v>199</v>
      </c>
      <c r="Z1183" s="3" t="s">
        <v>30</v>
      </c>
      <c r="AA1183" s="3" t="s">
        <v>672</v>
      </c>
      <c r="AB1183" s="3" t="s">
        <v>101</v>
      </c>
      <c r="AC1183" s="3"/>
    </row>
    <row r="1184" spans="1:29" x14ac:dyDescent="0.3">
      <c r="A1184" s="2" t="s">
        <v>5956</v>
      </c>
      <c r="B1184" s="2" t="s">
        <v>5957</v>
      </c>
      <c r="C1184" s="2" t="s">
        <v>358</v>
      </c>
      <c r="D1184" s="2" t="s">
        <v>5958</v>
      </c>
      <c r="E1184" s="2" t="s">
        <v>18</v>
      </c>
      <c r="F1184" s="2" t="s">
        <v>2922</v>
      </c>
      <c r="G1184" s="2" t="s">
        <v>146</v>
      </c>
      <c r="H1184" s="2" t="s">
        <v>3209</v>
      </c>
      <c r="I1184" s="2">
        <v>6</v>
      </c>
      <c r="J1184" s="2" t="s">
        <v>39</v>
      </c>
      <c r="K1184" s="2" t="s">
        <v>225</v>
      </c>
      <c r="L1184" s="2" t="s">
        <v>225</v>
      </c>
      <c r="M1184" s="2" t="s">
        <v>5959</v>
      </c>
      <c r="N1184" s="2" t="s">
        <v>256</v>
      </c>
      <c r="O1184" s="2" t="s">
        <v>27</v>
      </c>
      <c r="P1184" s="2" t="s">
        <v>257</v>
      </c>
      <c r="Q1184" s="2" t="s">
        <v>246</v>
      </c>
      <c r="R1184" s="2">
        <v>2</v>
      </c>
      <c r="S1184" s="2">
        <v>39804.660000000003</v>
      </c>
      <c r="T1184" s="2">
        <v>20</v>
      </c>
      <c r="U1184" s="2">
        <v>63687.46</v>
      </c>
      <c r="V1184" s="2">
        <v>39774.19</v>
      </c>
      <c r="W1184" s="2">
        <v>23913.27</v>
      </c>
      <c r="X1184" s="2">
        <v>37.549999999999997</v>
      </c>
      <c r="Y1184" s="2">
        <v>0</v>
      </c>
      <c r="Z1184" s="2" t="s">
        <v>47</v>
      </c>
      <c r="AA1184" s="2" t="s">
        <v>100</v>
      </c>
      <c r="AB1184" s="2" t="s">
        <v>101</v>
      </c>
      <c r="AC1184" s="2">
        <v>1</v>
      </c>
    </row>
    <row r="1185" spans="1:29" x14ac:dyDescent="0.3">
      <c r="A1185" s="3" t="s">
        <v>5960</v>
      </c>
      <c r="B1185" s="3" t="s">
        <v>5961</v>
      </c>
      <c r="C1185" s="3" t="s">
        <v>2124</v>
      </c>
      <c r="D1185" s="3" t="s">
        <v>5962</v>
      </c>
      <c r="E1185" s="3" t="s">
        <v>26</v>
      </c>
      <c r="F1185" s="3" t="s">
        <v>294</v>
      </c>
      <c r="G1185" s="3" t="s">
        <v>2836</v>
      </c>
      <c r="H1185" s="3" t="s">
        <v>5153</v>
      </c>
      <c r="I1185" s="3">
        <v>8</v>
      </c>
      <c r="J1185" s="3" t="s">
        <v>14</v>
      </c>
      <c r="K1185" s="3" t="s">
        <v>712</v>
      </c>
      <c r="L1185" s="3" t="s">
        <v>712</v>
      </c>
      <c r="M1185" s="3" t="s">
        <v>2445</v>
      </c>
      <c r="N1185" s="3" t="s">
        <v>227</v>
      </c>
      <c r="O1185" s="3" t="s">
        <v>13</v>
      </c>
      <c r="P1185" s="3" t="s">
        <v>228</v>
      </c>
      <c r="Q1185" s="3" t="s">
        <v>287</v>
      </c>
      <c r="R1185" s="3">
        <v>1</v>
      </c>
      <c r="S1185" s="3">
        <v>28353.11</v>
      </c>
      <c r="T1185" s="3">
        <v>25</v>
      </c>
      <c r="U1185" s="3">
        <v>21264.83</v>
      </c>
      <c r="V1185" s="3">
        <v>11995.97</v>
      </c>
      <c r="W1185" s="3">
        <v>9268.86</v>
      </c>
      <c r="X1185" s="3">
        <v>43.59</v>
      </c>
      <c r="Y1185" s="3">
        <v>49</v>
      </c>
      <c r="Z1185" s="3" t="s">
        <v>48</v>
      </c>
      <c r="AA1185" s="3" t="s">
        <v>100</v>
      </c>
      <c r="AB1185" s="3" t="s">
        <v>101</v>
      </c>
      <c r="AC1185" s="3">
        <v>1</v>
      </c>
    </row>
    <row r="1186" spans="1:29" x14ac:dyDescent="0.3">
      <c r="A1186" s="2" t="s">
        <v>5963</v>
      </c>
      <c r="B1186" s="2" t="s">
        <v>5964</v>
      </c>
      <c r="C1186" s="2" t="s">
        <v>1159</v>
      </c>
      <c r="D1186" s="2" t="s">
        <v>5965</v>
      </c>
      <c r="E1186" s="2" t="s">
        <v>33</v>
      </c>
      <c r="F1186" s="2" t="s">
        <v>670</v>
      </c>
      <c r="G1186" s="2" t="s">
        <v>2449</v>
      </c>
      <c r="H1186" s="2" t="s">
        <v>2364</v>
      </c>
      <c r="I1186" s="2">
        <v>7</v>
      </c>
      <c r="J1186" s="2" t="s">
        <v>39</v>
      </c>
      <c r="K1186" s="2" t="s">
        <v>324</v>
      </c>
      <c r="L1186" s="2" t="s">
        <v>325</v>
      </c>
      <c r="M1186" s="2" t="s">
        <v>5966</v>
      </c>
      <c r="N1186" s="2" t="s">
        <v>837</v>
      </c>
      <c r="O1186" s="2" t="s">
        <v>27</v>
      </c>
      <c r="P1186" s="2" t="s">
        <v>257</v>
      </c>
      <c r="Q1186" s="2" t="s">
        <v>114</v>
      </c>
      <c r="R1186" s="2">
        <v>4</v>
      </c>
      <c r="S1186" s="2">
        <v>34789.75</v>
      </c>
      <c r="T1186" s="2">
        <v>0</v>
      </c>
      <c r="U1186" s="2">
        <v>139159</v>
      </c>
      <c r="V1186" s="2">
        <v>80050.759999999995</v>
      </c>
      <c r="W1186" s="2">
        <v>59108.24</v>
      </c>
      <c r="X1186" s="2">
        <v>42.48</v>
      </c>
      <c r="Y1186" s="2">
        <v>149</v>
      </c>
      <c r="Z1186" s="2" t="s">
        <v>15</v>
      </c>
      <c r="AA1186" s="2" t="s">
        <v>100</v>
      </c>
      <c r="AB1186" s="2" t="s">
        <v>101</v>
      </c>
      <c r="AC1186" s="2">
        <v>5</v>
      </c>
    </row>
    <row r="1187" spans="1:29" x14ac:dyDescent="0.3">
      <c r="A1187" s="3" t="s">
        <v>5967</v>
      </c>
      <c r="B1187" s="3" t="s">
        <v>5968</v>
      </c>
      <c r="C1187" s="3" t="s">
        <v>4964</v>
      </c>
      <c r="D1187" s="3" t="s">
        <v>5969</v>
      </c>
      <c r="E1187" s="3" t="s">
        <v>33</v>
      </c>
      <c r="F1187" s="3" t="s">
        <v>293</v>
      </c>
      <c r="G1187" s="3" t="s">
        <v>5970</v>
      </c>
      <c r="H1187" s="3" t="s">
        <v>1632</v>
      </c>
      <c r="I1187" s="3">
        <v>5</v>
      </c>
      <c r="J1187" s="3" t="s">
        <v>14</v>
      </c>
      <c r="K1187" s="3" t="s">
        <v>95</v>
      </c>
      <c r="L1187" s="3" t="s">
        <v>95</v>
      </c>
      <c r="M1187" s="3" t="s">
        <v>1655</v>
      </c>
      <c r="N1187" s="3" t="s">
        <v>533</v>
      </c>
      <c r="O1187" s="3" t="s">
        <v>19</v>
      </c>
      <c r="P1187" s="3" t="s">
        <v>297</v>
      </c>
      <c r="Q1187" s="3" t="s">
        <v>218</v>
      </c>
      <c r="R1187" s="3">
        <v>1</v>
      </c>
      <c r="S1187" s="3">
        <v>2346.9499999999998</v>
      </c>
      <c r="T1187" s="3">
        <v>25</v>
      </c>
      <c r="U1187" s="3">
        <v>1760.21</v>
      </c>
      <c r="V1187" s="3">
        <v>1213.1500000000001</v>
      </c>
      <c r="W1187" s="3">
        <v>547.05999999999995</v>
      </c>
      <c r="X1187" s="3">
        <v>31.08</v>
      </c>
      <c r="Y1187" s="3">
        <v>149</v>
      </c>
      <c r="Z1187" s="3" t="s">
        <v>48</v>
      </c>
      <c r="AA1187" s="3" t="s">
        <v>100</v>
      </c>
      <c r="AB1187" s="3" t="s">
        <v>101</v>
      </c>
      <c r="AC1187" s="3"/>
    </row>
    <row r="1188" spans="1:29" x14ac:dyDescent="0.3">
      <c r="A1188" s="2" t="s">
        <v>5971</v>
      </c>
      <c r="B1188" s="2" t="s">
        <v>5972</v>
      </c>
      <c r="C1188" s="2" t="s">
        <v>725</v>
      </c>
      <c r="D1188" s="2" t="s">
        <v>5973</v>
      </c>
      <c r="E1188" s="2" t="s">
        <v>26</v>
      </c>
      <c r="F1188" s="2" t="s">
        <v>872</v>
      </c>
      <c r="G1188" s="2" t="s">
        <v>873</v>
      </c>
      <c r="H1188" s="2" t="s">
        <v>1841</v>
      </c>
      <c r="I1188" s="2">
        <v>6</v>
      </c>
      <c r="J1188" s="2" t="s">
        <v>22</v>
      </c>
      <c r="K1188" s="2" t="s">
        <v>283</v>
      </c>
      <c r="L1188" s="2" t="s">
        <v>748</v>
      </c>
      <c r="M1188" s="2" t="s">
        <v>3129</v>
      </c>
      <c r="N1188" s="2" t="s">
        <v>852</v>
      </c>
      <c r="O1188" s="2" t="s">
        <v>27</v>
      </c>
      <c r="P1188" s="2" t="s">
        <v>175</v>
      </c>
      <c r="Q1188" s="2" t="s">
        <v>509</v>
      </c>
      <c r="R1188" s="2">
        <v>4</v>
      </c>
      <c r="S1188" s="2">
        <v>8277.15</v>
      </c>
      <c r="T1188" s="2">
        <v>5</v>
      </c>
      <c r="U1188" s="2">
        <v>31453.17</v>
      </c>
      <c r="V1188" s="2">
        <v>19997.189999999999</v>
      </c>
      <c r="W1188" s="2">
        <v>11455.98</v>
      </c>
      <c r="X1188" s="2">
        <v>36.42</v>
      </c>
      <c r="Y1188" s="2">
        <v>0</v>
      </c>
      <c r="Z1188" s="2" t="s">
        <v>48</v>
      </c>
      <c r="AA1188" s="2" t="s">
        <v>100</v>
      </c>
      <c r="AB1188" s="2" t="s">
        <v>101</v>
      </c>
      <c r="AC1188" s="2"/>
    </row>
    <row r="1189" spans="1:29" x14ac:dyDescent="0.3">
      <c r="A1189" s="3" t="s">
        <v>5974</v>
      </c>
      <c r="B1189" s="3" t="s">
        <v>5975</v>
      </c>
      <c r="C1189" s="3" t="s">
        <v>155</v>
      </c>
      <c r="D1189" s="3" t="s">
        <v>5976</v>
      </c>
      <c r="E1189" s="3" t="s">
        <v>18</v>
      </c>
      <c r="F1189" s="3" t="s">
        <v>5977</v>
      </c>
      <c r="G1189" s="3" t="s">
        <v>5668</v>
      </c>
      <c r="H1189" s="3" t="s">
        <v>5669</v>
      </c>
      <c r="I1189" s="3">
        <v>3</v>
      </c>
      <c r="J1189" s="3" t="s">
        <v>14</v>
      </c>
      <c r="K1189" s="3" t="s">
        <v>171</v>
      </c>
      <c r="L1189" s="3" t="s">
        <v>407</v>
      </c>
      <c r="M1189" s="3" t="s">
        <v>5978</v>
      </c>
      <c r="N1189" s="3" t="s">
        <v>740</v>
      </c>
      <c r="O1189" s="3" t="s">
        <v>21</v>
      </c>
      <c r="P1189" s="3" t="s">
        <v>126</v>
      </c>
      <c r="Q1189" s="3" t="s">
        <v>207</v>
      </c>
      <c r="R1189" s="3">
        <v>2</v>
      </c>
      <c r="S1189" s="3">
        <v>37017.089999999997</v>
      </c>
      <c r="T1189" s="3">
        <v>20</v>
      </c>
      <c r="U1189" s="3">
        <v>59227.34</v>
      </c>
      <c r="V1189" s="3">
        <v>37967.629999999997</v>
      </c>
      <c r="W1189" s="3">
        <v>21259.71</v>
      </c>
      <c r="X1189" s="3">
        <v>35.9</v>
      </c>
      <c r="Y1189" s="3">
        <v>99</v>
      </c>
      <c r="Z1189" s="3" t="s">
        <v>40</v>
      </c>
      <c r="AA1189" s="3" t="s">
        <v>100</v>
      </c>
      <c r="AB1189" s="3" t="s">
        <v>101</v>
      </c>
      <c r="AC1189" s="3">
        <v>1</v>
      </c>
    </row>
    <row r="1190" spans="1:29" x14ac:dyDescent="0.3">
      <c r="A1190" s="2" t="s">
        <v>5979</v>
      </c>
      <c r="B1190" s="2" t="s">
        <v>5980</v>
      </c>
      <c r="C1190" s="2" t="s">
        <v>1451</v>
      </c>
      <c r="D1190" s="2" t="s">
        <v>5981</v>
      </c>
      <c r="E1190" s="2" t="s">
        <v>18</v>
      </c>
      <c r="F1190" s="2" t="s">
        <v>3670</v>
      </c>
      <c r="G1190" s="2" t="s">
        <v>1442</v>
      </c>
      <c r="H1190" s="2" t="s">
        <v>2552</v>
      </c>
      <c r="I1190" s="2">
        <v>5</v>
      </c>
      <c r="J1190" s="2" t="s">
        <v>39</v>
      </c>
      <c r="K1190" s="2" t="s">
        <v>193</v>
      </c>
      <c r="L1190" s="2" t="s">
        <v>193</v>
      </c>
      <c r="M1190" s="2" t="s">
        <v>5982</v>
      </c>
      <c r="N1190" s="2" t="s">
        <v>3017</v>
      </c>
      <c r="O1190" s="2" t="s">
        <v>13</v>
      </c>
      <c r="P1190" s="2" t="s">
        <v>419</v>
      </c>
      <c r="Q1190" s="2" t="s">
        <v>138</v>
      </c>
      <c r="R1190" s="2">
        <v>4</v>
      </c>
      <c r="S1190" s="2">
        <v>14313.52</v>
      </c>
      <c r="T1190" s="2">
        <v>15</v>
      </c>
      <c r="U1190" s="2">
        <v>48665.97</v>
      </c>
      <c r="V1190" s="2">
        <v>23250.7</v>
      </c>
      <c r="W1190" s="2">
        <v>25415.27</v>
      </c>
      <c r="X1190" s="2">
        <v>52.22</v>
      </c>
      <c r="Y1190" s="2">
        <v>199</v>
      </c>
      <c r="Z1190" s="2" t="s">
        <v>48</v>
      </c>
      <c r="AA1190" s="2" t="s">
        <v>100</v>
      </c>
      <c r="AB1190" s="2" t="s">
        <v>101</v>
      </c>
      <c r="AC1190" s="2">
        <v>1</v>
      </c>
    </row>
    <row r="1191" spans="1:29" x14ac:dyDescent="0.3">
      <c r="A1191" s="3" t="s">
        <v>5983</v>
      </c>
      <c r="B1191" s="3" t="s">
        <v>5984</v>
      </c>
      <c r="C1191" s="3" t="s">
        <v>952</v>
      </c>
      <c r="D1191" s="3" t="s">
        <v>5985</v>
      </c>
      <c r="E1191" s="3" t="s">
        <v>33</v>
      </c>
      <c r="F1191" s="3" t="s">
        <v>1513</v>
      </c>
      <c r="G1191" s="3" t="s">
        <v>1585</v>
      </c>
      <c r="H1191" s="3" t="s">
        <v>1056</v>
      </c>
      <c r="I1191" s="3">
        <v>3</v>
      </c>
      <c r="J1191" s="3" t="s">
        <v>29</v>
      </c>
      <c r="K1191" s="3" t="s">
        <v>427</v>
      </c>
      <c r="L1191" s="3" t="s">
        <v>1871</v>
      </c>
      <c r="M1191" s="3" t="s">
        <v>5986</v>
      </c>
      <c r="N1191" s="3" t="s">
        <v>852</v>
      </c>
      <c r="O1191" s="3" t="s">
        <v>27</v>
      </c>
      <c r="P1191" s="3" t="s">
        <v>175</v>
      </c>
      <c r="Q1191" s="3" t="s">
        <v>466</v>
      </c>
      <c r="R1191" s="3">
        <v>2</v>
      </c>
      <c r="S1191" s="3">
        <v>36214.959999999999</v>
      </c>
      <c r="T1191" s="3">
        <v>10</v>
      </c>
      <c r="U1191" s="3">
        <v>65186.93</v>
      </c>
      <c r="V1191" s="3">
        <v>35112.78</v>
      </c>
      <c r="W1191" s="3">
        <v>30074.15</v>
      </c>
      <c r="X1191" s="3">
        <v>46.14</v>
      </c>
      <c r="Y1191" s="3">
        <v>29</v>
      </c>
      <c r="Z1191" s="3" t="s">
        <v>15</v>
      </c>
      <c r="AA1191" s="3" t="s">
        <v>100</v>
      </c>
      <c r="AB1191" s="3" t="s">
        <v>101</v>
      </c>
      <c r="AC1191" s="3">
        <v>2</v>
      </c>
    </row>
    <row r="1192" spans="1:29" x14ac:dyDescent="0.3">
      <c r="A1192" s="2" t="s">
        <v>5987</v>
      </c>
      <c r="B1192" s="2" t="s">
        <v>5988</v>
      </c>
      <c r="C1192" s="2" t="s">
        <v>2622</v>
      </c>
      <c r="D1192" s="2" t="s">
        <v>5989</v>
      </c>
      <c r="E1192" s="2" t="s">
        <v>33</v>
      </c>
      <c r="F1192" s="2" t="s">
        <v>3316</v>
      </c>
      <c r="G1192" s="2" t="s">
        <v>2385</v>
      </c>
      <c r="H1192" s="2" t="s">
        <v>4578</v>
      </c>
      <c r="I1192" s="2">
        <v>3</v>
      </c>
      <c r="J1192" s="2" t="s">
        <v>39</v>
      </c>
      <c r="K1192" s="2" t="s">
        <v>109</v>
      </c>
      <c r="L1192" s="2" t="s">
        <v>110</v>
      </c>
      <c r="M1192" s="2" t="s">
        <v>5990</v>
      </c>
      <c r="N1192" s="2" t="s">
        <v>639</v>
      </c>
      <c r="O1192" s="2" t="s">
        <v>27</v>
      </c>
      <c r="P1192" s="2" t="s">
        <v>175</v>
      </c>
      <c r="Q1192" s="2" t="s">
        <v>509</v>
      </c>
      <c r="R1192" s="2">
        <v>2</v>
      </c>
      <c r="S1192" s="2">
        <v>18425.599999999999</v>
      </c>
      <c r="T1192" s="2">
        <v>30</v>
      </c>
      <c r="U1192" s="2">
        <v>25795.84</v>
      </c>
      <c r="V1192" s="2">
        <v>17295.849999999999</v>
      </c>
      <c r="W1192" s="2">
        <v>8499.99</v>
      </c>
      <c r="X1192" s="2">
        <v>32.950000000000003</v>
      </c>
      <c r="Y1192" s="2">
        <v>0</v>
      </c>
      <c r="Z1192" s="2" t="s">
        <v>40</v>
      </c>
      <c r="AA1192" s="2" t="s">
        <v>275</v>
      </c>
      <c r="AB1192" s="2" t="s">
        <v>101</v>
      </c>
      <c r="AC1192" s="2"/>
    </row>
    <row r="1193" spans="1:29" x14ac:dyDescent="0.3">
      <c r="A1193" s="3" t="s">
        <v>5991</v>
      </c>
      <c r="B1193" s="3" t="s">
        <v>5992</v>
      </c>
      <c r="C1193" s="3" t="s">
        <v>240</v>
      </c>
      <c r="D1193" s="3" t="s">
        <v>5993</v>
      </c>
      <c r="E1193" s="3" t="s">
        <v>26</v>
      </c>
      <c r="F1193" s="3" t="s">
        <v>1307</v>
      </c>
      <c r="G1193" s="3" t="s">
        <v>224</v>
      </c>
      <c r="H1193" s="3" t="s">
        <v>1766</v>
      </c>
      <c r="I1193" s="3">
        <v>2</v>
      </c>
      <c r="J1193" s="3" t="s">
        <v>22</v>
      </c>
      <c r="K1193" s="3" t="s">
        <v>738</v>
      </c>
      <c r="L1193" s="3" t="s">
        <v>738</v>
      </c>
      <c r="M1193" s="3" t="s">
        <v>2070</v>
      </c>
      <c r="N1193" s="3" t="s">
        <v>217</v>
      </c>
      <c r="O1193" s="3" t="s">
        <v>21</v>
      </c>
      <c r="P1193" s="3" t="s">
        <v>206</v>
      </c>
      <c r="Q1193" s="3" t="s">
        <v>114</v>
      </c>
      <c r="R1193" s="3">
        <v>4</v>
      </c>
      <c r="S1193" s="3">
        <v>29552.639999999999</v>
      </c>
      <c r="T1193" s="3">
        <v>20</v>
      </c>
      <c r="U1193" s="3">
        <v>94568.45</v>
      </c>
      <c r="V1193" s="3">
        <v>54803.88</v>
      </c>
      <c r="W1193" s="3">
        <v>39764.57</v>
      </c>
      <c r="X1193" s="3">
        <v>42.05</v>
      </c>
      <c r="Y1193" s="3">
        <v>99</v>
      </c>
      <c r="Z1193" s="3" t="s">
        <v>15</v>
      </c>
      <c r="AA1193" s="3" t="s">
        <v>100</v>
      </c>
      <c r="AB1193" s="3" t="s">
        <v>101</v>
      </c>
      <c r="AC1193" s="3">
        <v>5</v>
      </c>
    </row>
    <row r="1194" spans="1:29" x14ac:dyDescent="0.3">
      <c r="A1194" s="2" t="s">
        <v>5994</v>
      </c>
      <c r="B1194" s="2" t="s">
        <v>5995</v>
      </c>
      <c r="C1194" s="2" t="s">
        <v>2877</v>
      </c>
      <c r="D1194" s="2" t="s">
        <v>5996</v>
      </c>
      <c r="E1194" s="2" t="s">
        <v>26</v>
      </c>
      <c r="F1194" s="2" t="s">
        <v>2022</v>
      </c>
      <c r="G1194" s="2" t="s">
        <v>1040</v>
      </c>
      <c r="H1194" s="2" t="s">
        <v>212</v>
      </c>
      <c r="I1194" s="2">
        <v>7</v>
      </c>
      <c r="J1194" s="2" t="s">
        <v>29</v>
      </c>
      <c r="K1194" s="2" t="s">
        <v>160</v>
      </c>
      <c r="L1194" s="2" t="s">
        <v>976</v>
      </c>
      <c r="M1194" s="2" t="s">
        <v>5997</v>
      </c>
      <c r="N1194" s="2" t="s">
        <v>508</v>
      </c>
      <c r="O1194" s="2" t="s">
        <v>19</v>
      </c>
      <c r="P1194" s="2" t="s">
        <v>365</v>
      </c>
      <c r="Q1194" s="2" t="s">
        <v>127</v>
      </c>
      <c r="R1194" s="2">
        <v>4</v>
      </c>
      <c r="S1194" s="2">
        <v>29099.55</v>
      </c>
      <c r="T1194" s="2">
        <v>20</v>
      </c>
      <c r="U1194" s="2">
        <v>93118.56</v>
      </c>
      <c r="V1194" s="2">
        <v>42870.32</v>
      </c>
      <c r="W1194" s="2">
        <v>50248.24</v>
      </c>
      <c r="X1194" s="2">
        <v>53.96</v>
      </c>
      <c r="Y1194" s="2">
        <v>149</v>
      </c>
      <c r="Z1194" s="2" t="s">
        <v>43</v>
      </c>
      <c r="AA1194" s="2" t="s">
        <v>275</v>
      </c>
      <c r="AB1194" s="2" t="s">
        <v>101</v>
      </c>
      <c r="AC1194" s="2"/>
    </row>
    <row r="1195" spans="1:29" x14ac:dyDescent="0.3">
      <c r="A1195" s="3" t="s">
        <v>5998</v>
      </c>
      <c r="B1195" s="3" t="s">
        <v>5999</v>
      </c>
      <c r="C1195" s="3" t="s">
        <v>155</v>
      </c>
      <c r="D1195" s="3" t="s">
        <v>6000</v>
      </c>
      <c r="E1195" s="3" t="s">
        <v>33</v>
      </c>
      <c r="F1195" s="3" t="s">
        <v>1494</v>
      </c>
      <c r="G1195" s="3" t="s">
        <v>2950</v>
      </c>
      <c r="H1195" s="3" t="s">
        <v>2312</v>
      </c>
      <c r="I1195" s="3">
        <v>3</v>
      </c>
      <c r="J1195" s="3" t="s">
        <v>29</v>
      </c>
      <c r="K1195" s="3" t="s">
        <v>148</v>
      </c>
      <c r="L1195" s="3" t="s">
        <v>148</v>
      </c>
      <c r="M1195" s="3" t="s">
        <v>6001</v>
      </c>
      <c r="N1195" s="3" t="s">
        <v>592</v>
      </c>
      <c r="O1195" s="3" t="s">
        <v>21</v>
      </c>
      <c r="P1195" s="3" t="s">
        <v>206</v>
      </c>
      <c r="Q1195" s="3" t="s">
        <v>246</v>
      </c>
      <c r="R1195" s="3">
        <v>2</v>
      </c>
      <c r="S1195" s="3">
        <v>14059.74</v>
      </c>
      <c r="T1195" s="3">
        <v>20</v>
      </c>
      <c r="U1195" s="3">
        <v>22495.58</v>
      </c>
      <c r="V1195" s="3">
        <v>14302.94</v>
      </c>
      <c r="W1195" s="3">
        <v>8192.64</v>
      </c>
      <c r="X1195" s="3">
        <v>36.42</v>
      </c>
      <c r="Y1195" s="3">
        <v>0</v>
      </c>
      <c r="Z1195" s="3" t="s">
        <v>30</v>
      </c>
      <c r="AA1195" s="3" t="s">
        <v>186</v>
      </c>
      <c r="AB1195" s="3" t="s">
        <v>101</v>
      </c>
      <c r="AC1195" s="3"/>
    </row>
    <row r="1196" spans="1:29" x14ac:dyDescent="0.3">
      <c r="A1196" s="2" t="s">
        <v>6002</v>
      </c>
      <c r="B1196" s="2" t="s">
        <v>6003</v>
      </c>
      <c r="C1196" s="2" t="s">
        <v>1492</v>
      </c>
      <c r="D1196" s="2" t="s">
        <v>5916</v>
      </c>
      <c r="E1196" s="2" t="s">
        <v>42</v>
      </c>
      <c r="F1196" s="2" t="s">
        <v>1487</v>
      </c>
      <c r="G1196" s="2" t="s">
        <v>1750</v>
      </c>
      <c r="H1196" s="2" t="s">
        <v>1751</v>
      </c>
      <c r="I1196" s="2">
        <v>4</v>
      </c>
      <c r="J1196" s="2" t="s">
        <v>39</v>
      </c>
      <c r="K1196" s="2" t="s">
        <v>324</v>
      </c>
      <c r="L1196" s="2" t="s">
        <v>325</v>
      </c>
      <c r="M1196" s="2" t="s">
        <v>6004</v>
      </c>
      <c r="N1196" s="2" t="s">
        <v>390</v>
      </c>
      <c r="O1196" s="2" t="s">
        <v>19</v>
      </c>
      <c r="P1196" s="2" t="s">
        <v>297</v>
      </c>
      <c r="Q1196" s="2" t="s">
        <v>400</v>
      </c>
      <c r="R1196" s="2">
        <v>3</v>
      </c>
      <c r="S1196" s="2">
        <v>15291.31</v>
      </c>
      <c r="T1196" s="2">
        <v>15</v>
      </c>
      <c r="U1196" s="2">
        <v>38992.839999999997</v>
      </c>
      <c r="V1196" s="2">
        <v>22090.05</v>
      </c>
      <c r="W1196" s="2">
        <v>16902.79</v>
      </c>
      <c r="X1196" s="2">
        <v>43.35</v>
      </c>
      <c r="Y1196" s="2">
        <v>149</v>
      </c>
      <c r="Z1196" s="2" t="s">
        <v>23</v>
      </c>
      <c r="AA1196" s="2" t="s">
        <v>100</v>
      </c>
      <c r="AB1196" s="2" t="s">
        <v>101</v>
      </c>
      <c r="AC1196" s="2">
        <v>4</v>
      </c>
    </row>
    <row r="1197" spans="1:29" x14ac:dyDescent="0.3">
      <c r="A1197" s="3" t="s">
        <v>6005</v>
      </c>
      <c r="B1197" s="3" t="s">
        <v>6006</v>
      </c>
      <c r="C1197" s="3" t="s">
        <v>2325</v>
      </c>
      <c r="D1197" s="3" t="s">
        <v>6007</v>
      </c>
      <c r="E1197" s="3" t="s">
        <v>42</v>
      </c>
      <c r="F1197" s="3" t="s">
        <v>762</v>
      </c>
      <c r="G1197" s="3" t="s">
        <v>3566</v>
      </c>
      <c r="H1197" s="3" t="s">
        <v>763</v>
      </c>
      <c r="I1197" s="3">
        <v>4</v>
      </c>
      <c r="J1197" s="3" t="s">
        <v>22</v>
      </c>
      <c r="K1197" s="3" t="s">
        <v>283</v>
      </c>
      <c r="L1197" s="3" t="s">
        <v>1346</v>
      </c>
      <c r="M1197" s="3" t="s">
        <v>6008</v>
      </c>
      <c r="N1197" s="3" t="s">
        <v>1380</v>
      </c>
      <c r="O1197" s="3" t="s">
        <v>28</v>
      </c>
      <c r="P1197" s="3" t="s">
        <v>137</v>
      </c>
      <c r="Q1197" s="3" t="s">
        <v>287</v>
      </c>
      <c r="R1197" s="3">
        <v>2</v>
      </c>
      <c r="S1197" s="3">
        <v>33108.17</v>
      </c>
      <c r="T1197" s="3">
        <v>30</v>
      </c>
      <c r="U1197" s="3">
        <v>46351.44</v>
      </c>
      <c r="V1197" s="3">
        <v>32159</v>
      </c>
      <c r="W1197" s="3">
        <v>14192.44</v>
      </c>
      <c r="X1197" s="3">
        <v>30.62</v>
      </c>
      <c r="Y1197" s="3">
        <v>49</v>
      </c>
      <c r="Z1197" s="3" t="s">
        <v>23</v>
      </c>
      <c r="AA1197" s="3" t="s">
        <v>100</v>
      </c>
      <c r="AB1197" s="3" t="s">
        <v>101</v>
      </c>
      <c r="AC1197" s="3"/>
    </row>
    <row r="1198" spans="1:29" x14ac:dyDescent="0.3">
      <c r="A1198" s="2" t="s">
        <v>6009</v>
      </c>
      <c r="B1198" s="2" t="s">
        <v>6010</v>
      </c>
      <c r="C1198" s="2" t="s">
        <v>104</v>
      </c>
      <c r="D1198" s="2" t="s">
        <v>3078</v>
      </c>
      <c r="E1198" s="2" t="s">
        <v>26</v>
      </c>
      <c r="F1198" s="2" t="s">
        <v>1057</v>
      </c>
      <c r="G1198" s="2" t="s">
        <v>3825</v>
      </c>
      <c r="H1198" s="2" t="s">
        <v>2371</v>
      </c>
      <c r="I1198" s="2">
        <v>7</v>
      </c>
      <c r="J1198" s="2" t="s">
        <v>14</v>
      </c>
      <c r="K1198" s="2" t="s">
        <v>215</v>
      </c>
      <c r="L1198" s="2" t="s">
        <v>215</v>
      </c>
      <c r="M1198" s="2" t="s">
        <v>6011</v>
      </c>
      <c r="N1198" s="2" t="s">
        <v>266</v>
      </c>
      <c r="O1198" s="2" t="s">
        <v>28</v>
      </c>
      <c r="P1198" s="2" t="s">
        <v>151</v>
      </c>
      <c r="Q1198" s="2" t="s">
        <v>355</v>
      </c>
      <c r="R1198" s="2">
        <v>5</v>
      </c>
      <c r="S1198" s="2">
        <v>20181.740000000002</v>
      </c>
      <c r="T1198" s="2">
        <v>30</v>
      </c>
      <c r="U1198" s="2">
        <v>70636.09</v>
      </c>
      <c r="V1198" s="2">
        <v>39190.17</v>
      </c>
      <c r="W1198" s="2">
        <v>31445.919999999998</v>
      </c>
      <c r="X1198" s="2">
        <v>44.52</v>
      </c>
      <c r="Y1198" s="2">
        <v>99</v>
      </c>
      <c r="Z1198" s="2" t="s">
        <v>47</v>
      </c>
      <c r="AA1198" s="2" t="s">
        <v>275</v>
      </c>
      <c r="AB1198" s="2" t="s">
        <v>101</v>
      </c>
      <c r="AC1198" s="2"/>
    </row>
    <row r="1199" spans="1:29" x14ac:dyDescent="0.3">
      <c r="A1199" s="3" t="s">
        <v>6012</v>
      </c>
      <c r="B1199" s="3" t="s">
        <v>6013</v>
      </c>
      <c r="C1199" s="3" t="s">
        <v>5584</v>
      </c>
      <c r="D1199" s="3" t="s">
        <v>6014</v>
      </c>
      <c r="E1199" s="3" t="s">
        <v>18</v>
      </c>
      <c r="F1199" s="3" t="s">
        <v>4533</v>
      </c>
      <c r="G1199" s="3" t="s">
        <v>4490</v>
      </c>
      <c r="H1199" s="3" t="s">
        <v>4534</v>
      </c>
      <c r="I1199" s="3">
        <v>3</v>
      </c>
      <c r="J1199" s="3" t="s">
        <v>29</v>
      </c>
      <c r="K1199" s="3" t="s">
        <v>334</v>
      </c>
      <c r="L1199" s="3" t="s">
        <v>335</v>
      </c>
      <c r="M1199" s="3" t="s">
        <v>6015</v>
      </c>
      <c r="N1199" s="3" t="s">
        <v>286</v>
      </c>
      <c r="O1199" s="3" t="s">
        <v>28</v>
      </c>
      <c r="P1199" s="3" t="s">
        <v>137</v>
      </c>
      <c r="Q1199" s="3" t="s">
        <v>246</v>
      </c>
      <c r="R1199" s="3">
        <v>1</v>
      </c>
      <c r="S1199" s="3">
        <v>8906.98</v>
      </c>
      <c r="T1199" s="3">
        <v>5</v>
      </c>
      <c r="U1199" s="3">
        <v>8461.6299999999992</v>
      </c>
      <c r="V1199" s="3">
        <v>4125.33</v>
      </c>
      <c r="W1199" s="3">
        <v>4336.3</v>
      </c>
      <c r="X1199" s="3">
        <v>51.25</v>
      </c>
      <c r="Y1199" s="3">
        <v>99</v>
      </c>
      <c r="Z1199" s="3" t="s">
        <v>47</v>
      </c>
      <c r="AA1199" s="3" t="s">
        <v>100</v>
      </c>
      <c r="AB1199" s="3" t="s">
        <v>101</v>
      </c>
      <c r="AC1199" s="3">
        <v>5</v>
      </c>
    </row>
    <row r="1200" spans="1:29" x14ac:dyDescent="0.3">
      <c r="A1200" s="2" t="s">
        <v>6016</v>
      </c>
      <c r="B1200" s="2" t="s">
        <v>6017</v>
      </c>
      <c r="C1200" s="2" t="s">
        <v>309</v>
      </c>
      <c r="D1200" s="2" t="s">
        <v>6018</v>
      </c>
      <c r="E1200" s="2" t="s">
        <v>26</v>
      </c>
      <c r="F1200" s="2" t="s">
        <v>3839</v>
      </c>
      <c r="G1200" s="2" t="s">
        <v>4181</v>
      </c>
      <c r="H1200" s="2" t="s">
        <v>3256</v>
      </c>
      <c r="I1200" s="2">
        <v>7</v>
      </c>
      <c r="J1200" s="2" t="s">
        <v>14</v>
      </c>
      <c r="K1200" s="2" t="s">
        <v>171</v>
      </c>
      <c r="L1200" s="2" t="s">
        <v>541</v>
      </c>
      <c r="M1200" s="2" t="s">
        <v>6019</v>
      </c>
      <c r="N1200" s="2" t="s">
        <v>639</v>
      </c>
      <c r="O1200" s="2" t="s">
        <v>27</v>
      </c>
      <c r="P1200" s="2" t="s">
        <v>175</v>
      </c>
      <c r="Q1200" s="2" t="s">
        <v>114</v>
      </c>
      <c r="R1200" s="2">
        <v>2</v>
      </c>
      <c r="S1200" s="2">
        <v>28040.25</v>
      </c>
      <c r="T1200" s="2">
        <v>30</v>
      </c>
      <c r="U1200" s="2">
        <v>39256.35</v>
      </c>
      <c r="V1200" s="2">
        <v>21218.73</v>
      </c>
      <c r="W1200" s="2">
        <v>18037.62</v>
      </c>
      <c r="X1200" s="2">
        <v>45.95</v>
      </c>
      <c r="Y1200" s="2">
        <v>49</v>
      </c>
      <c r="Z1200" s="2" t="s">
        <v>30</v>
      </c>
      <c r="AA1200" s="2" t="s">
        <v>100</v>
      </c>
      <c r="AB1200" s="2" t="s">
        <v>101</v>
      </c>
      <c r="AC1200" s="2">
        <v>5</v>
      </c>
    </row>
    <row r="1201" spans="1:29" x14ac:dyDescent="0.3">
      <c r="A1201" s="3" t="s">
        <v>6020</v>
      </c>
      <c r="B1201" s="3" t="s">
        <v>6021</v>
      </c>
      <c r="C1201" s="3" t="s">
        <v>545</v>
      </c>
      <c r="D1201" s="3" t="s">
        <v>6022</v>
      </c>
      <c r="E1201" s="3" t="s">
        <v>18</v>
      </c>
      <c r="F1201" s="3" t="s">
        <v>3069</v>
      </c>
      <c r="G1201" s="3" t="s">
        <v>1147</v>
      </c>
      <c r="H1201" s="3" t="s">
        <v>2785</v>
      </c>
      <c r="I1201" s="3">
        <v>2</v>
      </c>
      <c r="J1201" s="3" t="s">
        <v>14</v>
      </c>
      <c r="K1201" s="3" t="s">
        <v>215</v>
      </c>
      <c r="L1201" s="3" t="s">
        <v>215</v>
      </c>
      <c r="M1201" s="3" t="s">
        <v>2759</v>
      </c>
      <c r="N1201" s="3" t="s">
        <v>623</v>
      </c>
      <c r="O1201" s="3" t="s">
        <v>19</v>
      </c>
      <c r="P1201" s="3" t="s">
        <v>297</v>
      </c>
      <c r="Q1201" s="3" t="s">
        <v>127</v>
      </c>
      <c r="R1201" s="3">
        <v>1</v>
      </c>
      <c r="S1201" s="3">
        <v>57.27</v>
      </c>
      <c r="T1201" s="3">
        <v>10</v>
      </c>
      <c r="U1201" s="3">
        <v>51.54</v>
      </c>
      <c r="V1201" s="3">
        <v>27.29</v>
      </c>
      <c r="W1201" s="3">
        <v>24.25</v>
      </c>
      <c r="X1201" s="3">
        <v>47.05</v>
      </c>
      <c r="Y1201" s="3">
        <v>99</v>
      </c>
      <c r="Z1201" s="3" t="s">
        <v>48</v>
      </c>
      <c r="AA1201" s="3" t="s">
        <v>100</v>
      </c>
      <c r="AB1201" s="3" t="s">
        <v>101</v>
      </c>
      <c r="AC1201" s="3">
        <v>2</v>
      </c>
    </row>
    <row r="1202" spans="1:29" x14ac:dyDescent="0.3">
      <c r="A1202" s="2" t="s">
        <v>6023</v>
      </c>
      <c r="B1202" s="2" t="s">
        <v>6024</v>
      </c>
      <c r="C1202" s="2" t="s">
        <v>1350</v>
      </c>
      <c r="D1202" s="2" t="s">
        <v>6025</v>
      </c>
      <c r="E1202" s="2" t="s">
        <v>33</v>
      </c>
      <c r="F1202" s="2" t="s">
        <v>1541</v>
      </c>
      <c r="G1202" s="2" t="s">
        <v>745</v>
      </c>
      <c r="H1202" s="2" t="s">
        <v>746</v>
      </c>
      <c r="I1202" s="2">
        <v>3</v>
      </c>
      <c r="J1202" s="2" t="s">
        <v>29</v>
      </c>
      <c r="K1202" s="2" t="s">
        <v>427</v>
      </c>
      <c r="L1202" s="2" t="s">
        <v>1871</v>
      </c>
      <c r="M1202" s="2" t="s">
        <v>6026</v>
      </c>
      <c r="N1202" s="2" t="s">
        <v>227</v>
      </c>
      <c r="O1202" s="2" t="s">
        <v>13</v>
      </c>
      <c r="P1202" s="2" t="s">
        <v>228</v>
      </c>
      <c r="Q1202" s="2" t="s">
        <v>608</v>
      </c>
      <c r="R1202" s="2">
        <v>2</v>
      </c>
      <c r="S1202" s="2">
        <v>37260.089999999997</v>
      </c>
      <c r="T1202" s="2">
        <v>20</v>
      </c>
      <c r="U1202" s="2">
        <v>59616.14</v>
      </c>
      <c r="V1202" s="2">
        <v>32382.05</v>
      </c>
      <c r="W1202" s="2">
        <v>27234.09</v>
      </c>
      <c r="X1202" s="2">
        <v>45.68</v>
      </c>
      <c r="Y1202" s="2">
        <v>0</v>
      </c>
      <c r="Z1202" s="2" t="s">
        <v>40</v>
      </c>
      <c r="AA1202" s="2" t="s">
        <v>100</v>
      </c>
      <c r="AB1202" s="2" t="s">
        <v>101</v>
      </c>
      <c r="AC1202" s="2">
        <v>1</v>
      </c>
    </row>
    <row r="1203" spans="1:29" x14ac:dyDescent="0.3">
      <c r="A1203" s="3" t="s">
        <v>6027</v>
      </c>
      <c r="B1203" s="3" t="s">
        <v>6028</v>
      </c>
      <c r="C1203" s="3" t="s">
        <v>768</v>
      </c>
      <c r="D1203" s="3" t="s">
        <v>6029</v>
      </c>
      <c r="E1203" s="3" t="s">
        <v>26</v>
      </c>
      <c r="F1203" s="3" t="s">
        <v>1868</v>
      </c>
      <c r="G1203" s="3" t="s">
        <v>1869</v>
      </c>
      <c r="H1203" s="3" t="s">
        <v>3418</v>
      </c>
      <c r="I1203" s="3">
        <v>8</v>
      </c>
      <c r="J1203" s="3" t="s">
        <v>22</v>
      </c>
      <c r="K1203" s="3" t="s">
        <v>738</v>
      </c>
      <c r="L1203" s="3" t="s">
        <v>738</v>
      </c>
      <c r="M1203" s="3" t="s">
        <v>6030</v>
      </c>
      <c r="N1203" s="3" t="s">
        <v>112</v>
      </c>
      <c r="O1203" s="3" t="s">
        <v>27</v>
      </c>
      <c r="P1203" s="3" t="s">
        <v>113</v>
      </c>
      <c r="Q1203" s="3" t="s">
        <v>400</v>
      </c>
      <c r="R1203" s="3">
        <v>2</v>
      </c>
      <c r="S1203" s="3">
        <v>6918.19</v>
      </c>
      <c r="T1203" s="3">
        <v>25</v>
      </c>
      <c r="U1203" s="3">
        <v>10377.280000000001</v>
      </c>
      <c r="V1203" s="3">
        <v>5367.09</v>
      </c>
      <c r="W1203" s="3">
        <v>5010.1899999999996</v>
      </c>
      <c r="X1203" s="3">
        <v>48.28</v>
      </c>
      <c r="Y1203" s="3">
        <v>149</v>
      </c>
      <c r="Z1203" s="3" t="s">
        <v>48</v>
      </c>
      <c r="AA1203" s="3" t="s">
        <v>100</v>
      </c>
      <c r="AB1203" s="3" t="s">
        <v>101</v>
      </c>
      <c r="AC1203" s="3">
        <v>4</v>
      </c>
    </row>
    <row r="1204" spans="1:29" x14ac:dyDescent="0.3">
      <c r="A1204" s="2" t="s">
        <v>6031</v>
      </c>
      <c r="B1204" s="2" t="s">
        <v>6032</v>
      </c>
      <c r="C1204" s="2" t="s">
        <v>231</v>
      </c>
      <c r="D1204" s="2" t="s">
        <v>6033</v>
      </c>
      <c r="E1204" s="2" t="s">
        <v>18</v>
      </c>
      <c r="F1204" s="2" t="s">
        <v>1984</v>
      </c>
      <c r="G1204" s="2" t="s">
        <v>5187</v>
      </c>
      <c r="H1204" s="2" t="s">
        <v>2197</v>
      </c>
      <c r="I1204" s="2">
        <v>7</v>
      </c>
      <c r="J1204" s="2" t="s">
        <v>22</v>
      </c>
      <c r="K1204" s="2" t="s">
        <v>738</v>
      </c>
      <c r="L1204" s="2" t="s">
        <v>738</v>
      </c>
      <c r="M1204" s="2" t="s">
        <v>6034</v>
      </c>
      <c r="N1204" s="2" t="s">
        <v>805</v>
      </c>
      <c r="O1204" s="2" t="s">
        <v>28</v>
      </c>
      <c r="P1204" s="2" t="s">
        <v>151</v>
      </c>
      <c r="Q1204" s="2" t="s">
        <v>127</v>
      </c>
      <c r="R1204" s="2">
        <v>5</v>
      </c>
      <c r="S1204" s="2">
        <v>4485.66</v>
      </c>
      <c r="T1204" s="2">
        <v>10</v>
      </c>
      <c r="U1204" s="2">
        <v>20185.47</v>
      </c>
      <c r="V1204" s="2">
        <v>13787.81</v>
      </c>
      <c r="W1204" s="2">
        <v>6397.66</v>
      </c>
      <c r="X1204" s="2">
        <v>31.69</v>
      </c>
      <c r="Y1204" s="2">
        <v>29</v>
      </c>
      <c r="Z1204" s="2" t="s">
        <v>47</v>
      </c>
      <c r="AA1204" s="2" t="s">
        <v>100</v>
      </c>
      <c r="AB1204" s="2" t="s">
        <v>101</v>
      </c>
      <c r="AC1204" s="2">
        <v>4</v>
      </c>
    </row>
    <row r="1205" spans="1:29" x14ac:dyDescent="0.3">
      <c r="A1205" s="3" t="s">
        <v>6035</v>
      </c>
      <c r="B1205" s="3" t="s">
        <v>6036</v>
      </c>
      <c r="C1205" s="3" t="s">
        <v>4342</v>
      </c>
      <c r="D1205" s="3" t="s">
        <v>6037</v>
      </c>
      <c r="E1205" s="3" t="s">
        <v>18</v>
      </c>
      <c r="F1205" s="3" t="s">
        <v>1119</v>
      </c>
      <c r="G1205" s="3" t="s">
        <v>381</v>
      </c>
      <c r="H1205" s="3" t="s">
        <v>1442</v>
      </c>
      <c r="I1205" s="3">
        <v>2</v>
      </c>
      <c r="J1205" s="3" t="s">
        <v>29</v>
      </c>
      <c r="K1205" s="3" t="s">
        <v>334</v>
      </c>
      <c r="L1205" s="3" t="s">
        <v>614</v>
      </c>
      <c r="M1205" s="3" t="s">
        <v>6038</v>
      </c>
      <c r="N1205" s="3" t="s">
        <v>274</v>
      </c>
      <c r="O1205" s="3" t="s">
        <v>21</v>
      </c>
      <c r="P1205" s="3" t="s">
        <v>126</v>
      </c>
      <c r="Q1205" s="3" t="s">
        <v>466</v>
      </c>
      <c r="R1205" s="3">
        <v>3</v>
      </c>
      <c r="S1205" s="3">
        <v>13854.09</v>
      </c>
      <c r="T1205" s="3">
        <v>5</v>
      </c>
      <c r="U1205" s="3">
        <v>39484.160000000003</v>
      </c>
      <c r="V1205" s="3">
        <v>24989.69</v>
      </c>
      <c r="W1205" s="3">
        <v>14494.47</v>
      </c>
      <c r="X1205" s="3">
        <v>36.71</v>
      </c>
      <c r="Y1205" s="3">
        <v>99</v>
      </c>
      <c r="Z1205" s="3" t="s">
        <v>30</v>
      </c>
      <c r="AA1205" s="3" t="s">
        <v>100</v>
      </c>
      <c r="AB1205" s="3" t="s">
        <v>101</v>
      </c>
      <c r="AC1205" s="3">
        <v>5</v>
      </c>
    </row>
    <row r="1206" spans="1:29" x14ac:dyDescent="0.3">
      <c r="A1206" s="2" t="s">
        <v>6039</v>
      </c>
      <c r="B1206" s="2" t="s">
        <v>6040</v>
      </c>
      <c r="C1206" s="2" t="s">
        <v>733</v>
      </c>
      <c r="D1206" s="2" t="s">
        <v>6041</v>
      </c>
      <c r="E1206" s="2" t="s">
        <v>26</v>
      </c>
      <c r="F1206" s="2" t="s">
        <v>885</v>
      </c>
      <c r="G1206" s="2" t="s">
        <v>886</v>
      </c>
      <c r="H1206" s="2" t="s">
        <v>1563</v>
      </c>
      <c r="I1206" s="2">
        <v>3</v>
      </c>
      <c r="J1206" s="2" t="s">
        <v>14</v>
      </c>
      <c r="K1206" s="2" t="s">
        <v>712</v>
      </c>
      <c r="L1206" s="2" t="s">
        <v>712</v>
      </c>
      <c r="M1206" s="2" t="s">
        <v>3906</v>
      </c>
      <c r="N1206" s="2" t="s">
        <v>274</v>
      </c>
      <c r="O1206" s="2" t="s">
        <v>21</v>
      </c>
      <c r="P1206" s="2" t="s">
        <v>126</v>
      </c>
      <c r="Q1206" s="2" t="s">
        <v>114</v>
      </c>
      <c r="R1206" s="2">
        <v>5</v>
      </c>
      <c r="S1206" s="2">
        <v>9461.4599999999991</v>
      </c>
      <c r="T1206" s="2">
        <v>5</v>
      </c>
      <c r="U1206" s="2">
        <v>44941.93</v>
      </c>
      <c r="V1206" s="2">
        <v>28150.91</v>
      </c>
      <c r="W1206" s="2">
        <v>16791.02</v>
      </c>
      <c r="X1206" s="2">
        <v>37.36</v>
      </c>
      <c r="Y1206" s="2">
        <v>29</v>
      </c>
      <c r="Z1206" s="2" t="s">
        <v>43</v>
      </c>
      <c r="AA1206" s="2" t="s">
        <v>100</v>
      </c>
      <c r="AB1206" s="2" t="s">
        <v>101</v>
      </c>
      <c r="AC1206" s="2">
        <v>3</v>
      </c>
    </row>
    <row r="1207" spans="1:29" x14ac:dyDescent="0.3">
      <c r="A1207" s="3" t="s">
        <v>6042</v>
      </c>
      <c r="B1207" s="3" t="s">
        <v>6043</v>
      </c>
      <c r="C1207" s="3" t="s">
        <v>912</v>
      </c>
      <c r="D1207" s="3" t="s">
        <v>6044</v>
      </c>
      <c r="E1207" s="3" t="s">
        <v>26</v>
      </c>
      <c r="F1207" s="3" t="s">
        <v>4081</v>
      </c>
      <c r="G1207" s="3" t="s">
        <v>471</v>
      </c>
      <c r="H1207" s="3" t="s">
        <v>3505</v>
      </c>
      <c r="I1207" s="3">
        <v>8</v>
      </c>
      <c r="J1207" s="3" t="s">
        <v>14</v>
      </c>
      <c r="K1207" s="3" t="s">
        <v>712</v>
      </c>
      <c r="L1207" s="3" t="s">
        <v>712</v>
      </c>
      <c r="M1207" s="3" t="s">
        <v>6045</v>
      </c>
      <c r="N1207" s="3" t="s">
        <v>889</v>
      </c>
      <c r="O1207" s="3" t="s">
        <v>27</v>
      </c>
      <c r="P1207" s="3" t="s">
        <v>257</v>
      </c>
      <c r="Q1207" s="3" t="s">
        <v>114</v>
      </c>
      <c r="R1207" s="3">
        <v>1</v>
      </c>
      <c r="S1207" s="3">
        <v>44023.62</v>
      </c>
      <c r="T1207" s="3">
        <v>15</v>
      </c>
      <c r="U1207" s="3">
        <v>37420.080000000002</v>
      </c>
      <c r="V1207" s="3">
        <v>20999</v>
      </c>
      <c r="W1207" s="3">
        <v>16421.080000000002</v>
      </c>
      <c r="X1207" s="3">
        <v>43.88</v>
      </c>
      <c r="Y1207" s="3">
        <v>0</v>
      </c>
      <c r="Z1207" s="3" t="s">
        <v>30</v>
      </c>
      <c r="AA1207" s="3" t="s">
        <v>672</v>
      </c>
      <c r="AB1207" s="3" t="s">
        <v>101</v>
      </c>
      <c r="AC1207" s="3"/>
    </row>
    <row r="1208" spans="1:29" x14ac:dyDescent="0.3">
      <c r="A1208" s="2" t="s">
        <v>6046</v>
      </c>
      <c r="B1208" s="2" t="s">
        <v>6047</v>
      </c>
      <c r="C1208" s="2" t="s">
        <v>1304</v>
      </c>
      <c r="D1208" s="2" t="s">
        <v>6048</v>
      </c>
      <c r="E1208" s="2" t="s">
        <v>26</v>
      </c>
      <c r="F1208" s="2" t="s">
        <v>4045</v>
      </c>
      <c r="G1208" s="2" t="s">
        <v>2047</v>
      </c>
      <c r="H1208" s="2" t="s">
        <v>2048</v>
      </c>
      <c r="I1208" s="2">
        <v>6</v>
      </c>
      <c r="J1208" s="2" t="s">
        <v>39</v>
      </c>
      <c r="K1208" s="2" t="s">
        <v>324</v>
      </c>
      <c r="L1208" s="2" t="s">
        <v>1028</v>
      </c>
      <c r="M1208" s="2" t="s">
        <v>4606</v>
      </c>
      <c r="N1208" s="2" t="s">
        <v>533</v>
      </c>
      <c r="O1208" s="2" t="s">
        <v>19</v>
      </c>
      <c r="P1208" s="2" t="s">
        <v>297</v>
      </c>
      <c r="Q1208" s="2" t="s">
        <v>287</v>
      </c>
      <c r="R1208" s="2">
        <v>5</v>
      </c>
      <c r="S1208" s="2">
        <v>22757.8</v>
      </c>
      <c r="T1208" s="2">
        <v>0</v>
      </c>
      <c r="U1208" s="2">
        <v>113789</v>
      </c>
      <c r="V1208" s="2">
        <v>64238.720000000001</v>
      </c>
      <c r="W1208" s="2">
        <v>49550.28</v>
      </c>
      <c r="X1208" s="2">
        <v>43.55</v>
      </c>
      <c r="Y1208" s="2">
        <v>29</v>
      </c>
      <c r="Z1208" s="2" t="s">
        <v>40</v>
      </c>
      <c r="AA1208" s="2" t="s">
        <v>100</v>
      </c>
      <c r="AB1208" s="2" t="s">
        <v>101</v>
      </c>
      <c r="AC1208" s="2">
        <v>3</v>
      </c>
    </row>
    <row r="1209" spans="1:29" x14ac:dyDescent="0.3">
      <c r="A1209" s="3" t="s">
        <v>6049</v>
      </c>
      <c r="B1209" s="3" t="s">
        <v>6050</v>
      </c>
      <c r="C1209" s="3" t="s">
        <v>3325</v>
      </c>
      <c r="D1209" s="3" t="s">
        <v>6051</v>
      </c>
      <c r="E1209" s="3" t="s">
        <v>33</v>
      </c>
      <c r="F1209" s="3" t="s">
        <v>709</v>
      </c>
      <c r="G1209" s="3" t="s">
        <v>5480</v>
      </c>
      <c r="H1209" s="3" t="s">
        <v>885</v>
      </c>
      <c r="I1209" s="3">
        <v>8</v>
      </c>
      <c r="J1209" s="3" t="s">
        <v>22</v>
      </c>
      <c r="K1209" s="3" t="s">
        <v>443</v>
      </c>
      <c r="L1209" s="3" t="s">
        <v>498</v>
      </c>
      <c r="M1209" s="3" t="s">
        <v>6052</v>
      </c>
      <c r="N1209" s="3" t="s">
        <v>1223</v>
      </c>
      <c r="O1209" s="3" t="s">
        <v>19</v>
      </c>
      <c r="P1209" s="3" t="s">
        <v>447</v>
      </c>
      <c r="Q1209" s="3" t="s">
        <v>287</v>
      </c>
      <c r="R1209" s="3">
        <v>1</v>
      </c>
      <c r="S1209" s="3">
        <v>13441.8</v>
      </c>
      <c r="T1209" s="3">
        <v>5</v>
      </c>
      <c r="U1209" s="3">
        <v>12769.71</v>
      </c>
      <c r="V1209" s="3">
        <v>7034.06</v>
      </c>
      <c r="W1209" s="3">
        <v>5735.65</v>
      </c>
      <c r="X1209" s="3">
        <v>44.92</v>
      </c>
      <c r="Y1209" s="3">
        <v>0</v>
      </c>
      <c r="Z1209" s="3" t="s">
        <v>47</v>
      </c>
      <c r="AA1209" s="3" t="s">
        <v>139</v>
      </c>
      <c r="AB1209" s="3" t="s">
        <v>140</v>
      </c>
      <c r="AC1209" s="3"/>
    </row>
    <row r="1210" spans="1:29" x14ac:dyDescent="0.3">
      <c r="A1210" s="2" t="s">
        <v>6053</v>
      </c>
      <c r="B1210" s="2" t="s">
        <v>6054</v>
      </c>
      <c r="C1210" s="2" t="s">
        <v>816</v>
      </c>
      <c r="D1210" s="2" t="s">
        <v>6055</v>
      </c>
      <c r="E1210" s="2" t="s">
        <v>42</v>
      </c>
      <c r="F1210" s="2" t="s">
        <v>505</v>
      </c>
      <c r="G1210" s="2" t="s">
        <v>5736</v>
      </c>
      <c r="H1210" s="2" t="s">
        <v>1228</v>
      </c>
      <c r="I1210" s="2">
        <v>5</v>
      </c>
      <c r="J1210" s="2" t="s">
        <v>29</v>
      </c>
      <c r="K1210" s="2" t="s">
        <v>427</v>
      </c>
      <c r="L1210" s="2" t="s">
        <v>428</v>
      </c>
      <c r="M1210" s="2" t="s">
        <v>3043</v>
      </c>
      <c r="N1210" s="2" t="s">
        <v>185</v>
      </c>
      <c r="O1210" s="2" t="s">
        <v>28</v>
      </c>
      <c r="P1210" s="2" t="s">
        <v>151</v>
      </c>
      <c r="Q1210" s="2" t="s">
        <v>466</v>
      </c>
      <c r="R1210" s="2">
        <v>5</v>
      </c>
      <c r="S1210" s="2">
        <v>37831.68</v>
      </c>
      <c r="T1210" s="2">
        <v>15</v>
      </c>
      <c r="U1210" s="2">
        <v>160784.64000000001</v>
      </c>
      <c r="V1210" s="2">
        <v>72881.5</v>
      </c>
      <c r="W1210" s="2">
        <v>87903.14</v>
      </c>
      <c r="X1210" s="2">
        <v>54.67</v>
      </c>
      <c r="Y1210" s="2">
        <v>49</v>
      </c>
      <c r="Z1210" s="2" t="s">
        <v>48</v>
      </c>
      <c r="AA1210" s="2" t="s">
        <v>100</v>
      </c>
      <c r="AB1210" s="2" t="s">
        <v>101</v>
      </c>
      <c r="AC1210" s="2">
        <v>2</v>
      </c>
    </row>
    <row r="1211" spans="1:29" x14ac:dyDescent="0.3">
      <c r="A1211" s="3" t="s">
        <v>6056</v>
      </c>
      <c r="B1211" s="3" t="s">
        <v>6057</v>
      </c>
      <c r="C1211" s="3" t="s">
        <v>840</v>
      </c>
      <c r="D1211" s="3" t="s">
        <v>6058</v>
      </c>
      <c r="E1211" s="3" t="s">
        <v>42</v>
      </c>
      <c r="F1211" s="3" t="s">
        <v>2450</v>
      </c>
      <c r="G1211" s="3" t="s">
        <v>454</v>
      </c>
      <c r="H1211" s="3" t="s">
        <v>2542</v>
      </c>
      <c r="I1211" s="3">
        <v>3</v>
      </c>
      <c r="J1211" s="3" t="s">
        <v>39</v>
      </c>
      <c r="K1211" s="3" t="s">
        <v>324</v>
      </c>
      <c r="L1211" s="3" t="s">
        <v>325</v>
      </c>
      <c r="M1211" s="3" t="s">
        <v>2288</v>
      </c>
      <c r="N1211" s="3" t="s">
        <v>456</v>
      </c>
      <c r="O1211" s="3" t="s">
        <v>21</v>
      </c>
      <c r="P1211" s="3" t="s">
        <v>206</v>
      </c>
      <c r="Q1211" s="3" t="s">
        <v>114</v>
      </c>
      <c r="R1211" s="3">
        <v>5</v>
      </c>
      <c r="S1211" s="3">
        <v>4806.5</v>
      </c>
      <c r="T1211" s="3">
        <v>30</v>
      </c>
      <c r="U1211" s="3">
        <v>16822.75</v>
      </c>
      <c r="V1211" s="3">
        <v>8595.69</v>
      </c>
      <c r="W1211" s="3">
        <v>8227.06</v>
      </c>
      <c r="X1211" s="3">
        <v>48.9</v>
      </c>
      <c r="Y1211" s="3">
        <v>49</v>
      </c>
      <c r="Z1211" s="3" t="s">
        <v>15</v>
      </c>
      <c r="AA1211" s="3" t="s">
        <v>100</v>
      </c>
      <c r="AB1211" s="3" t="s">
        <v>101</v>
      </c>
      <c r="AC1211" s="3">
        <v>5</v>
      </c>
    </row>
    <row r="1212" spans="1:29" x14ac:dyDescent="0.3">
      <c r="A1212" s="2" t="s">
        <v>6059</v>
      </c>
      <c r="B1212" s="2" t="s">
        <v>6060</v>
      </c>
      <c r="C1212" s="2" t="s">
        <v>1273</v>
      </c>
      <c r="D1212" s="2" t="s">
        <v>6061</v>
      </c>
      <c r="E1212" s="2" t="s">
        <v>33</v>
      </c>
      <c r="F1212" s="2" t="s">
        <v>1695</v>
      </c>
      <c r="G1212" s="2" t="s">
        <v>1696</v>
      </c>
      <c r="H1212" s="2" t="s">
        <v>3191</v>
      </c>
      <c r="I1212" s="2">
        <v>4</v>
      </c>
      <c r="J1212" s="2" t="s">
        <v>29</v>
      </c>
      <c r="K1212" s="2" t="s">
        <v>427</v>
      </c>
      <c r="L1212" s="2" t="s">
        <v>1871</v>
      </c>
      <c r="M1212" s="2" t="s">
        <v>3555</v>
      </c>
      <c r="N1212" s="2" t="s">
        <v>163</v>
      </c>
      <c r="O1212" s="2" t="s">
        <v>21</v>
      </c>
      <c r="P1212" s="2" t="s">
        <v>126</v>
      </c>
      <c r="Q1212" s="2" t="s">
        <v>218</v>
      </c>
      <c r="R1212" s="2">
        <v>1</v>
      </c>
      <c r="S1212" s="2">
        <v>25193.91</v>
      </c>
      <c r="T1212" s="2">
        <v>25</v>
      </c>
      <c r="U1212" s="2">
        <v>18895.43</v>
      </c>
      <c r="V1212" s="2">
        <v>9224.52</v>
      </c>
      <c r="W1212" s="2">
        <v>9670.91</v>
      </c>
      <c r="X1212" s="2">
        <v>51.18</v>
      </c>
      <c r="Y1212" s="2">
        <v>199</v>
      </c>
      <c r="Z1212" s="2" t="s">
        <v>30</v>
      </c>
      <c r="AA1212" s="2" t="s">
        <v>100</v>
      </c>
      <c r="AB1212" s="2" t="s">
        <v>101</v>
      </c>
      <c r="AC1212" s="2">
        <v>2</v>
      </c>
    </row>
    <row r="1213" spans="1:29" x14ac:dyDescent="0.3">
      <c r="A1213" s="3" t="s">
        <v>6062</v>
      </c>
      <c r="B1213" s="3" t="s">
        <v>6063</v>
      </c>
      <c r="C1213" s="3" t="s">
        <v>1068</v>
      </c>
      <c r="D1213" s="3" t="s">
        <v>6064</v>
      </c>
      <c r="E1213" s="3" t="s">
        <v>18</v>
      </c>
      <c r="F1213" s="3" t="s">
        <v>2910</v>
      </c>
      <c r="G1213" s="3" t="s">
        <v>2074</v>
      </c>
      <c r="H1213" s="3" t="s">
        <v>2630</v>
      </c>
      <c r="I1213" s="3">
        <v>8</v>
      </c>
      <c r="J1213" s="3" t="s">
        <v>14</v>
      </c>
      <c r="K1213" s="3" t="s">
        <v>171</v>
      </c>
      <c r="L1213" s="3" t="s">
        <v>541</v>
      </c>
      <c r="M1213" s="3" t="s">
        <v>6065</v>
      </c>
      <c r="N1213" s="3" t="s">
        <v>837</v>
      </c>
      <c r="O1213" s="3" t="s">
        <v>27</v>
      </c>
      <c r="P1213" s="3" t="s">
        <v>257</v>
      </c>
      <c r="Q1213" s="3" t="s">
        <v>99</v>
      </c>
      <c r="R1213" s="3">
        <v>2</v>
      </c>
      <c r="S1213" s="3">
        <v>38824.14</v>
      </c>
      <c r="T1213" s="3">
        <v>30</v>
      </c>
      <c r="U1213" s="3">
        <v>54353.8</v>
      </c>
      <c r="V1213" s="3">
        <v>29156.46</v>
      </c>
      <c r="W1213" s="3">
        <v>25197.34</v>
      </c>
      <c r="X1213" s="3">
        <v>46.36</v>
      </c>
      <c r="Y1213" s="3">
        <v>0</v>
      </c>
      <c r="Z1213" s="3" t="s">
        <v>30</v>
      </c>
      <c r="AA1213" s="3" t="s">
        <v>186</v>
      </c>
      <c r="AB1213" s="3" t="s">
        <v>101</v>
      </c>
      <c r="AC1213" s="3"/>
    </row>
    <row r="1214" spans="1:29" x14ac:dyDescent="0.3">
      <c r="A1214" s="2" t="s">
        <v>6066</v>
      </c>
      <c r="B1214" s="2" t="s">
        <v>6067</v>
      </c>
      <c r="C1214" s="2" t="s">
        <v>1261</v>
      </c>
      <c r="D1214" s="2" t="s">
        <v>6068</v>
      </c>
      <c r="E1214" s="2" t="s">
        <v>33</v>
      </c>
      <c r="F1214" s="2" t="s">
        <v>1007</v>
      </c>
      <c r="G1214" s="2" t="s">
        <v>4813</v>
      </c>
      <c r="H1214" s="2" t="s">
        <v>3927</v>
      </c>
      <c r="I1214" s="2">
        <v>4</v>
      </c>
      <c r="J1214" s="2" t="s">
        <v>14</v>
      </c>
      <c r="K1214" s="2" t="s">
        <v>183</v>
      </c>
      <c r="L1214" s="2" t="s">
        <v>183</v>
      </c>
      <c r="M1214" s="2" t="s">
        <v>3070</v>
      </c>
      <c r="N1214" s="2" t="s">
        <v>1535</v>
      </c>
      <c r="O1214" s="2" t="s">
        <v>13</v>
      </c>
      <c r="P1214" s="2" t="s">
        <v>98</v>
      </c>
      <c r="Q1214" s="2" t="s">
        <v>509</v>
      </c>
      <c r="R1214" s="2">
        <v>5</v>
      </c>
      <c r="S1214" s="2">
        <v>10577.3</v>
      </c>
      <c r="T1214" s="2">
        <v>30</v>
      </c>
      <c r="U1214" s="2">
        <v>37020.550000000003</v>
      </c>
      <c r="V1214" s="2">
        <v>17565.32</v>
      </c>
      <c r="W1214" s="2">
        <v>19455.23</v>
      </c>
      <c r="X1214" s="2">
        <v>52.55</v>
      </c>
      <c r="Y1214" s="2">
        <v>99</v>
      </c>
      <c r="Z1214" s="2" t="s">
        <v>15</v>
      </c>
      <c r="AA1214" s="2" t="s">
        <v>275</v>
      </c>
      <c r="AB1214" s="2" t="s">
        <v>101</v>
      </c>
      <c r="AC1214" s="2"/>
    </row>
    <row r="1215" spans="1:29" x14ac:dyDescent="0.3">
      <c r="A1215" s="3" t="s">
        <v>6069</v>
      </c>
      <c r="B1215" s="3" t="s">
        <v>6070</v>
      </c>
      <c r="C1215" s="3" t="s">
        <v>450</v>
      </c>
      <c r="D1215" s="3" t="s">
        <v>6071</v>
      </c>
      <c r="E1215" s="3" t="s">
        <v>42</v>
      </c>
      <c r="F1215" s="3" t="s">
        <v>2979</v>
      </c>
      <c r="G1215" s="3" t="s">
        <v>1633</v>
      </c>
      <c r="H1215" s="3" t="s">
        <v>2167</v>
      </c>
      <c r="I1215" s="3">
        <v>6</v>
      </c>
      <c r="J1215" s="3" t="s">
        <v>39</v>
      </c>
      <c r="K1215" s="3" t="s">
        <v>225</v>
      </c>
      <c r="L1215" s="3" t="s">
        <v>225</v>
      </c>
      <c r="M1215" s="3" t="s">
        <v>6072</v>
      </c>
      <c r="N1215" s="3" t="s">
        <v>889</v>
      </c>
      <c r="O1215" s="3" t="s">
        <v>27</v>
      </c>
      <c r="P1215" s="3" t="s">
        <v>257</v>
      </c>
      <c r="Q1215" s="3" t="s">
        <v>99</v>
      </c>
      <c r="R1215" s="3">
        <v>2</v>
      </c>
      <c r="S1215" s="3">
        <v>225.44</v>
      </c>
      <c r="T1215" s="3">
        <v>10</v>
      </c>
      <c r="U1215" s="3">
        <v>405.79</v>
      </c>
      <c r="V1215" s="3">
        <v>245.01</v>
      </c>
      <c r="W1215" s="3">
        <v>160.78</v>
      </c>
      <c r="X1215" s="3">
        <v>39.619999999999997</v>
      </c>
      <c r="Y1215" s="3">
        <v>49</v>
      </c>
      <c r="Z1215" s="3" t="s">
        <v>30</v>
      </c>
      <c r="AA1215" s="3" t="s">
        <v>139</v>
      </c>
      <c r="AB1215" s="3" t="s">
        <v>140</v>
      </c>
      <c r="AC1215" s="3"/>
    </row>
    <row r="1216" spans="1:29" x14ac:dyDescent="0.3">
      <c r="A1216" s="2" t="s">
        <v>6073</v>
      </c>
      <c r="B1216" s="2" t="s">
        <v>6074</v>
      </c>
      <c r="C1216" s="2" t="s">
        <v>1246</v>
      </c>
      <c r="D1216" s="2" t="s">
        <v>6075</v>
      </c>
      <c r="E1216" s="2" t="s">
        <v>26</v>
      </c>
      <c r="F1216" s="2" t="s">
        <v>4933</v>
      </c>
      <c r="G1216" s="2" t="s">
        <v>2872</v>
      </c>
      <c r="H1216" s="2" t="s">
        <v>2873</v>
      </c>
      <c r="I1216" s="2">
        <v>2</v>
      </c>
      <c r="J1216" s="2" t="s">
        <v>22</v>
      </c>
      <c r="K1216" s="2" t="s">
        <v>254</v>
      </c>
      <c r="L1216" s="2" t="s">
        <v>254</v>
      </c>
      <c r="M1216" s="2" t="s">
        <v>255</v>
      </c>
      <c r="N1216" s="2" t="s">
        <v>1802</v>
      </c>
      <c r="O1216" s="2" t="s">
        <v>28</v>
      </c>
      <c r="P1216" s="2" t="s">
        <v>137</v>
      </c>
      <c r="Q1216" s="2" t="s">
        <v>608</v>
      </c>
      <c r="R1216" s="2">
        <v>1</v>
      </c>
      <c r="S1216" s="2">
        <v>719.08</v>
      </c>
      <c r="T1216" s="2">
        <v>25</v>
      </c>
      <c r="U1216" s="2">
        <v>539.30999999999995</v>
      </c>
      <c r="V1216" s="2">
        <v>376.04</v>
      </c>
      <c r="W1216" s="2">
        <v>163.27000000000001</v>
      </c>
      <c r="X1216" s="2">
        <v>30.27</v>
      </c>
      <c r="Y1216" s="2">
        <v>199</v>
      </c>
      <c r="Z1216" s="2" t="s">
        <v>48</v>
      </c>
      <c r="AA1216" s="2" t="s">
        <v>100</v>
      </c>
      <c r="AB1216" s="2" t="s">
        <v>101</v>
      </c>
      <c r="AC1216" s="2">
        <v>5</v>
      </c>
    </row>
    <row r="1217" spans="1:29" x14ac:dyDescent="0.3">
      <c r="A1217" s="3" t="s">
        <v>6076</v>
      </c>
      <c r="B1217" s="3" t="s">
        <v>6077</v>
      </c>
      <c r="C1217" s="3" t="s">
        <v>2110</v>
      </c>
      <c r="D1217" s="3" t="s">
        <v>6078</v>
      </c>
      <c r="E1217" s="3" t="s">
        <v>33</v>
      </c>
      <c r="F1217" s="3" t="s">
        <v>627</v>
      </c>
      <c r="G1217" s="3" t="s">
        <v>3042</v>
      </c>
      <c r="H1217" s="3" t="s">
        <v>4325</v>
      </c>
      <c r="I1217" s="3">
        <v>8</v>
      </c>
      <c r="J1217" s="3" t="s">
        <v>22</v>
      </c>
      <c r="K1217" s="3" t="s">
        <v>254</v>
      </c>
      <c r="L1217" s="3" t="s">
        <v>254</v>
      </c>
      <c r="M1217" s="3" t="s">
        <v>6079</v>
      </c>
      <c r="N1217" s="3" t="s">
        <v>3017</v>
      </c>
      <c r="O1217" s="3" t="s">
        <v>13</v>
      </c>
      <c r="P1217" s="3" t="s">
        <v>419</v>
      </c>
      <c r="Q1217" s="3" t="s">
        <v>138</v>
      </c>
      <c r="R1217" s="3">
        <v>4</v>
      </c>
      <c r="S1217" s="3">
        <v>43397.94</v>
      </c>
      <c r="T1217" s="3">
        <v>0</v>
      </c>
      <c r="U1217" s="3">
        <v>173591.76</v>
      </c>
      <c r="V1217" s="3">
        <v>80215.13</v>
      </c>
      <c r="W1217" s="3">
        <v>93376.63</v>
      </c>
      <c r="X1217" s="3">
        <v>53.79</v>
      </c>
      <c r="Y1217" s="3">
        <v>199</v>
      </c>
      <c r="Z1217" s="3" t="s">
        <v>47</v>
      </c>
      <c r="AA1217" s="3" t="s">
        <v>100</v>
      </c>
      <c r="AB1217" s="3" t="s">
        <v>101</v>
      </c>
      <c r="AC1217" s="3">
        <v>2</v>
      </c>
    </row>
    <row r="1218" spans="1:29" x14ac:dyDescent="0.3">
      <c r="A1218" s="2" t="s">
        <v>6080</v>
      </c>
      <c r="B1218" s="2" t="s">
        <v>6081</v>
      </c>
      <c r="C1218" s="2" t="s">
        <v>980</v>
      </c>
      <c r="D1218" s="2" t="s">
        <v>6082</v>
      </c>
      <c r="E1218" s="2" t="s">
        <v>42</v>
      </c>
      <c r="F1218" s="2" t="s">
        <v>3101</v>
      </c>
      <c r="G1218" s="2" t="s">
        <v>3505</v>
      </c>
      <c r="H1218" s="2" t="s">
        <v>3047</v>
      </c>
      <c r="I1218" s="2">
        <v>6</v>
      </c>
      <c r="J1218" s="2" t="s">
        <v>14</v>
      </c>
      <c r="K1218" s="2" t="s">
        <v>183</v>
      </c>
      <c r="L1218" s="2" t="s">
        <v>183</v>
      </c>
      <c r="M1218" s="2" t="s">
        <v>6083</v>
      </c>
      <c r="N1218" s="2" t="s">
        <v>266</v>
      </c>
      <c r="O1218" s="2" t="s">
        <v>28</v>
      </c>
      <c r="P1218" s="2" t="s">
        <v>151</v>
      </c>
      <c r="Q1218" s="2" t="s">
        <v>287</v>
      </c>
      <c r="R1218" s="2">
        <v>4</v>
      </c>
      <c r="S1218" s="2">
        <v>48786.92</v>
      </c>
      <c r="T1218" s="2">
        <v>15</v>
      </c>
      <c r="U1218" s="2">
        <v>165875.53</v>
      </c>
      <c r="V1218" s="2">
        <v>116010.8</v>
      </c>
      <c r="W1218" s="2">
        <v>49864.73</v>
      </c>
      <c r="X1218" s="2">
        <v>30.06</v>
      </c>
      <c r="Y1218" s="2">
        <v>49</v>
      </c>
      <c r="Z1218" s="2" t="s">
        <v>47</v>
      </c>
      <c r="AA1218" s="2" t="s">
        <v>100</v>
      </c>
      <c r="AB1218" s="2" t="s">
        <v>101</v>
      </c>
      <c r="AC1218" s="2">
        <v>1</v>
      </c>
    </row>
    <row r="1219" spans="1:29" x14ac:dyDescent="0.3">
      <c r="A1219" s="3" t="s">
        <v>6084</v>
      </c>
      <c r="B1219" s="3" t="s">
        <v>6085</v>
      </c>
      <c r="C1219" s="3" t="s">
        <v>855</v>
      </c>
      <c r="D1219" s="3" t="s">
        <v>6086</v>
      </c>
      <c r="E1219" s="3" t="s">
        <v>42</v>
      </c>
      <c r="F1219" s="3" t="s">
        <v>3317</v>
      </c>
      <c r="G1219" s="3" t="s">
        <v>2387</v>
      </c>
      <c r="H1219" s="3" t="s">
        <v>3876</v>
      </c>
      <c r="I1219" s="3">
        <v>2</v>
      </c>
      <c r="J1219" s="3" t="s">
        <v>14</v>
      </c>
      <c r="K1219" s="3" t="s">
        <v>171</v>
      </c>
      <c r="L1219" s="3" t="s">
        <v>541</v>
      </c>
      <c r="M1219" s="3" t="s">
        <v>1922</v>
      </c>
      <c r="N1219" s="3" t="s">
        <v>765</v>
      </c>
      <c r="O1219" s="3" t="s">
        <v>27</v>
      </c>
      <c r="P1219" s="3" t="s">
        <v>113</v>
      </c>
      <c r="Q1219" s="3" t="s">
        <v>218</v>
      </c>
      <c r="R1219" s="3">
        <v>3</v>
      </c>
      <c r="S1219" s="3">
        <v>20837.73</v>
      </c>
      <c r="T1219" s="3">
        <v>15</v>
      </c>
      <c r="U1219" s="3">
        <v>53136.21</v>
      </c>
      <c r="V1219" s="3">
        <v>33890.980000000003</v>
      </c>
      <c r="W1219" s="3">
        <v>19245.23</v>
      </c>
      <c r="X1219" s="3">
        <v>36.22</v>
      </c>
      <c r="Y1219" s="3">
        <v>99</v>
      </c>
      <c r="Z1219" s="3" t="s">
        <v>48</v>
      </c>
      <c r="AA1219" s="3" t="s">
        <v>100</v>
      </c>
      <c r="AB1219" s="3" t="s">
        <v>101</v>
      </c>
      <c r="AC1219" s="3">
        <v>4</v>
      </c>
    </row>
    <row r="1220" spans="1:29" x14ac:dyDescent="0.3">
      <c r="A1220" s="2" t="s">
        <v>6087</v>
      </c>
      <c r="B1220" s="2" t="s">
        <v>6088</v>
      </c>
      <c r="C1220" s="2" t="s">
        <v>1544</v>
      </c>
      <c r="D1220" s="2" t="s">
        <v>6089</v>
      </c>
      <c r="E1220" s="2" t="s">
        <v>33</v>
      </c>
      <c r="F1220" s="2" t="s">
        <v>1306</v>
      </c>
      <c r="G1220" s="2" t="s">
        <v>424</v>
      </c>
      <c r="H1220" s="2" t="s">
        <v>223</v>
      </c>
      <c r="I1220" s="2">
        <v>3</v>
      </c>
      <c r="J1220" s="2" t="s">
        <v>22</v>
      </c>
      <c r="K1220" s="2" t="s">
        <v>254</v>
      </c>
      <c r="L1220" s="2" t="s">
        <v>254</v>
      </c>
      <c r="M1220" s="2" t="s">
        <v>6090</v>
      </c>
      <c r="N1220" s="2" t="s">
        <v>889</v>
      </c>
      <c r="O1220" s="2" t="s">
        <v>27</v>
      </c>
      <c r="P1220" s="2" t="s">
        <v>257</v>
      </c>
      <c r="Q1220" s="2" t="s">
        <v>114</v>
      </c>
      <c r="R1220" s="2">
        <v>2</v>
      </c>
      <c r="S1220" s="2">
        <v>30809.29</v>
      </c>
      <c r="T1220" s="2">
        <v>5</v>
      </c>
      <c r="U1220" s="2">
        <v>58537.65</v>
      </c>
      <c r="V1220" s="2">
        <v>30449.83</v>
      </c>
      <c r="W1220" s="2">
        <v>28087.82</v>
      </c>
      <c r="X1220" s="2">
        <v>47.98</v>
      </c>
      <c r="Y1220" s="2">
        <v>149</v>
      </c>
      <c r="Z1220" s="2" t="s">
        <v>23</v>
      </c>
      <c r="AA1220" s="2" t="s">
        <v>100</v>
      </c>
      <c r="AB1220" s="2" t="s">
        <v>101</v>
      </c>
      <c r="AC1220" s="2">
        <v>4</v>
      </c>
    </row>
    <row r="1221" spans="1:29" x14ac:dyDescent="0.3">
      <c r="A1221" s="3" t="s">
        <v>6091</v>
      </c>
      <c r="B1221" s="3" t="s">
        <v>6092</v>
      </c>
      <c r="C1221" s="3" t="s">
        <v>1304</v>
      </c>
      <c r="D1221" s="3" t="s">
        <v>6093</v>
      </c>
      <c r="E1221" s="3" t="s">
        <v>42</v>
      </c>
      <c r="F1221" s="3" t="s">
        <v>6094</v>
      </c>
      <c r="G1221" s="3" t="s">
        <v>2092</v>
      </c>
      <c r="H1221" s="3" t="s">
        <v>2093</v>
      </c>
      <c r="I1221" s="3">
        <v>7</v>
      </c>
      <c r="J1221" s="3" t="s">
        <v>29</v>
      </c>
      <c r="K1221" s="3" t="s">
        <v>160</v>
      </c>
      <c r="L1221" s="3" t="s">
        <v>976</v>
      </c>
      <c r="M1221" s="3" t="s">
        <v>6095</v>
      </c>
      <c r="N1221" s="3" t="s">
        <v>3017</v>
      </c>
      <c r="O1221" s="3" t="s">
        <v>13</v>
      </c>
      <c r="P1221" s="3" t="s">
        <v>419</v>
      </c>
      <c r="Q1221" s="3" t="s">
        <v>608</v>
      </c>
      <c r="R1221" s="3">
        <v>3</v>
      </c>
      <c r="S1221" s="3">
        <v>3506.81</v>
      </c>
      <c r="T1221" s="3">
        <v>25</v>
      </c>
      <c r="U1221" s="3">
        <v>7890.32</v>
      </c>
      <c r="V1221" s="3">
        <v>3976.35</v>
      </c>
      <c r="W1221" s="3">
        <v>3913.97</v>
      </c>
      <c r="X1221" s="3">
        <v>49.6</v>
      </c>
      <c r="Y1221" s="3">
        <v>199</v>
      </c>
      <c r="Z1221" s="3" t="s">
        <v>43</v>
      </c>
      <c r="AA1221" s="3" t="s">
        <v>275</v>
      </c>
      <c r="AB1221" s="3" t="s">
        <v>101</v>
      </c>
      <c r="AC1221" s="3"/>
    </row>
    <row r="1222" spans="1:29" x14ac:dyDescent="0.3">
      <c r="A1222" s="2" t="s">
        <v>6096</v>
      </c>
      <c r="B1222" s="2" t="s">
        <v>6097</v>
      </c>
      <c r="C1222" s="2" t="s">
        <v>1068</v>
      </c>
      <c r="D1222" s="2" t="s">
        <v>6098</v>
      </c>
      <c r="E1222" s="2" t="s">
        <v>18</v>
      </c>
      <c r="F1222" s="2" t="s">
        <v>1553</v>
      </c>
      <c r="G1222" s="2" t="s">
        <v>5480</v>
      </c>
      <c r="H1222" s="2" t="s">
        <v>858</v>
      </c>
      <c r="I1222" s="2">
        <v>7</v>
      </c>
      <c r="J1222" s="2" t="s">
        <v>22</v>
      </c>
      <c r="K1222" s="2" t="s">
        <v>738</v>
      </c>
      <c r="L1222" s="2" t="s">
        <v>738</v>
      </c>
      <c r="M1222" s="2" t="s">
        <v>6099</v>
      </c>
      <c r="N1222" s="2" t="s">
        <v>964</v>
      </c>
      <c r="O1222" s="2" t="s">
        <v>13</v>
      </c>
      <c r="P1222" s="2" t="s">
        <v>98</v>
      </c>
      <c r="Q1222" s="2" t="s">
        <v>400</v>
      </c>
      <c r="R1222" s="2">
        <v>2</v>
      </c>
      <c r="S1222" s="2">
        <v>16445.04</v>
      </c>
      <c r="T1222" s="2">
        <v>20</v>
      </c>
      <c r="U1222" s="2">
        <v>26312.06</v>
      </c>
      <c r="V1222" s="2">
        <v>17363.34</v>
      </c>
      <c r="W1222" s="2">
        <v>8948.7199999999993</v>
      </c>
      <c r="X1222" s="2">
        <v>34.01</v>
      </c>
      <c r="Y1222" s="2">
        <v>0</v>
      </c>
      <c r="Z1222" s="2" t="s">
        <v>43</v>
      </c>
      <c r="AA1222" s="2" t="s">
        <v>672</v>
      </c>
      <c r="AB1222" s="2" t="s">
        <v>101</v>
      </c>
      <c r="AC1222" s="2"/>
    </row>
    <row r="1223" spans="1:29" x14ac:dyDescent="0.3">
      <c r="A1223" s="3" t="s">
        <v>6100</v>
      </c>
      <c r="B1223" s="3" t="s">
        <v>6101</v>
      </c>
      <c r="C1223" s="3" t="s">
        <v>2729</v>
      </c>
      <c r="D1223" s="3" t="s">
        <v>6102</v>
      </c>
      <c r="E1223" s="3" t="s">
        <v>33</v>
      </c>
      <c r="F1223" s="3" t="s">
        <v>1599</v>
      </c>
      <c r="G1223" s="3" t="s">
        <v>2554</v>
      </c>
      <c r="H1223" s="3" t="s">
        <v>2935</v>
      </c>
      <c r="I1223" s="3">
        <v>4</v>
      </c>
      <c r="J1223" s="3" t="s">
        <v>39</v>
      </c>
      <c r="K1223" s="3" t="s">
        <v>109</v>
      </c>
      <c r="L1223" s="3" t="s">
        <v>344</v>
      </c>
      <c r="M1223" s="3" t="s">
        <v>6103</v>
      </c>
      <c r="N1223" s="3" t="s">
        <v>418</v>
      </c>
      <c r="O1223" s="3" t="s">
        <v>13</v>
      </c>
      <c r="P1223" s="3" t="s">
        <v>419</v>
      </c>
      <c r="Q1223" s="3" t="s">
        <v>207</v>
      </c>
      <c r="R1223" s="3">
        <v>4</v>
      </c>
      <c r="S1223" s="3">
        <v>18851.099999999999</v>
      </c>
      <c r="T1223" s="3">
        <v>20</v>
      </c>
      <c r="U1223" s="3">
        <v>60323.519999999997</v>
      </c>
      <c r="V1223" s="3">
        <v>37227.089999999997</v>
      </c>
      <c r="W1223" s="3">
        <v>23096.43</v>
      </c>
      <c r="X1223" s="3">
        <v>38.29</v>
      </c>
      <c r="Y1223" s="3">
        <v>49</v>
      </c>
      <c r="Z1223" s="3" t="s">
        <v>15</v>
      </c>
      <c r="AA1223" s="3" t="s">
        <v>100</v>
      </c>
      <c r="AB1223" s="3" t="s">
        <v>101</v>
      </c>
      <c r="AC1223" s="3">
        <v>1</v>
      </c>
    </row>
    <row r="1224" spans="1:29" x14ac:dyDescent="0.3">
      <c r="A1224" s="2" t="s">
        <v>6104</v>
      </c>
      <c r="B1224" s="2" t="s">
        <v>4755</v>
      </c>
      <c r="C1224" s="2" t="s">
        <v>3938</v>
      </c>
      <c r="D1224" s="2" t="s">
        <v>6105</v>
      </c>
      <c r="E1224" s="2" t="s">
        <v>18</v>
      </c>
      <c r="F1224" s="2" t="s">
        <v>1766</v>
      </c>
      <c r="G1224" s="2" t="s">
        <v>2752</v>
      </c>
      <c r="H1224" s="2" t="s">
        <v>1264</v>
      </c>
      <c r="I1224" s="2">
        <v>7</v>
      </c>
      <c r="J1224" s="2" t="s">
        <v>39</v>
      </c>
      <c r="K1224" s="2" t="s">
        <v>314</v>
      </c>
      <c r="L1224" s="2" t="s">
        <v>314</v>
      </c>
      <c r="M1224" s="2" t="s">
        <v>6106</v>
      </c>
      <c r="N1224" s="2" t="s">
        <v>508</v>
      </c>
      <c r="O1224" s="2" t="s">
        <v>19</v>
      </c>
      <c r="P1224" s="2" t="s">
        <v>365</v>
      </c>
      <c r="Q1224" s="2" t="s">
        <v>218</v>
      </c>
      <c r="R1224" s="2">
        <v>5</v>
      </c>
      <c r="S1224" s="2">
        <v>48399.24</v>
      </c>
      <c r="T1224" s="2">
        <v>5</v>
      </c>
      <c r="U1224" s="2">
        <v>229896.39</v>
      </c>
      <c r="V1224" s="2">
        <v>108464.21</v>
      </c>
      <c r="W1224" s="2">
        <v>121432.18</v>
      </c>
      <c r="X1224" s="2">
        <v>52.82</v>
      </c>
      <c r="Y1224" s="2">
        <v>29</v>
      </c>
      <c r="Z1224" s="2" t="s">
        <v>43</v>
      </c>
      <c r="AA1224" s="2" t="s">
        <v>275</v>
      </c>
      <c r="AB1224" s="2" t="s">
        <v>101</v>
      </c>
      <c r="AC1224" s="2"/>
    </row>
    <row r="1225" spans="1:29" x14ac:dyDescent="0.3">
      <c r="A1225" s="3" t="s">
        <v>6107</v>
      </c>
      <c r="B1225" s="3" t="s">
        <v>6108</v>
      </c>
      <c r="C1225" s="3" t="s">
        <v>240</v>
      </c>
      <c r="D1225" s="3" t="s">
        <v>6109</v>
      </c>
      <c r="E1225" s="3" t="s">
        <v>42</v>
      </c>
      <c r="F1225" s="3" t="s">
        <v>1119</v>
      </c>
      <c r="G1225" s="3" t="s">
        <v>3670</v>
      </c>
      <c r="H1225" s="3" t="s">
        <v>5141</v>
      </c>
      <c r="I1225" s="3">
        <v>2</v>
      </c>
      <c r="J1225" s="3" t="s">
        <v>22</v>
      </c>
      <c r="K1225" s="3" t="s">
        <v>254</v>
      </c>
      <c r="L1225" s="3" t="s">
        <v>254</v>
      </c>
      <c r="M1225" s="3" t="s">
        <v>6110</v>
      </c>
      <c r="N1225" s="3" t="s">
        <v>889</v>
      </c>
      <c r="O1225" s="3" t="s">
        <v>27</v>
      </c>
      <c r="P1225" s="3" t="s">
        <v>257</v>
      </c>
      <c r="Q1225" s="3" t="s">
        <v>355</v>
      </c>
      <c r="R1225" s="3">
        <v>2</v>
      </c>
      <c r="S1225" s="3">
        <v>46357.22</v>
      </c>
      <c r="T1225" s="3">
        <v>25</v>
      </c>
      <c r="U1225" s="3">
        <v>69535.83</v>
      </c>
      <c r="V1225" s="3">
        <v>34685.68</v>
      </c>
      <c r="W1225" s="3">
        <v>34850.15</v>
      </c>
      <c r="X1225" s="3">
        <v>50.12</v>
      </c>
      <c r="Y1225" s="3">
        <v>49</v>
      </c>
      <c r="Z1225" s="3" t="s">
        <v>48</v>
      </c>
      <c r="AA1225" s="3" t="s">
        <v>275</v>
      </c>
      <c r="AB1225" s="3" t="s">
        <v>101</v>
      </c>
      <c r="AC1225" s="3"/>
    </row>
    <row r="1226" spans="1:29" x14ac:dyDescent="0.3">
      <c r="A1226" s="2" t="s">
        <v>6111</v>
      </c>
      <c r="B1226" s="2" t="s">
        <v>6112</v>
      </c>
      <c r="C1226" s="2" t="s">
        <v>521</v>
      </c>
      <c r="D1226" s="2" t="s">
        <v>6113</v>
      </c>
      <c r="E1226" s="2" t="s">
        <v>33</v>
      </c>
      <c r="F1226" s="2" t="s">
        <v>1519</v>
      </c>
      <c r="G1226" s="2" t="s">
        <v>2630</v>
      </c>
      <c r="H1226" s="2" t="s">
        <v>2968</v>
      </c>
      <c r="I1226" s="2">
        <v>7</v>
      </c>
      <c r="J1226" s="2" t="s">
        <v>39</v>
      </c>
      <c r="K1226" s="2" t="s">
        <v>225</v>
      </c>
      <c r="L1226" s="2" t="s">
        <v>225</v>
      </c>
      <c r="M1226" s="2" t="s">
        <v>4153</v>
      </c>
      <c r="N1226" s="2" t="s">
        <v>623</v>
      </c>
      <c r="O1226" s="2" t="s">
        <v>19</v>
      </c>
      <c r="P1226" s="2" t="s">
        <v>297</v>
      </c>
      <c r="Q1226" s="2" t="s">
        <v>466</v>
      </c>
      <c r="R1226" s="2">
        <v>2</v>
      </c>
      <c r="S1226" s="2">
        <v>40893.49</v>
      </c>
      <c r="T1226" s="2">
        <v>10</v>
      </c>
      <c r="U1226" s="2">
        <v>73608.28</v>
      </c>
      <c r="V1226" s="2">
        <v>48968.73</v>
      </c>
      <c r="W1226" s="2">
        <v>24639.55</v>
      </c>
      <c r="X1226" s="2">
        <v>33.47</v>
      </c>
      <c r="Y1226" s="2">
        <v>149</v>
      </c>
      <c r="Z1226" s="2" t="s">
        <v>43</v>
      </c>
      <c r="AA1226" s="2" t="s">
        <v>100</v>
      </c>
      <c r="AB1226" s="2" t="s">
        <v>101</v>
      </c>
      <c r="AC1226" s="2"/>
    </row>
    <row r="1227" spans="1:29" x14ac:dyDescent="0.3">
      <c r="A1227" s="3" t="s">
        <v>6114</v>
      </c>
      <c r="B1227" s="3" t="s">
        <v>6115</v>
      </c>
      <c r="C1227" s="3" t="s">
        <v>1797</v>
      </c>
      <c r="D1227" s="3" t="s">
        <v>6116</v>
      </c>
      <c r="E1227" s="3" t="s">
        <v>26</v>
      </c>
      <c r="F1227" s="3" t="s">
        <v>2063</v>
      </c>
      <c r="G1227" s="3" t="s">
        <v>1113</v>
      </c>
      <c r="H1227" s="3" t="s">
        <v>1907</v>
      </c>
      <c r="I1227" s="3">
        <v>6</v>
      </c>
      <c r="J1227" s="3" t="s">
        <v>29</v>
      </c>
      <c r="K1227" s="3" t="s">
        <v>160</v>
      </c>
      <c r="L1227" s="3" t="s">
        <v>161</v>
      </c>
      <c r="M1227" s="3" t="s">
        <v>6117</v>
      </c>
      <c r="N1227" s="3" t="s">
        <v>1535</v>
      </c>
      <c r="O1227" s="3" t="s">
        <v>13</v>
      </c>
      <c r="P1227" s="3" t="s">
        <v>98</v>
      </c>
      <c r="Q1227" s="3" t="s">
        <v>400</v>
      </c>
      <c r="R1227" s="3">
        <v>5</v>
      </c>
      <c r="S1227" s="3">
        <v>29792.66</v>
      </c>
      <c r="T1227" s="3">
        <v>10</v>
      </c>
      <c r="U1227" s="3">
        <v>134066.97</v>
      </c>
      <c r="V1227" s="3">
        <v>91108.26</v>
      </c>
      <c r="W1227" s="3">
        <v>42958.71</v>
      </c>
      <c r="X1227" s="3">
        <v>32.04</v>
      </c>
      <c r="Y1227" s="3">
        <v>99</v>
      </c>
      <c r="Z1227" s="3" t="s">
        <v>48</v>
      </c>
      <c r="AA1227" s="3" t="s">
        <v>100</v>
      </c>
      <c r="AB1227" s="3" t="s">
        <v>101</v>
      </c>
      <c r="AC1227" s="3"/>
    </row>
    <row r="1228" spans="1:29" x14ac:dyDescent="0.3">
      <c r="A1228" s="2" t="s">
        <v>6118</v>
      </c>
      <c r="B1228" s="2" t="s">
        <v>6119</v>
      </c>
      <c r="C1228" s="2" t="s">
        <v>707</v>
      </c>
      <c r="D1228" s="2" t="s">
        <v>6120</v>
      </c>
      <c r="E1228" s="2" t="s">
        <v>26</v>
      </c>
      <c r="F1228" s="2" t="s">
        <v>2264</v>
      </c>
      <c r="G1228" s="2" t="s">
        <v>3378</v>
      </c>
      <c r="H1228" s="2" t="s">
        <v>2320</v>
      </c>
      <c r="I1228" s="2">
        <v>6</v>
      </c>
      <c r="J1228" s="2" t="s">
        <v>14</v>
      </c>
      <c r="K1228" s="2" t="s">
        <v>712</v>
      </c>
      <c r="L1228" s="2" t="s">
        <v>712</v>
      </c>
      <c r="M1228" s="2" t="s">
        <v>6121</v>
      </c>
      <c r="N1228" s="2" t="s">
        <v>112</v>
      </c>
      <c r="O1228" s="2" t="s">
        <v>27</v>
      </c>
      <c r="P1228" s="2" t="s">
        <v>113</v>
      </c>
      <c r="Q1228" s="2" t="s">
        <v>138</v>
      </c>
      <c r="R1228" s="2">
        <v>2</v>
      </c>
      <c r="S1228" s="2">
        <v>32386.240000000002</v>
      </c>
      <c r="T1228" s="2">
        <v>30</v>
      </c>
      <c r="U1228" s="2">
        <v>45340.74</v>
      </c>
      <c r="V1228" s="2">
        <v>27992.19</v>
      </c>
      <c r="W1228" s="2">
        <v>17348.55</v>
      </c>
      <c r="X1228" s="2">
        <v>38.26</v>
      </c>
      <c r="Y1228" s="2">
        <v>149</v>
      </c>
      <c r="Z1228" s="2" t="s">
        <v>15</v>
      </c>
      <c r="AA1228" s="2" t="s">
        <v>100</v>
      </c>
      <c r="AB1228" s="2" t="s">
        <v>101</v>
      </c>
      <c r="AC1228" s="2">
        <v>3</v>
      </c>
    </row>
    <row r="1229" spans="1:29" x14ac:dyDescent="0.3">
      <c r="A1229" s="3" t="s">
        <v>6122</v>
      </c>
      <c r="B1229" s="3" t="s">
        <v>4584</v>
      </c>
      <c r="C1229" s="3" t="s">
        <v>4342</v>
      </c>
      <c r="D1229" s="3" t="s">
        <v>6123</v>
      </c>
      <c r="E1229" s="3" t="s">
        <v>33</v>
      </c>
      <c r="F1229" s="3" t="s">
        <v>252</v>
      </c>
      <c r="G1229" s="3" t="s">
        <v>1776</v>
      </c>
      <c r="H1229" s="3" t="s">
        <v>6124</v>
      </c>
      <c r="I1229" s="3">
        <v>3</v>
      </c>
      <c r="J1229" s="3" t="s">
        <v>14</v>
      </c>
      <c r="K1229" s="3" t="s">
        <v>712</v>
      </c>
      <c r="L1229" s="3" t="s">
        <v>712</v>
      </c>
      <c r="M1229" s="3" t="s">
        <v>6125</v>
      </c>
      <c r="N1229" s="3" t="s">
        <v>592</v>
      </c>
      <c r="O1229" s="3" t="s">
        <v>21</v>
      </c>
      <c r="P1229" s="3" t="s">
        <v>206</v>
      </c>
      <c r="Q1229" s="3" t="s">
        <v>400</v>
      </c>
      <c r="R1229" s="3">
        <v>5</v>
      </c>
      <c r="S1229" s="3">
        <v>41577.230000000003</v>
      </c>
      <c r="T1229" s="3">
        <v>20</v>
      </c>
      <c r="U1229" s="3">
        <v>166308.92000000001</v>
      </c>
      <c r="V1229" s="3">
        <v>93169.94</v>
      </c>
      <c r="W1229" s="3">
        <v>73138.98</v>
      </c>
      <c r="X1229" s="3">
        <v>43.98</v>
      </c>
      <c r="Y1229" s="3">
        <v>49</v>
      </c>
      <c r="Z1229" s="3" t="s">
        <v>47</v>
      </c>
      <c r="AA1229" s="3" t="s">
        <v>100</v>
      </c>
      <c r="AB1229" s="3" t="s">
        <v>101</v>
      </c>
      <c r="AC1229" s="3"/>
    </row>
    <row r="1230" spans="1:29" x14ac:dyDescent="0.3">
      <c r="A1230" s="2" t="s">
        <v>6126</v>
      </c>
      <c r="B1230" s="2" t="s">
        <v>6127</v>
      </c>
      <c r="C1230" s="2" t="s">
        <v>4342</v>
      </c>
      <c r="D1230" s="2" t="s">
        <v>6128</v>
      </c>
      <c r="E1230" s="2" t="s">
        <v>18</v>
      </c>
      <c r="F1230" s="2" t="s">
        <v>937</v>
      </c>
      <c r="G1230" s="2" t="s">
        <v>3675</v>
      </c>
      <c r="H1230" s="2" t="s">
        <v>938</v>
      </c>
      <c r="I1230" s="2">
        <v>7</v>
      </c>
      <c r="J1230" s="2" t="s">
        <v>22</v>
      </c>
      <c r="K1230" s="2" t="s">
        <v>254</v>
      </c>
      <c r="L1230" s="2" t="s">
        <v>254</v>
      </c>
      <c r="M1230" s="2" t="s">
        <v>2769</v>
      </c>
      <c r="N1230" s="2" t="s">
        <v>205</v>
      </c>
      <c r="O1230" s="2" t="s">
        <v>21</v>
      </c>
      <c r="P1230" s="2" t="s">
        <v>206</v>
      </c>
      <c r="Q1230" s="2" t="s">
        <v>246</v>
      </c>
      <c r="R1230" s="2">
        <v>2</v>
      </c>
      <c r="S1230" s="2">
        <v>16427.54</v>
      </c>
      <c r="T1230" s="2">
        <v>20</v>
      </c>
      <c r="U1230" s="2">
        <v>26284.06</v>
      </c>
      <c r="V1230" s="2">
        <v>14124.05</v>
      </c>
      <c r="W1230" s="2">
        <v>12160.01</v>
      </c>
      <c r="X1230" s="2">
        <v>46.26</v>
      </c>
      <c r="Y1230" s="2">
        <v>149</v>
      </c>
      <c r="Z1230" s="2" t="s">
        <v>15</v>
      </c>
      <c r="AA1230" s="2" t="s">
        <v>672</v>
      </c>
      <c r="AB1230" s="2" t="s">
        <v>101</v>
      </c>
      <c r="AC1230" s="2"/>
    </row>
    <row r="1231" spans="1:29" x14ac:dyDescent="0.3">
      <c r="A1231" s="3" t="s">
        <v>6129</v>
      </c>
      <c r="B1231" s="3" t="s">
        <v>4022</v>
      </c>
      <c r="C1231" s="3" t="s">
        <v>1196</v>
      </c>
      <c r="D1231" s="3" t="s">
        <v>6130</v>
      </c>
      <c r="E1231" s="3" t="s">
        <v>26</v>
      </c>
      <c r="F1231" s="3" t="s">
        <v>2002</v>
      </c>
      <c r="G1231" s="3" t="s">
        <v>1415</v>
      </c>
      <c r="H1231" s="3" t="s">
        <v>1147</v>
      </c>
      <c r="I1231" s="3">
        <v>4</v>
      </c>
      <c r="J1231" s="3" t="s">
        <v>22</v>
      </c>
      <c r="K1231" s="3" t="s">
        <v>738</v>
      </c>
      <c r="L1231" s="3" t="s">
        <v>738</v>
      </c>
      <c r="M1231" s="3" t="s">
        <v>4028</v>
      </c>
      <c r="N1231" s="3" t="s">
        <v>484</v>
      </c>
      <c r="O1231" s="3" t="s">
        <v>13</v>
      </c>
      <c r="P1231" s="3" t="s">
        <v>98</v>
      </c>
      <c r="Q1231" s="3" t="s">
        <v>207</v>
      </c>
      <c r="R1231" s="3">
        <v>4</v>
      </c>
      <c r="S1231" s="3">
        <v>18042.91</v>
      </c>
      <c r="T1231" s="3">
        <v>25</v>
      </c>
      <c r="U1231" s="3">
        <v>54128.73</v>
      </c>
      <c r="V1231" s="3">
        <v>37816.86</v>
      </c>
      <c r="W1231" s="3">
        <v>16311.87</v>
      </c>
      <c r="X1231" s="3">
        <v>30.14</v>
      </c>
      <c r="Y1231" s="3">
        <v>199</v>
      </c>
      <c r="Z1231" s="3" t="s">
        <v>15</v>
      </c>
      <c r="AA1231" s="3" t="s">
        <v>186</v>
      </c>
      <c r="AB1231" s="3" t="s">
        <v>101</v>
      </c>
      <c r="AC1231" s="3"/>
    </row>
    <row r="1232" spans="1:29" x14ac:dyDescent="0.3">
      <c r="A1232" s="2" t="s">
        <v>6131</v>
      </c>
      <c r="B1232" s="2" t="s">
        <v>6132</v>
      </c>
      <c r="C1232" s="2" t="s">
        <v>249</v>
      </c>
      <c r="D1232" s="2" t="s">
        <v>6133</v>
      </c>
      <c r="E1232" s="2" t="s">
        <v>33</v>
      </c>
      <c r="F1232" s="2" t="s">
        <v>1429</v>
      </c>
      <c r="G1232" s="2" t="s">
        <v>3134</v>
      </c>
      <c r="H1232" s="2" t="s">
        <v>894</v>
      </c>
      <c r="I1232" s="2">
        <v>7</v>
      </c>
      <c r="J1232" s="2" t="s">
        <v>29</v>
      </c>
      <c r="K1232" s="2" t="s">
        <v>834</v>
      </c>
      <c r="L1232" s="2" t="s">
        <v>835</v>
      </c>
      <c r="M1232" s="2" t="s">
        <v>6134</v>
      </c>
      <c r="N1232" s="2" t="s">
        <v>418</v>
      </c>
      <c r="O1232" s="2" t="s">
        <v>13</v>
      </c>
      <c r="P1232" s="2" t="s">
        <v>419</v>
      </c>
      <c r="Q1232" s="2" t="s">
        <v>197</v>
      </c>
      <c r="R1232" s="2">
        <v>5</v>
      </c>
      <c r="S1232" s="2">
        <v>45278.37</v>
      </c>
      <c r="T1232" s="2">
        <v>30</v>
      </c>
      <c r="U1232" s="2">
        <v>158474.29</v>
      </c>
      <c r="V1232" s="2">
        <v>95782.37</v>
      </c>
      <c r="W1232" s="2">
        <v>62691.92</v>
      </c>
      <c r="X1232" s="2">
        <v>39.56</v>
      </c>
      <c r="Y1232" s="2">
        <v>49</v>
      </c>
      <c r="Z1232" s="2" t="s">
        <v>30</v>
      </c>
      <c r="AA1232" s="2" t="s">
        <v>100</v>
      </c>
      <c r="AB1232" s="2" t="s">
        <v>101</v>
      </c>
      <c r="AC1232" s="2">
        <v>1</v>
      </c>
    </row>
    <row r="1233" spans="1:29" x14ac:dyDescent="0.3">
      <c r="A1233" s="3" t="s">
        <v>6135</v>
      </c>
      <c r="B1233" s="3" t="s">
        <v>6136</v>
      </c>
      <c r="C1233" s="3" t="s">
        <v>1335</v>
      </c>
      <c r="D1233" s="3" t="s">
        <v>6137</v>
      </c>
      <c r="E1233" s="3" t="s">
        <v>42</v>
      </c>
      <c r="F1233" s="3" t="s">
        <v>2270</v>
      </c>
      <c r="G1233" s="3" t="s">
        <v>3015</v>
      </c>
      <c r="H1233" s="3" t="s">
        <v>1486</v>
      </c>
      <c r="I1233" s="3">
        <v>5</v>
      </c>
      <c r="J1233" s="3" t="s">
        <v>39</v>
      </c>
      <c r="K1233" s="3" t="s">
        <v>193</v>
      </c>
      <c r="L1233" s="3" t="s">
        <v>193</v>
      </c>
      <c r="M1233" s="3" t="s">
        <v>1022</v>
      </c>
      <c r="N1233" s="3" t="s">
        <v>3017</v>
      </c>
      <c r="O1233" s="3" t="s">
        <v>13</v>
      </c>
      <c r="P1233" s="3" t="s">
        <v>419</v>
      </c>
      <c r="Q1233" s="3" t="s">
        <v>246</v>
      </c>
      <c r="R1233" s="3">
        <v>2</v>
      </c>
      <c r="S1233" s="3">
        <v>21756.18</v>
      </c>
      <c r="T1233" s="3">
        <v>0</v>
      </c>
      <c r="U1233" s="3">
        <v>43512.36</v>
      </c>
      <c r="V1233" s="3">
        <v>23482.69</v>
      </c>
      <c r="W1233" s="3">
        <v>20029.669999999998</v>
      </c>
      <c r="X1233" s="3">
        <v>46.03</v>
      </c>
      <c r="Y1233" s="3">
        <v>29</v>
      </c>
      <c r="Z1233" s="3" t="s">
        <v>23</v>
      </c>
      <c r="AA1233" s="3" t="s">
        <v>100</v>
      </c>
      <c r="AB1233" s="3" t="s">
        <v>101</v>
      </c>
      <c r="AC1233" s="3">
        <v>1</v>
      </c>
    </row>
    <row r="1234" spans="1:29" x14ac:dyDescent="0.3">
      <c r="A1234" s="2" t="s">
        <v>6138</v>
      </c>
      <c r="B1234" s="2" t="s">
        <v>6139</v>
      </c>
      <c r="C1234" s="2" t="s">
        <v>695</v>
      </c>
      <c r="D1234" s="2" t="s">
        <v>6140</v>
      </c>
      <c r="E1234" s="2" t="s">
        <v>42</v>
      </c>
      <c r="F1234" s="2" t="s">
        <v>6141</v>
      </c>
      <c r="G1234" s="2" t="s">
        <v>1640</v>
      </c>
      <c r="H1234" s="2" t="s">
        <v>3388</v>
      </c>
      <c r="I1234" s="2">
        <v>4</v>
      </c>
      <c r="J1234" s="2" t="s">
        <v>29</v>
      </c>
      <c r="K1234" s="2" t="s">
        <v>148</v>
      </c>
      <c r="L1234" s="2" t="s">
        <v>148</v>
      </c>
      <c r="M1234" s="2" t="s">
        <v>4648</v>
      </c>
      <c r="N1234" s="2" t="s">
        <v>256</v>
      </c>
      <c r="O1234" s="2" t="s">
        <v>27</v>
      </c>
      <c r="P1234" s="2" t="s">
        <v>257</v>
      </c>
      <c r="Q1234" s="2" t="s">
        <v>246</v>
      </c>
      <c r="R1234" s="2">
        <v>5</v>
      </c>
      <c r="S1234" s="2">
        <v>38215.71</v>
      </c>
      <c r="T1234" s="2">
        <v>10</v>
      </c>
      <c r="U1234" s="2">
        <v>171970.7</v>
      </c>
      <c r="V1234" s="2">
        <v>96621.74</v>
      </c>
      <c r="W1234" s="2">
        <v>75348.960000000006</v>
      </c>
      <c r="X1234" s="2">
        <v>43.81</v>
      </c>
      <c r="Y1234" s="2">
        <v>199</v>
      </c>
      <c r="Z1234" s="2" t="s">
        <v>15</v>
      </c>
      <c r="AA1234" s="2" t="s">
        <v>100</v>
      </c>
      <c r="AB1234" s="2" t="s">
        <v>101</v>
      </c>
      <c r="AC1234" s="2">
        <v>1</v>
      </c>
    </row>
    <row r="1235" spans="1:29" x14ac:dyDescent="0.3">
      <c r="A1235" s="3" t="s">
        <v>6142</v>
      </c>
      <c r="B1235" s="3" t="s">
        <v>6143</v>
      </c>
      <c r="C1235" s="3" t="s">
        <v>1068</v>
      </c>
      <c r="D1235" s="3" t="s">
        <v>6144</v>
      </c>
      <c r="E1235" s="3" t="s">
        <v>18</v>
      </c>
      <c r="F1235" s="3" t="s">
        <v>2617</v>
      </c>
      <c r="G1235" s="3" t="s">
        <v>1870</v>
      </c>
      <c r="H1235" s="3" t="s">
        <v>2618</v>
      </c>
      <c r="I1235" s="3">
        <v>2</v>
      </c>
      <c r="J1235" s="3" t="s">
        <v>29</v>
      </c>
      <c r="K1235" s="3" t="s">
        <v>427</v>
      </c>
      <c r="L1235" s="3" t="s">
        <v>1081</v>
      </c>
      <c r="M1235" s="3" t="s">
        <v>6145</v>
      </c>
      <c r="N1235" s="3" t="s">
        <v>704</v>
      </c>
      <c r="O1235" s="3" t="s">
        <v>13</v>
      </c>
      <c r="P1235" s="3" t="s">
        <v>419</v>
      </c>
      <c r="Q1235" s="3" t="s">
        <v>466</v>
      </c>
      <c r="R1235" s="3">
        <v>2</v>
      </c>
      <c r="S1235" s="3">
        <v>13131.06</v>
      </c>
      <c r="T1235" s="3">
        <v>5</v>
      </c>
      <c r="U1235" s="3">
        <v>24949.01</v>
      </c>
      <c r="V1235" s="3">
        <v>12719.62</v>
      </c>
      <c r="W1235" s="3">
        <v>12229.39</v>
      </c>
      <c r="X1235" s="3">
        <v>49.02</v>
      </c>
      <c r="Y1235" s="3">
        <v>99</v>
      </c>
      <c r="Z1235" s="3" t="s">
        <v>43</v>
      </c>
      <c r="AA1235" s="3" t="s">
        <v>275</v>
      </c>
      <c r="AB1235" s="3" t="s">
        <v>101</v>
      </c>
      <c r="AC1235" s="3"/>
    </row>
    <row r="1236" spans="1:29" x14ac:dyDescent="0.3">
      <c r="A1236" s="2" t="s">
        <v>6146</v>
      </c>
      <c r="B1236" s="2" t="s">
        <v>6147</v>
      </c>
      <c r="C1236" s="2" t="s">
        <v>1637</v>
      </c>
      <c r="D1236" s="2" t="s">
        <v>6148</v>
      </c>
      <c r="E1236" s="2" t="s">
        <v>33</v>
      </c>
      <c r="F1236" s="2" t="s">
        <v>2132</v>
      </c>
      <c r="G1236" s="2" t="s">
        <v>1120</v>
      </c>
      <c r="H1236" s="2" t="s">
        <v>2553</v>
      </c>
      <c r="I1236" s="2">
        <v>3</v>
      </c>
      <c r="J1236" s="2" t="s">
        <v>39</v>
      </c>
      <c r="K1236" s="2" t="s">
        <v>109</v>
      </c>
      <c r="L1236" s="2" t="s">
        <v>134</v>
      </c>
      <c r="M1236" s="2" t="s">
        <v>6149</v>
      </c>
      <c r="N1236" s="2" t="s">
        <v>1802</v>
      </c>
      <c r="O1236" s="2" t="s">
        <v>28</v>
      </c>
      <c r="P1236" s="2" t="s">
        <v>137</v>
      </c>
      <c r="Q1236" s="2" t="s">
        <v>114</v>
      </c>
      <c r="R1236" s="2">
        <v>4</v>
      </c>
      <c r="S1236" s="2">
        <v>38337.61</v>
      </c>
      <c r="T1236" s="2">
        <v>30</v>
      </c>
      <c r="U1236" s="2">
        <v>107345.31</v>
      </c>
      <c r="V1236" s="2">
        <v>66203.39</v>
      </c>
      <c r="W1236" s="2">
        <v>41141.919999999998</v>
      </c>
      <c r="X1236" s="2">
        <v>38.33</v>
      </c>
      <c r="Y1236" s="2">
        <v>149</v>
      </c>
      <c r="Z1236" s="2" t="s">
        <v>40</v>
      </c>
      <c r="AA1236" s="2" t="s">
        <v>139</v>
      </c>
      <c r="AB1236" s="2" t="s">
        <v>140</v>
      </c>
      <c r="AC1236" s="2"/>
    </row>
    <row r="1237" spans="1:29" x14ac:dyDescent="0.3">
      <c r="A1237" s="3" t="s">
        <v>6150</v>
      </c>
      <c r="B1237" s="3" t="s">
        <v>6151</v>
      </c>
      <c r="C1237" s="3" t="s">
        <v>2460</v>
      </c>
      <c r="D1237" s="3" t="s">
        <v>6152</v>
      </c>
      <c r="E1237" s="3" t="s">
        <v>26</v>
      </c>
      <c r="F1237" s="3" t="s">
        <v>2524</v>
      </c>
      <c r="G1237" s="3" t="s">
        <v>2525</v>
      </c>
      <c r="H1237" s="3" t="s">
        <v>2226</v>
      </c>
      <c r="I1237" s="3">
        <v>6</v>
      </c>
      <c r="J1237" s="3" t="s">
        <v>29</v>
      </c>
      <c r="K1237" s="3" t="s">
        <v>334</v>
      </c>
      <c r="L1237" s="3" t="s">
        <v>614</v>
      </c>
      <c r="M1237" s="3" t="s">
        <v>6153</v>
      </c>
      <c r="N1237" s="3" t="s">
        <v>399</v>
      </c>
      <c r="O1237" s="3" t="s">
        <v>21</v>
      </c>
      <c r="P1237" s="3" t="s">
        <v>196</v>
      </c>
      <c r="Q1237" s="3" t="s">
        <v>608</v>
      </c>
      <c r="R1237" s="3">
        <v>5</v>
      </c>
      <c r="S1237" s="3">
        <v>35104.959999999999</v>
      </c>
      <c r="T1237" s="3">
        <v>15</v>
      </c>
      <c r="U1237" s="3">
        <v>149196.07999999999</v>
      </c>
      <c r="V1237" s="3">
        <v>68246.240000000005</v>
      </c>
      <c r="W1237" s="3">
        <v>80949.84</v>
      </c>
      <c r="X1237" s="3">
        <v>54.26</v>
      </c>
      <c r="Y1237" s="3">
        <v>199</v>
      </c>
      <c r="Z1237" s="3" t="s">
        <v>30</v>
      </c>
      <c r="AA1237" s="3" t="s">
        <v>100</v>
      </c>
      <c r="AB1237" s="3" t="s">
        <v>101</v>
      </c>
      <c r="AC1237" s="3">
        <v>5</v>
      </c>
    </row>
    <row r="1238" spans="1:29" x14ac:dyDescent="0.3">
      <c r="A1238" s="2" t="s">
        <v>6154</v>
      </c>
      <c r="B1238" s="2" t="s">
        <v>6155</v>
      </c>
      <c r="C1238" s="2" t="s">
        <v>791</v>
      </c>
      <c r="D1238" s="2" t="s">
        <v>6156</v>
      </c>
      <c r="E1238" s="2" t="s">
        <v>18</v>
      </c>
      <c r="F1238" s="2" t="s">
        <v>2047</v>
      </c>
      <c r="G1238" s="2" t="s">
        <v>3383</v>
      </c>
      <c r="H1238" s="2" t="s">
        <v>2477</v>
      </c>
      <c r="I1238" s="2">
        <v>7</v>
      </c>
      <c r="J1238" s="2" t="s">
        <v>39</v>
      </c>
      <c r="K1238" s="2" t="s">
        <v>109</v>
      </c>
      <c r="L1238" s="2" t="s">
        <v>134</v>
      </c>
      <c r="M1238" s="2" t="s">
        <v>6157</v>
      </c>
      <c r="N1238" s="2" t="s">
        <v>399</v>
      </c>
      <c r="O1238" s="2" t="s">
        <v>21</v>
      </c>
      <c r="P1238" s="2" t="s">
        <v>196</v>
      </c>
      <c r="Q1238" s="2" t="s">
        <v>138</v>
      </c>
      <c r="R1238" s="2">
        <v>2</v>
      </c>
      <c r="S1238" s="2">
        <v>19496.490000000002</v>
      </c>
      <c r="T1238" s="2">
        <v>15</v>
      </c>
      <c r="U1238" s="2">
        <v>33144.03</v>
      </c>
      <c r="V1238" s="2">
        <v>20540.16</v>
      </c>
      <c r="W1238" s="2">
        <v>12603.87</v>
      </c>
      <c r="X1238" s="2">
        <v>38.03</v>
      </c>
      <c r="Y1238" s="2">
        <v>0</v>
      </c>
      <c r="Z1238" s="2" t="s">
        <v>47</v>
      </c>
      <c r="AA1238" s="2" t="s">
        <v>100</v>
      </c>
      <c r="AB1238" s="2" t="s">
        <v>101</v>
      </c>
      <c r="AC1238" s="2"/>
    </row>
    <row r="1239" spans="1:29" x14ac:dyDescent="0.3">
      <c r="A1239" s="3" t="s">
        <v>6158</v>
      </c>
      <c r="B1239" s="3" t="s">
        <v>6159</v>
      </c>
      <c r="C1239" s="3" t="s">
        <v>847</v>
      </c>
      <c r="D1239" s="3" t="s">
        <v>6160</v>
      </c>
      <c r="E1239" s="3" t="s">
        <v>33</v>
      </c>
      <c r="F1239" s="3" t="s">
        <v>2698</v>
      </c>
      <c r="G1239" s="3" t="s">
        <v>5274</v>
      </c>
      <c r="H1239" s="3" t="s">
        <v>3553</v>
      </c>
      <c r="I1239" s="3">
        <v>2</v>
      </c>
      <c r="J1239" s="3" t="s">
        <v>39</v>
      </c>
      <c r="K1239" s="3" t="s">
        <v>324</v>
      </c>
      <c r="L1239" s="3" t="s">
        <v>1028</v>
      </c>
      <c r="M1239" s="3" t="s">
        <v>6161</v>
      </c>
      <c r="N1239" s="3" t="s">
        <v>150</v>
      </c>
      <c r="O1239" s="3" t="s">
        <v>28</v>
      </c>
      <c r="P1239" s="3" t="s">
        <v>151</v>
      </c>
      <c r="Q1239" s="3" t="s">
        <v>138</v>
      </c>
      <c r="R1239" s="3">
        <v>1</v>
      </c>
      <c r="S1239" s="3">
        <v>27147.22</v>
      </c>
      <c r="T1239" s="3">
        <v>15</v>
      </c>
      <c r="U1239" s="3">
        <v>23075.14</v>
      </c>
      <c r="V1239" s="3">
        <v>13814.2</v>
      </c>
      <c r="W1239" s="3">
        <v>9260.94</v>
      </c>
      <c r="X1239" s="3">
        <v>40.130000000000003</v>
      </c>
      <c r="Y1239" s="3">
        <v>0</v>
      </c>
      <c r="Z1239" s="3" t="s">
        <v>15</v>
      </c>
      <c r="AA1239" s="3" t="s">
        <v>100</v>
      </c>
      <c r="AB1239" s="3" t="s">
        <v>101</v>
      </c>
      <c r="AC1239" s="3">
        <v>3</v>
      </c>
    </row>
    <row r="1240" spans="1:29" x14ac:dyDescent="0.3">
      <c r="A1240" s="2" t="s">
        <v>6162</v>
      </c>
      <c r="B1240" s="2" t="s">
        <v>6163</v>
      </c>
      <c r="C1240" s="2" t="s">
        <v>1326</v>
      </c>
      <c r="D1240" s="2" t="s">
        <v>6164</v>
      </c>
      <c r="E1240" s="2" t="s">
        <v>33</v>
      </c>
      <c r="F1240" s="2" t="s">
        <v>1057</v>
      </c>
      <c r="G1240" s="2" t="s">
        <v>3825</v>
      </c>
      <c r="H1240" s="2" t="s">
        <v>2370</v>
      </c>
      <c r="I1240" s="2">
        <v>3</v>
      </c>
      <c r="J1240" s="2" t="s">
        <v>22</v>
      </c>
      <c r="K1240" s="2" t="s">
        <v>738</v>
      </c>
      <c r="L1240" s="2" t="s">
        <v>738</v>
      </c>
      <c r="M1240" s="2" t="s">
        <v>4792</v>
      </c>
      <c r="N1240" s="2" t="s">
        <v>964</v>
      </c>
      <c r="O1240" s="2" t="s">
        <v>13</v>
      </c>
      <c r="P1240" s="2" t="s">
        <v>98</v>
      </c>
      <c r="Q1240" s="2" t="s">
        <v>127</v>
      </c>
      <c r="R1240" s="2">
        <v>1</v>
      </c>
      <c r="S1240" s="2">
        <v>31442.67</v>
      </c>
      <c r="T1240" s="2">
        <v>25</v>
      </c>
      <c r="U1240" s="2">
        <v>23582</v>
      </c>
      <c r="V1240" s="2">
        <v>13151.69</v>
      </c>
      <c r="W1240" s="2">
        <v>10430.31</v>
      </c>
      <c r="X1240" s="2">
        <v>44.23</v>
      </c>
      <c r="Y1240" s="2">
        <v>199</v>
      </c>
      <c r="Z1240" s="2" t="s">
        <v>47</v>
      </c>
      <c r="AA1240" s="2" t="s">
        <v>100</v>
      </c>
      <c r="AB1240" s="2" t="s">
        <v>101</v>
      </c>
      <c r="AC1240" s="2">
        <v>5</v>
      </c>
    </row>
    <row r="1241" spans="1:29" x14ac:dyDescent="0.3">
      <c r="A1241" s="3" t="s">
        <v>6165</v>
      </c>
      <c r="B1241" s="3" t="s">
        <v>6166</v>
      </c>
      <c r="C1241" s="3" t="s">
        <v>1286</v>
      </c>
      <c r="D1241" s="3" t="s">
        <v>6167</v>
      </c>
      <c r="E1241" s="3" t="s">
        <v>42</v>
      </c>
      <c r="F1241" s="3" t="s">
        <v>589</v>
      </c>
      <c r="G1241" s="3" t="s">
        <v>2349</v>
      </c>
      <c r="H1241" s="3" t="s">
        <v>590</v>
      </c>
      <c r="I1241" s="3">
        <v>2</v>
      </c>
      <c r="J1241" s="3" t="s">
        <v>29</v>
      </c>
      <c r="K1241" s="3" t="s">
        <v>427</v>
      </c>
      <c r="L1241" s="3" t="s">
        <v>1081</v>
      </c>
      <c r="M1241" s="3" t="s">
        <v>5341</v>
      </c>
      <c r="N1241" s="3" t="s">
        <v>3017</v>
      </c>
      <c r="O1241" s="3" t="s">
        <v>13</v>
      </c>
      <c r="P1241" s="3" t="s">
        <v>419</v>
      </c>
      <c r="Q1241" s="3" t="s">
        <v>218</v>
      </c>
      <c r="R1241" s="3">
        <v>4</v>
      </c>
      <c r="S1241" s="3">
        <v>21453.03</v>
      </c>
      <c r="T1241" s="3">
        <v>25</v>
      </c>
      <c r="U1241" s="3">
        <v>64359.09</v>
      </c>
      <c r="V1241" s="3">
        <v>35385.08</v>
      </c>
      <c r="W1241" s="3">
        <v>28974.01</v>
      </c>
      <c r="X1241" s="3">
        <v>45.02</v>
      </c>
      <c r="Y1241" s="3">
        <v>29</v>
      </c>
      <c r="Z1241" s="3" t="s">
        <v>47</v>
      </c>
      <c r="AA1241" s="3" t="s">
        <v>186</v>
      </c>
      <c r="AB1241" s="3" t="s">
        <v>101</v>
      </c>
      <c r="AC1241" s="3"/>
    </row>
    <row r="1242" spans="1:29" x14ac:dyDescent="0.3">
      <c r="A1242" s="2" t="s">
        <v>6168</v>
      </c>
      <c r="B1242" s="2" t="s">
        <v>6169</v>
      </c>
      <c r="C1242" s="2" t="s">
        <v>469</v>
      </c>
      <c r="D1242" s="2" t="s">
        <v>6170</v>
      </c>
      <c r="E1242" s="2" t="s">
        <v>26</v>
      </c>
      <c r="F1242" s="2" t="s">
        <v>747</v>
      </c>
      <c r="G1242" s="2" t="s">
        <v>2855</v>
      </c>
      <c r="H1242" s="2" t="s">
        <v>2921</v>
      </c>
      <c r="I1242" s="2">
        <v>4</v>
      </c>
      <c r="J1242" s="2" t="s">
        <v>14</v>
      </c>
      <c r="K1242" s="2" t="s">
        <v>712</v>
      </c>
      <c r="L1242" s="2" t="s">
        <v>712</v>
      </c>
      <c r="M1242" s="2" t="s">
        <v>647</v>
      </c>
      <c r="N1242" s="2" t="s">
        <v>1223</v>
      </c>
      <c r="O1242" s="2" t="s">
        <v>19</v>
      </c>
      <c r="P1242" s="2" t="s">
        <v>447</v>
      </c>
      <c r="Q1242" s="2" t="s">
        <v>400</v>
      </c>
      <c r="R1242" s="2">
        <v>5</v>
      </c>
      <c r="S1242" s="2">
        <v>25934.78</v>
      </c>
      <c r="T1242" s="2">
        <v>5</v>
      </c>
      <c r="U1242" s="2">
        <v>123190.2</v>
      </c>
      <c r="V1242" s="2">
        <v>66892.81</v>
      </c>
      <c r="W1242" s="2">
        <v>56297.39</v>
      </c>
      <c r="X1242" s="2">
        <v>45.7</v>
      </c>
      <c r="Y1242" s="2">
        <v>99</v>
      </c>
      <c r="Z1242" s="2" t="s">
        <v>43</v>
      </c>
      <c r="AA1242" s="2" t="s">
        <v>275</v>
      </c>
      <c r="AB1242" s="2" t="s">
        <v>101</v>
      </c>
      <c r="AC1242" s="2"/>
    </row>
    <row r="1243" spans="1:29" x14ac:dyDescent="0.3">
      <c r="A1243" s="3" t="s">
        <v>6171</v>
      </c>
      <c r="B1243" s="3" t="s">
        <v>6172</v>
      </c>
      <c r="C1243" s="3" t="s">
        <v>432</v>
      </c>
      <c r="D1243" s="3" t="s">
        <v>6173</v>
      </c>
      <c r="E1243" s="3" t="s">
        <v>18</v>
      </c>
      <c r="F1243" s="3" t="s">
        <v>3740</v>
      </c>
      <c r="G1243" s="3" t="s">
        <v>2293</v>
      </c>
      <c r="H1243" s="3" t="s">
        <v>1255</v>
      </c>
      <c r="I1243" s="3">
        <v>7</v>
      </c>
      <c r="J1243" s="3" t="s">
        <v>39</v>
      </c>
      <c r="K1243" s="3" t="s">
        <v>225</v>
      </c>
      <c r="L1243" s="3" t="s">
        <v>225</v>
      </c>
      <c r="M1243" s="3" t="s">
        <v>5952</v>
      </c>
      <c r="N1243" s="3" t="s">
        <v>217</v>
      </c>
      <c r="O1243" s="3" t="s">
        <v>21</v>
      </c>
      <c r="P1243" s="3" t="s">
        <v>206</v>
      </c>
      <c r="Q1243" s="3" t="s">
        <v>287</v>
      </c>
      <c r="R1243" s="3">
        <v>2</v>
      </c>
      <c r="S1243" s="3">
        <v>42876.93</v>
      </c>
      <c r="T1243" s="3">
        <v>0</v>
      </c>
      <c r="U1243" s="3">
        <v>85753.86</v>
      </c>
      <c r="V1243" s="3">
        <v>46057.15</v>
      </c>
      <c r="W1243" s="3">
        <v>39696.71</v>
      </c>
      <c r="X1243" s="3">
        <v>46.29</v>
      </c>
      <c r="Y1243" s="3">
        <v>49</v>
      </c>
      <c r="Z1243" s="3" t="s">
        <v>40</v>
      </c>
      <c r="AA1243" s="3" t="s">
        <v>186</v>
      </c>
      <c r="AB1243" s="3" t="s">
        <v>101</v>
      </c>
      <c r="AC1243" s="3"/>
    </row>
    <row r="1244" spans="1:29" x14ac:dyDescent="0.3">
      <c r="A1244" s="2" t="s">
        <v>6174</v>
      </c>
      <c r="B1244" s="2" t="s">
        <v>6175</v>
      </c>
      <c r="C1244" s="2" t="s">
        <v>309</v>
      </c>
      <c r="D1244" s="2" t="s">
        <v>5751</v>
      </c>
      <c r="E1244" s="2" t="s">
        <v>42</v>
      </c>
      <c r="F1244" s="2" t="s">
        <v>2253</v>
      </c>
      <c r="G1244" s="2" t="s">
        <v>2365</v>
      </c>
      <c r="H1244" s="2" t="s">
        <v>1696</v>
      </c>
      <c r="I1244" s="2">
        <v>5</v>
      </c>
      <c r="J1244" s="2" t="s">
        <v>39</v>
      </c>
      <c r="K1244" s="2" t="s">
        <v>109</v>
      </c>
      <c r="L1244" s="2" t="s">
        <v>344</v>
      </c>
      <c r="M1244" s="2" t="s">
        <v>4426</v>
      </c>
      <c r="N1244" s="2" t="s">
        <v>306</v>
      </c>
      <c r="O1244" s="2" t="s">
        <v>21</v>
      </c>
      <c r="P1244" s="2" t="s">
        <v>126</v>
      </c>
      <c r="Q1244" s="2" t="s">
        <v>197</v>
      </c>
      <c r="R1244" s="2">
        <v>2</v>
      </c>
      <c r="S1244" s="2">
        <v>49987.67</v>
      </c>
      <c r="T1244" s="2">
        <v>5</v>
      </c>
      <c r="U1244" s="2">
        <v>94976.57</v>
      </c>
      <c r="V1244" s="2">
        <v>58401.57</v>
      </c>
      <c r="W1244" s="2">
        <v>36575</v>
      </c>
      <c r="X1244" s="2">
        <v>38.51</v>
      </c>
      <c r="Y1244" s="2">
        <v>199</v>
      </c>
      <c r="Z1244" s="2" t="s">
        <v>15</v>
      </c>
      <c r="AA1244" s="2" t="s">
        <v>186</v>
      </c>
      <c r="AB1244" s="2" t="s">
        <v>101</v>
      </c>
      <c r="AC1244" s="2"/>
    </row>
    <row r="1245" spans="1:29" x14ac:dyDescent="0.3">
      <c r="A1245" s="3" t="s">
        <v>6176</v>
      </c>
      <c r="B1245" s="3" t="s">
        <v>6177</v>
      </c>
      <c r="C1245" s="3" t="s">
        <v>1054</v>
      </c>
      <c r="D1245" s="3" t="s">
        <v>6178</v>
      </c>
      <c r="E1245" s="3" t="s">
        <v>33</v>
      </c>
      <c r="F1245" s="3" t="s">
        <v>4416</v>
      </c>
      <c r="G1245" s="3" t="s">
        <v>2127</v>
      </c>
      <c r="H1245" s="3" t="s">
        <v>1586</v>
      </c>
      <c r="I1245" s="3">
        <v>7</v>
      </c>
      <c r="J1245" s="3" t="s">
        <v>29</v>
      </c>
      <c r="K1245" s="3" t="s">
        <v>148</v>
      </c>
      <c r="L1245" s="3" t="s">
        <v>148</v>
      </c>
      <c r="M1245" s="3" t="s">
        <v>663</v>
      </c>
      <c r="N1245" s="3" t="s">
        <v>931</v>
      </c>
      <c r="O1245" s="3" t="s">
        <v>13</v>
      </c>
      <c r="P1245" s="3" t="s">
        <v>419</v>
      </c>
      <c r="Q1245" s="3" t="s">
        <v>218</v>
      </c>
      <c r="R1245" s="3">
        <v>5</v>
      </c>
      <c r="S1245" s="3">
        <v>44517.69</v>
      </c>
      <c r="T1245" s="3">
        <v>10</v>
      </c>
      <c r="U1245" s="3">
        <v>200329.61</v>
      </c>
      <c r="V1245" s="3">
        <v>121796.44</v>
      </c>
      <c r="W1245" s="3">
        <v>78533.17</v>
      </c>
      <c r="X1245" s="3">
        <v>39.200000000000003</v>
      </c>
      <c r="Y1245" s="3">
        <v>199</v>
      </c>
      <c r="Z1245" s="3" t="s">
        <v>40</v>
      </c>
      <c r="AA1245" s="3" t="s">
        <v>139</v>
      </c>
      <c r="AB1245" s="3" t="s">
        <v>140</v>
      </c>
      <c r="AC1245" s="3"/>
    </row>
    <row r="1246" spans="1:29" x14ac:dyDescent="0.3">
      <c r="A1246" s="2" t="s">
        <v>6179</v>
      </c>
      <c r="B1246" s="2" t="s">
        <v>6180</v>
      </c>
      <c r="C1246" s="2" t="s">
        <v>319</v>
      </c>
      <c r="D1246" s="2" t="s">
        <v>6181</v>
      </c>
      <c r="E1246" s="2" t="s">
        <v>26</v>
      </c>
      <c r="F1246" s="2" t="s">
        <v>2167</v>
      </c>
      <c r="G1246" s="2" t="s">
        <v>1889</v>
      </c>
      <c r="H1246" s="2" t="s">
        <v>2168</v>
      </c>
      <c r="I1246" s="2">
        <v>7</v>
      </c>
      <c r="J1246" s="2" t="s">
        <v>22</v>
      </c>
      <c r="K1246" s="2" t="s">
        <v>254</v>
      </c>
      <c r="L1246" s="2" t="s">
        <v>254</v>
      </c>
      <c r="M1246" s="2" t="s">
        <v>6182</v>
      </c>
      <c r="N1246" s="2" t="s">
        <v>286</v>
      </c>
      <c r="O1246" s="2" t="s">
        <v>28</v>
      </c>
      <c r="P1246" s="2" t="s">
        <v>137</v>
      </c>
      <c r="Q1246" s="2" t="s">
        <v>355</v>
      </c>
      <c r="R1246" s="2">
        <v>4</v>
      </c>
      <c r="S1246" s="2">
        <v>32613.599999999999</v>
      </c>
      <c r="T1246" s="2">
        <v>30</v>
      </c>
      <c r="U1246" s="2">
        <v>91318.080000000002</v>
      </c>
      <c r="V1246" s="2">
        <v>63535.51</v>
      </c>
      <c r="W1246" s="2">
        <v>27782.57</v>
      </c>
      <c r="X1246" s="2">
        <v>30.42</v>
      </c>
      <c r="Y1246" s="2">
        <v>0</v>
      </c>
      <c r="Z1246" s="2" t="s">
        <v>30</v>
      </c>
      <c r="AA1246" s="2" t="s">
        <v>672</v>
      </c>
      <c r="AB1246" s="2" t="s">
        <v>101</v>
      </c>
      <c r="AC1246" s="2"/>
    </row>
    <row r="1247" spans="1:29" x14ac:dyDescent="0.3">
      <c r="A1247" s="3" t="s">
        <v>6183</v>
      </c>
      <c r="B1247" s="3" t="s">
        <v>6184</v>
      </c>
      <c r="C1247" s="3" t="s">
        <v>348</v>
      </c>
      <c r="D1247" s="3" t="s">
        <v>6185</v>
      </c>
      <c r="E1247" s="3" t="s">
        <v>42</v>
      </c>
      <c r="F1247" s="3" t="s">
        <v>1548</v>
      </c>
      <c r="G1247" s="3" t="s">
        <v>4711</v>
      </c>
      <c r="H1247" s="3" t="s">
        <v>831</v>
      </c>
      <c r="I1247" s="3">
        <v>2</v>
      </c>
      <c r="J1247" s="3" t="s">
        <v>22</v>
      </c>
      <c r="K1247" s="3" t="s">
        <v>738</v>
      </c>
      <c r="L1247" s="3" t="s">
        <v>738</v>
      </c>
      <c r="M1247" s="3" t="s">
        <v>4037</v>
      </c>
      <c r="N1247" s="3" t="s">
        <v>1051</v>
      </c>
      <c r="O1247" s="3" t="s">
        <v>28</v>
      </c>
      <c r="P1247" s="3" t="s">
        <v>151</v>
      </c>
      <c r="Q1247" s="3" t="s">
        <v>197</v>
      </c>
      <c r="R1247" s="3">
        <v>5</v>
      </c>
      <c r="S1247" s="3">
        <v>8686.4699999999993</v>
      </c>
      <c r="T1247" s="3">
        <v>25</v>
      </c>
      <c r="U1247" s="3">
        <v>32574.26</v>
      </c>
      <c r="V1247" s="3">
        <v>18784.72</v>
      </c>
      <c r="W1247" s="3">
        <v>13789.54</v>
      </c>
      <c r="X1247" s="3">
        <v>42.33</v>
      </c>
      <c r="Y1247" s="3">
        <v>29</v>
      </c>
      <c r="Z1247" s="3" t="s">
        <v>15</v>
      </c>
      <c r="AA1247" s="3" t="s">
        <v>100</v>
      </c>
      <c r="AB1247" s="3" t="s">
        <v>101</v>
      </c>
      <c r="AC1247" s="3">
        <v>3</v>
      </c>
    </row>
    <row r="1248" spans="1:29" x14ac:dyDescent="0.3">
      <c r="A1248" s="2" t="s">
        <v>6186</v>
      </c>
      <c r="B1248" s="2" t="s">
        <v>5244</v>
      </c>
      <c r="C1248" s="2" t="s">
        <v>487</v>
      </c>
      <c r="D1248" s="2" t="s">
        <v>6187</v>
      </c>
      <c r="E1248" s="2" t="s">
        <v>26</v>
      </c>
      <c r="F1248" s="2" t="s">
        <v>1600</v>
      </c>
      <c r="G1248" s="2" t="s">
        <v>6188</v>
      </c>
      <c r="H1248" s="2" t="s">
        <v>2013</v>
      </c>
      <c r="I1248" s="2">
        <v>8</v>
      </c>
      <c r="J1248" s="2" t="s">
        <v>14</v>
      </c>
      <c r="K1248" s="2" t="s">
        <v>171</v>
      </c>
      <c r="L1248" s="2" t="s">
        <v>172</v>
      </c>
      <c r="M1248" s="2" t="s">
        <v>6189</v>
      </c>
      <c r="N1248" s="2" t="s">
        <v>97</v>
      </c>
      <c r="O1248" s="2" t="s">
        <v>13</v>
      </c>
      <c r="P1248" s="2" t="s">
        <v>98</v>
      </c>
      <c r="Q1248" s="2" t="s">
        <v>466</v>
      </c>
      <c r="R1248" s="2">
        <v>3</v>
      </c>
      <c r="S1248" s="2">
        <v>5230.68</v>
      </c>
      <c r="T1248" s="2">
        <v>15</v>
      </c>
      <c r="U1248" s="2">
        <v>13338.23</v>
      </c>
      <c r="V1248" s="2">
        <v>9004.52</v>
      </c>
      <c r="W1248" s="2">
        <v>4333.71</v>
      </c>
      <c r="X1248" s="2">
        <v>32.49</v>
      </c>
      <c r="Y1248" s="2">
        <v>199</v>
      </c>
      <c r="Z1248" s="2" t="s">
        <v>23</v>
      </c>
      <c r="AA1248" s="2" t="s">
        <v>100</v>
      </c>
      <c r="AB1248" s="2" t="s">
        <v>101</v>
      </c>
      <c r="AC1248" s="2">
        <v>3</v>
      </c>
    </row>
    <row r="1249" spans="1:29" x14ac:dyDescent="0.3">
      <c r="A1249" s="3" t="s">
        <v>6190</v>
      </c>
      <c r="B1249" s="3" t="s">
        <v>6191</v>
      </c>
      <c r="C1249" s="3" t="s">
        <v>2729</v>
      </c>
      <c r="D1249" s="3" t="s">
        <v>6192</v>
      </c>
      <c r="E1249" s="3" t="s">
        <v>26</v>
      </c>
      <c r="F1249" s="3" t="s">
        <v>5234</v>
      </c>
      <c r="G1249" s="3" t="s">
        <v>292</v>
      </c>
      <c r="H1249" s="3" t="s">
        <v>2836</v>
      </c>
      <c r="I1249" s="3">
        <v>6</v>
      </c>
      <c r="J1249" s="3" t="s">
        <v>14</v>
      </c>
      <c r="K1249" s="3" t="s">
        <v>712</v>
      </c>
      <c r="L1249" s="3" t="s">
        <v>712</v>
      </c>
      <c r="M1249" s="3" t="s">
        <v>6193</v>
      </c>
      <c r="N1249" s="3" t="s">
        <v>616</v>
      </c>
      <c r="O1249" s="3" t="s">
        <v>21</v>
      </c>
      <c r="P1249" s="3" t="s">
        <v>206</v>
      </c>
      <c r="Q1249" s="3" t="s">
        <v>218</v>
      </c>
      <c r="R1249" s="3">
        <v>4</v>
      </c>
      <c r="S1249" s="3">
        <v>27164.58</v>
      </c>
      <c r="T1249" s="3">
        <v>15</v>
      </c>
      <c r="U1249" s="3">
        <v>92359.57</v>
      </c>
      <c r="V1249" s="3">
        <v>49343.15</v>
      </c>
      <c r="W1249" s="3">
        <v>43016.42</v>
      </c>
      <c r="X1249" s="3">
        <v>46.57</v>
      </c>
      <c r="Y1249" s="3">
        <v>29</v>
      </c>
      <c r="Z1249" s="3" t="s">
        <v>48</v>
      </c>
      <c r="AA1249" s="3" t="s">
        <v>100</v>
      </c>
      <c r="AB1249" s="3" t="s">
        <v>101</v>
      </c>
      <c r="AC1249" s="3"/>
    </row>
    <row r="1250" spans="1:29" x14ac:dyDescent="0.3">
      <c r="A1250" s="2" t="s">
        <v>6194</v>
      </c>
      <c r="B1250" s="2" t="s">
        <v>6195</v>
      </c>
      <c r="C1250" s="2" t="s">
        <v>1717</v>
      </c>
      <c r="D1250" s="2" t="s">
        <v>6196</v>
      </c>
      <c r="E1250" s="2" t="s">
        <v>26</v>
      </c>
      <c r="F1250" s="2" t="s">
        <v>629</v>
      </c>
      <c r="G1250" s="2" t="s">
        <v>3238</v>
      </c>
      <c r="H1250" s="2" t="s">
        <v>3914</v>
      </c>
      <c r="I1250" s="2">
        <v>7</v>
      </c>
      <c r="J1250" s="2" t="s">
        <v>22</v>
      </c>
      <c r="K1250" s="2" t="s">
        <v>443</v>
      </c>
      <c r="L1250" s="2" t="s">
        <v>567</v>
      </c>
      <c r="M1250" s="2" t="s">
        <v>5938</v>
      </c>
      <c r="N1250" s="2" t="s">
        <v>97</v>
      </c>
      <c r="O1250" s="2" t="s">
        <v>13</v>
      </c>
      <c r="P1250" s="2" t="s">
        <v>98</v>
      </c>
      <c r="Q1250" s="2" t="s">
        <v>466</v>
      </c>
      <c r="R1250" s="2">
        <v>3</v>
      </c>
      <c r="S1250" s="2">
        <v>43999.43</v>
      </c>
      <c r="T1250" s="2">
        <v>15</v>
      </c>
      <c r="U1250" s="2">
        <v>112198.55</v>
      </c>
      <c r="V1250" s="2">
        <v>67635.11</v>
      </c>
      <c r="W1250" s="2">
        <v>44563.44</v>
      </c>
      <c r="X1250" s="2">
        <v>39.72</v>
      </c>
      <c r="Y1250" s="2">
        <v>149</v>
      </c>
      <c r="Z1250" s="2" t="s">
        <v>23</v>
      </c>
      <c r="AA1250" s="2" t="s">
        <v>186</v>
      </c>
      <c r="AB1250" s="2" t="s">
        <v>101</v>
      </c>
      <c r="AC1250" s="2"/>
    </row>
    <row r="1251" spans="1:29" x14ac:dyDescent="0.3">
      <c r="A1251" s="3" t="s">
        <v>6197</v>
      </c>
      <c r="B1251" s="3" t="s">
        <v>6198</v>
      </c>
      <c r="C1251" s="3" t="s">
        <v>4342</v>
      </c>
      <c r="D1251" s="3" t="s">
        <v>6199</v>
      </c>
      <c r="E1251" s="3" t="s">
        <v>42</v>
      </c>
      <c r="F1251" s="3" t="s">
        <v>1733</v>
      </c>
      <c r="G1251" s="3" t="s">
        <v>2493</v>
      </c>
      <c r="H1251" s="3" t="s">
        <v>2731</v>
      </c>
      <c r="I1251" s="3">
        <v>3</v>
      </c>
      <c r="J1251" s="3" t="s">
        <v>39</v>
      </c>
      <c r="K1251" s="3" t="s">
        <v>314</v>
      </c>
      <c r="L1251" s="3" t="s">
        <v>314</v>
      </c>
      <c r="M1251" s="3" t="s">
        <v>6200</v>
      </c>
      <c r="N1251" s="3" t="s">
        <v>1802</v>
      </c>
      <c r="O1251" s="3" t="s">
        <v>28</v>
      </c>
      <c r="P1251" s="3" t="s">
        <v>137</v>
      </c>
      <c r="Q1251" s="3" t="s">
        <v>509</v>
      </c>
      <c r="R1251" s="3">
        <v>2</v>
      </c>
      <c r="S1251" s="3">
        <v>24274.31</v>
      </c>
      <c r="T1251" s="3">
        <v>0</v>
      </c>
      <c r="U1251" s="3">
        <v>48548.62</v>
      </c>
      <c r="V1251" s="3">
        <v>26382.7</v>
      </c>
      <c r="W1251" s="3">
        <v>22165.919999999998</v>
      </c>
      <c r="X1251" s="3">
        <v>45.66</v>
      </c>
      <c r="Y1251" s="3">
        <v>99</v>
      </c>
      <c r="Z1251" s="3" t="s">
        <v>23</v>
      </c>
      <c r="AA1251" s="3" t="s">
        <v>100</v>
      </c>
      <c r="AB1251" s="3" t="s">
        <v>101</v>
      </c>
      <c r="AC1251" s="3">
        <v>3</v>
      </c>
    </row>
    <row r="1252" spans="1:29" x14ac:dyDescent="0.3">
      <c r="A1252" s="2" t="s">
        <v>6201</v>
      </c>
      <c r="B1252" s="2" t="s">
        <v>6202</v>
      </c>
      <c r="C1252" s="2" t="s">
        <v>2141</v>
      </c>
      <c r="D1252" s="2" t="s">
        <v>6203</v>
      </c>
      <c r="E1252" s="2" t="s">
        <v>26</v>
      </c>
      <c r="F1252" s="2" t="s">
        <v>1119</v>
      </c>
      <c r="G1252" s="2" t="s">
        <v>381</v>
      </c>
      <c r="H1252" s="2" t="s">
        <v>1120</v>
      </c>
      <c r="I1252" s="2">
        <v>6</v>
      </c>
      <c r="J1252" s="2" t="s">
        <v>29</v>
      </c>
      <c r="K1252" s="2" t="s">
        <v>834</v>
      </c>
      <c r="L1252" s="2" t="s">
        <v>1000</v>
      </c>
      <c r="M1252" s="2" t="s">
        <v>6204</v>
      </c>
      <c r="N1252" s="2" t="s">
        <v>852</v>
      </c>
      <c r="O1252" s="2" t="s">
        <v>27</v>
      </c>
      <c r="P1252" s="2" t="s">
        <v>175</v>
      </c>
      <c r="Q1252" s="2" t="s">
        <v>99</v>
      </c>
      <c r="R1252" s="2">
        <v>1</v>
      </c>
      <c r="S1252" s="2">
        <v>5175.8500000000004</v>
      </c>
      <c r="T1252" s="2">
        <v>5</v>
      </c>
      <c r="U1252" s="2">
        <v>4917.0600000000004</v>
      </c>
      <c r="V1252" s="2">
        <v>2635.46</v>
      </c>
      <c r="W1252" s="2">
        <v>2281.6</v>
      </c>
      <c r="X1252" s="2">
        <v>46.4</v>
      </c>
      <c r="Y1252" s="2">
        <v>99</v>
      </c>
      <c r="Z1252" s="2" t="s">
        <v>43</v>
      </c>
      <c r="AA1252" s="2" t="s">
        <v>100</v>
      </c>
      <c r="AB1252" s="2" t="s">
        <v>101</v>
      </c>
      <c r="AC1252" s="2">
        <v>3</v>
      </c>
    </row>
    <row r="1253" spans="1:29" x14ac:dyDescent="0.3">
      <c r="A1253" s="3" t="s">
        <v>6205</v>
      </c>
      <c r="B1253" s="3" t="s">
        <v>6206</v>
      </c>
      <c r="C1253" s="3" t="s">
        <v>221</v>
      </c>
      <c r="D1253" s="3" t="s">
        <v>6207</v>
      </c>
      <c r="E1253" s="3" t="s">
        <v>33</v>
      </c>
      <c r="F1253" s="3" t="s">
        <v>415</v>
      </c>
      <c r="G1253" s="3" t="s">
        <v>3106</v>
      </c>
      <c r="H1253" s="3" t="s">
        <v>1480</v>
      </c>
      <c r="I1253" s="3">
        <v>2</v>
      </c>
      <c r="J1253" s="3" t="s">
        <v>14</v>
      </c>
      <c r="K1253" s="3" t="s">
        <v>215</v>
      </c>
      <c r="L1253" s="3" t="s">
        <v>215</v>
      </c>
      <c r="M1253" s="3" t="s">
        <v>6208</v>
      </c>
      <c r="N1253" s="3" t="s">
        <v>1802</v>
      </c>
      <c r="O1253" s="3" t="s">
        <v>28</v>
      </c>
      <c r="P1253" s="3" t="s">
        <v>137</v>
      </c>
      <c r="Q1253" s="3" t="s">
        <v>355</v>
      </c>
      <c r="R1253" s="3">
        <v>4</v>
      </c>
      <c r="S1253" s="3">
        <v>7159.26</v>
      </c>
      <c r="T1253" s="3">
        <v>25</v>
      </c>
      <c r="U1253" s="3">
        <v>21477.78</v>
      </c>
      <c r="V1253" s="3">
        <v>14511.72</v>
      </c>
      <c r="W1253" s="3">
        <v>6966.06</v>
      </c>
      <c r="X1253" s="3">
        <v>32.43</v>
      </c>
      <c r="Y1253" s="3">
        <v>149</v>
      </c>
      <c r="Z1253" s="3" t="s">
        <v>40</v>
      </c>
      <c r="AA1253" s="3" t="s">
        <v>100</v>
      </c>
      <c r="AB1253" s="3" t="s">
        <v>101</v>
      </c>
      <c r="AC1253" s="3">
        <v>4</v>
      </c>
    </row>
    <row r="1254" spans="1:29" x14ac:dyDescent="0.3">
      <c r="A1254" s="2" t="s">
        <v>6209</v>
      </c>
      <c r="B1254" s="2" t="s">
        <v>6210</v>
      </c>
      <c r="C1254" s="2" t="s">
        <v>377</v>
      </c>
      <c r="D1254" s="2" t="s">
        <v>6211</v>
      </c>
      <c r="E1254" s="2" t="s">
        <v>33</v>
      </c>
      <c r="F1254" s="2" t="s">
        <v>3802</v>
      </c>
      <c r="G1254" s="2" t="s">
        <v>5082</v>
      </c>
      <c r="H1254" s="2" t="s">
        <v>718</v>
      </c>
      <c r="I1254" s="2">
        <v>7</v>
      </c>
      <c r="J1254" s="2" t="s">
        <v>14</v>
      </c>
      <c r="K1254" s="2" t="s">
        <v>171</v>
      </c>
      <c r="L1254" s="2" t="s">
        <v>407</v>
      </c>
      <c r="M1254" s="2" t="s">
        <v>3466</v>
      </c>
      <c r="N1254" s="2" t="s">
        <v>1188</v>
      </c>
      <c r="O1254" s="2" t="s">
        <v>27</v>
      </c>
      <c r="P1254" s="2" t="s">
        <v>257</v>
      </c>
      <c r="Q1254" s="2" t="s">
        <v>608</v>
      </c>
      <c r="R1254" s="2">
        <v>5</v>
      </c>
      <c r="S1254" s="2">
        <v>44351.08</v>
      </c>
      <c r="T1254" s="2">
        <v>5</v>
      </c>
      <c r="U1254" s="2">
        <v>210667.63</v>
      </c>
      <c r="V1254" s="2">
        <v>112332.19</v>
      </c>
      <c r="W1254" s="2">
        <v>98335.44</v>
      </c>
      <c r="X1254" s="2">
        <v>46.68</v>
      </c>
      <c r="Y1254" s="2">
        <v>149</v>
      </c>
      <c r="Z1254" s="2" t="s">
        <v>40</v>
      </c>
      <c r="AA1254" s="2" t="s">
        <v>100</v>
      </c>
      <c r="AB1254" s="2" t="s">
        <v>101</v>
      </c>
      <c r="AC1254" s="2">
        <v>4</v>
      </c>
    </row>
    <row r="1255" spans="1:29" x14ac:dyDescent="0.3">
      <c r="A1255" s="3" t="s">
        <v>6212</v>
      </c>
      <c r="B1255" s="3" t="s">
        <v>6213</v>
      </c>
      <c r="C1255" s="3" t="s">
        <v>2067</v>
      </c>
      <c r="D1255" s="3" t="s">
        <v>6214</v>
      </c>
      <c r="E1255" s="3" t="s">
        <v>33</v>
      </c>
      <c r="F1255" s="3" t="s">
        <v>1443</v>
      </c>
      <c r="G1255" s="3" t="s">
        <v>1600</v>
      </c>
      <c r="H1255" s="3" t="s">
        <v>3128</v>
      </c>
      <c r="I1255" s="3">
        <v>3</v>
      </c>
      <c r="J1255" s="3" t="s">
        <v>22</v>
      </c>
      <c r="K1255" s="3" t="s">
        <v>738</v>
      </c>
      <c r="L1255" s="3" t="s">
        <v>738</v>
      </c>
      <c r="M1255" s="3" t="s">
        <v>6215</v>
      </c>
      <c r="N1255" s="3" t="s">
        <v>551</v>
      </c>
      <c r="O1255" s="3" t="s">
        <v>13</v>
      </c>
      <c r="P1255" s="3" t="s">
        <v>98</v>
      </c>
      <c r="Q1255" s="3" t="s">
        <v>207</v>
      </c>
      <c r="R1255" s="3">
        <v>4</v>
      </c>
      <c r="S1255" s="3">
        <v>19462.27</v>
      </c>
      <c r="T1255" s="3">
        <v>15</v>
      </c>
      <c r="U1255" s="3">
        <v>66171.72</v>
      </c>
      <c r="V1255" s="3">
        <v>40856.6</v>
      </c>
      <c r="W1255" s="3">
        <v>25315.119999999999</v>
      </c>
      <c r="X1255" s="3">
        <v>38.26</v>
      </c>
      <c r="Y1255" s="3">
        <v>99</v>
      </c>
      <c r="Z1255" s="3" t="s">
        <v>23</v>
      </c>
      <c r="AA1255" s="3" t="s">
        <v>186</v>
      </c>
      <c r="AB1255" s="3" t="s">
        <v>101</v>
      </c>
      <c r="AC1255" s="3"/>
    </row>
    <row r="1256" spans="1:29" x14ac:dyDescent="0.3">
      <c r="A1256" s="2" t="s">
        <v>6216</v>
      </c>
      <c r="B1256" s="2" t="s">
        <v>6217</v>
      </c>
      <c r="C1256" s="2" t="s">
        <v>912</v>
      </c>
      <c r="D1256" s="2" t="s">
        <v>6218</v>
      </c>
      <c r="E1256" s="2" t="s">
        <v>26</v>
      </c>
      <c r="F1256" s="2" t="s">
        <v>3914</v>
      </c>
      <c r="G1256" s="2" t="s">
        <v>2191</v>
      </c>
      <c r="H1256" s="2" t="s">
        <v>818</v>
      </c>
      <c r="I1256" s="2">
        <v>6</v>
      </c>
      <c r="J1256" s="2" t="s">
        <v>29</v>
      </c>
      <c r="K1256" s="2" t="s">
        <v>834</v>
      </c>
      <c r="L1256" s="2" t="s">
        <v>1000</v>
      </c>
      <c r="M1256" s="2" t="s">
        <v>4539</v>
      </c>
      <c r="N1256" s="2" t="s">
        <v>465</v>
      </c>
      <c r="O1256" s="2" t="s">
        <v>19</v>
      </c>
      <c r="P1256" s="2" t="s">
        <v>447</v>
      </c>
      <c r="Q1256" s="2" t="s">
        <v>152</v>
      </c>
      <c r="R1256" s="2">
        <v>2</v>
      </c>
      <c r="S1256" s="2">
        <v>9445.5499999999993</v>
      </c>
      <c r="T1256" s="2">
        <v>5</v>
      </c>
      <c r="U1256" s="2">
        <v>17946.54</v>
      </c>
      <c r="V1256" s="2">
        <v>12399.61</v>
      </c>
      <c r="W1256" s="2">
        <v>5546.93</v>
      </c>
      <c r="X1256" s="2">
        <v>30.91</v>
      </c>
      <c r="Y1256" s="2">
        <v>199</v>
      </c>
      <c r="Z1256" s="2" t="s">
        <v>15</v>
      </c>
      <c r="AA1256" s="2" t="s">
        <v>100</v>
      </c>
      <c r="AB1256" s="2" t="s">
        <v>101</v>
      </c>
      <c r="AC1256" s="2">
        <v>4</v>
      </c>
    </row>
    <row r="1257" spans="1:29" x14ac:dyDescent="0.3">
      <c r="A1257" s="3" t="s">
        <v>6219</v>
      </c>
      <c r="B1257" s="3" t="s">
        <v>6220</v>
      </c>
      <c r="C1257" s="3" t="s">
        <v>4617</v>
      </c>
      <c r="D1257" s="3" t="s">
        <v>6221</v>
      </c>
      <c r="E1257" s="3" t="s">
        <v>26</v>
      </c>
      <c r="F1257" s="3" t="s">
        <v>2582</v>
      </c>
      <c r="G1257" s="3" t="s">
        <v>515</v>
      </c>
      <c r="H1257" s="3" t="s">
        <v>516</v>
      </c>
      <c r="I1257" s="3">
        <v>8</v>
      </c>
      <c r="J1257" s="3" t="s">
        <v>14</v>
      </c>
      <c r="K1257" s="3" t="s">
        <v>95</v>
      </c>
      <c r="L1257" s="3" t="s">
        <v>95</v>
      </c>
      <c r="M1257" s="3" t="s">
        <v>6222</v>
      </c>
      <c r="N1257" s="3" t="s">
        <v>364</v>
      </c>
      <c r="O1257" s="3" t="s">
        <v>19</v>
      </c>
      <c r="P1257" s="3" t="s">
        <v>365</v>
      </c>
      <c r="Q1257" s="3" t="s">
        <v>114</v>
      </c>
      <c r="R1257" s="3">
        <v>1</v>
      </c>
      <c r="S1257" s="3">
        <v>28607.19</v>
      </c>
      <c r="T1257" s="3">
        <v>5</v>
      </c>
      <c r="U1257" s="3">
        <v>27176.83</v>
      </c>
      <c r="V1257" s="3">
        <v>12861.92</v>
      </c>
      <c r="W1257" s="3">
        <v>14314.91</v>
      </c>
      <c r="X1257" s="3">
        <v>52.67</v>
      </c>
      <c r="Y1257" s="3">
        <v>99</v>
      </c>
      <c r="Z1257" s="3" t="s">
        <v>40</v>
      </c>
      <c r="AA1257" s="3" t="s">
        <v>275</v>
      </c>
      <c r="AB1257" s="3" t="s">
        <v>101</v>
      </c>
      <c r="AC1257" s="3"/>
    </row>
    <row r="1258" spans="1:29" x14ac:dyDescent="0.3">
      <c r="A1258" s="2" t="s">
        <v>6223</v>
      </c>
      <c r="B1258" s="2" t="s">
        <v>6224</v>
      </c>
      <c r="C1258" s="2" t="s">
        <v>1152</v>
      </c>
      <c r="D1258" s="2" t="s">
        <v>6225</v>
      </c>
      <c r="E1258" s="2" t="s">
        <v>33</v>
      </c>
      <c r="F1258" s="2" t="s">
        <v>4779</v>
      </c>
      <c r="G1258" s="2" t="s">
        <v>388</v>
      </c>
      <c r="H1258" s="2" t="s">
        <v>2866</v>
      </c>
      <c r="I1258" s="2">
        <v>7</v>
      </c>
      <c r="J1258" s="2" t="s">
        <v>14</v>
      </c>
      <c r="K1258" s="2" t="s">
        <v>95</v>
      </c>
      <c r="L1258" s="2" t="s">
        <v>95</v>
      </c>
      <c r="M1258" s="2" t="s">
        <v>6226</v>
      </c>
      <c r="N1258" s="2" t="s">
        <v>205</v>
      </c>
      <c r="O1258" s="2" t="s">
        <v>21</v>
      </c>
      <c r="P1258" s="2" t="s">
        <v>206</v>
      </c>
      <c r="Q1258" s="2" t="s">
        <v>114</v>
      </c>
      <c r="R1258" s="2">
        <v>1</v>
      </c>
      <c r="S1258" s="2">
        <v>18864.689999999999</v>
      </c>
      <c r="T1258" s="2">
        <v>10</v>
      </c>
      <c r="U1258" s="2">
        <v>16978.22</v>
      </c>
      <c r="V1258" s="2">
        <v>9451.34</v>
      </c>
      <c r="W1258" s="2">
        <v>7526.88</v>
      </c>
      <c r="X1258" s="2">
        <v>44.33</v>
      </c>
      <c r="Y1258" s="2">
        <v>49</v>
      </c>
      <c r="Z1258" s="2" t="s">
        <v>47</v>
      </c>
      <c r="AA1258" s="2" t="s">
        <v>100</v>
      </c>
      <c r="AB1258" s="2" t="s">
        <v>101</v>
      </c>
      <c r="AC1258" s="2">
        <v>3</v>
      </c>
    </row>
    <row r="1259" spans="1:29" x14ac:dyDescent="0.3">
      <c r="A1259" s="3" t="s">
        <v>6227</v>
      </c>
      <c r="B1259" s="3" t="s">
        <v>5068</v>
      </c>
      <c r="C1259" s="3" t="s">
        <v>680</v>
      </c>
      <c r="D1259" s="3" t="s">
        <v>6228</v>
      </c>
      <c r="E1259" s="3" t="s">
        <v>18</v>
      </c>
      <c r="F1259" s="3" t="s">
        <v>2153</v>
      </c>
      <c r="G1259" s="3" t="s">
        <v>1615</v>
      </c>
      <c r="H1259" s="3" t="s">
        <v>3511</v>
      </c>
      <c r="I1259" s="3">
        <v>2</v>
      </c>
      <c r="J1259" s="3" t="s">
        <v>39</v>
      </c>
      <c r="K1259" s="3" t="s">
        <v>324</v>
      </c>
      <c r="L1259" s="3" t="s">
        <v>325</v>
      </c>
      <c r="M1259" s="3" t="s">
        <v>6229</v>
      </c>
      <c r="N1259" s="3" t="s">
        <v>583</v>
      </c>
      <c r="O1259" s="3" t="s">
        <v>19</v>
      </c>
      <c r="P1259" s="3" t="s">
        <v>447</v>
      </c>
      <c r="Q1259" s="3" t="s">
        <v>246</v>
      </c>
      <c r="R1259" s="3">
        <v>4</v>
      </c>
      <c r="S1259" s="3">
        <v>46178.559999999998</v>
      </c>
      <c r="T1259" s="3">
        <v>10</v>
      </c>
      <c r="U1259" s="3">
        <v>166242.82</v>
      </c>
      <c r="V1259" s="3">
        <v>90065.51</v>
      </c>
      <c r="W1259" s="3">
        <v>76177.31</v>
      </c>
      <c r="X1259" s="3">
        <v>45.82</v>
      </c>
      <c r="Y1259" s="3">
        <v>99</v>
      </c>
      <c r="Z1259" s="3" t="s">
        <v>30</v>
      </c>
      <c r="AA1259" s="3" t="s">
        <v>275</v>
      </c>
      <c r="AB1259" s="3" t="s">
        <v>101</v>
      </c>
      <c r="AC1259" s="3"/>
    </row>
    <row r="1260" spans="1:29" x14ac:dyDescent="0.3">
      <c r="A1260" s="2" t="s">
        <v>6230</v>
      </c>
      <c r="B1260" s="2" t="s">
        <v>6231</v>
      </c>
      <c r="C1260" s="2" t="s">
        <v>2339</v>
      </c>
      <c r="D1260" s="2" t="s">
        <v>6232</v>
      </c>
      <c r="E1260" s="2" t="s">
        <v>42</v>
      </c>
      <c r="F1260" s="2" t="s">
        <v>1519</v>
      </c>
      <c r="G1260" s="2" t="s">
        <v>1520</v>
      </c>
      <c r="H1260" s="2" t="s">
        <v>2112</v>
      </c>
      <c r="I1260" s="2">
        <v>3</v>
      </c>
      <c r="J1260" s="2" t="s">
        <v>14</v>
      </c>
      <c r="K1260" s="2" t="s">
        <v>712</v>
      </c>
      <c r="L1260" s="2" t="s">
        <v>712</v>
      </c>
      <c r="M1260" s="2" t="s">
        <v>6233</v>
      </c>
      <c r="N1260" s="2" t="s">
        <v>446</v>
      </c>
      <c r="O1260" s="2" t="s">
        <v>19</v>
      </c>
      <c r="P1260" s="2" t="s">
        <v>447</v>
      </c>
      <c r="Q1260" s="2" t="s">
        <v>99</v>
      </c>
      <c r="R1260" s="2">
        <v>2</v>
      </c>
      <c r="S1260" s="2">
        <v>49167.78</v>
      </c>
      <c r="T1260" s="2">
        <v>30</v>
      </c>
      <c r="U1260" s="2">
        <v>68834.89</v>
      </c>
      <c r="V1260" s="2">
        <v>43033.16</v>
      </c>
      <c r="W1260" s="2">
        <v>25801.73</v>
      </c>
      <c r="X1260" s="2">
        <v>37.479999999999997</v>
      </c>
      <c r="Y1260" s="2">
        <v>149</v>
      </c>
      <c r="Z1260" s="2" t="s">
        <v>48</v>
      </c>
      <c r="AA1260" s="2" t="s">
        <v>100</v>
      </c>
      <c r="AB1260" s="2" t="s">
        <v>101</v>
      </c>
      <c r="AC1260" s="2">
        <v>5</v>
      </c>
    </row>
    <row r="1261" spans="1:29" x14ac:dyDescent="0.3">
      <c r="A1261" s="3" t="s">
        <v>6234</v>
      </c>
      <c r="B1261" s="3" t="s">
        <v>6235</v>
      </c>
      <c r="C1261" s="3" t="s">
        <v>934</v>
      </c>
      <c r="D1261" s="3" t="s">
        <v>6236</v>
      </c>
      <c r="E1261" s="3" t="s">
        <v>42</v>
      </c>
      <c r="F1261" s="3" t="s">
        <v>5191</v>
      </c>
      <c r="G1261" s="3" t="s">
        <v>5136</v>
      </c>
      <c r="H1261" s="3" t="s">
        <v>4191</v>
      </c>
      <c r="I1261" s="3">
        <v>5</v>
      </c>
      <c r="J1261" s="3" t="s">
        <v>22</v>
      </c>
      <c r="K1261" s="3" t="s">
        <v>254</v>
      </c>
      <c r="L1261" s="3" t="s">
        <v>254</v>
      </c>
      <c r="M1261" s="3" t="s">
        <v>6237</v>
      </c>
      <c r="N1261" s="3" t="s">
        <v>1051</v>
      </c>
      <c r="O1261" s="3" t="s">
        <v>28</v>
      </c>
      <c r="P1261" s="3" t="s">
        <v>151</v>
      </c>
      <c r="Q1261" s="3" t="s">
        <v>218</v>
      </c>
      <c r="R1261" s="3">
        <v>5</v>
      </c>
      <c r="S1261" s="3">
        <v>38077.1</v>
      </c>
      <c r="T1261" s="3">
        <v>10</v>
      </c>
      <c r="U1261" s="3">
        <v>171346.95</v>
      </c>
      <c r="V1261" s="3">
        <v>100660.16</v>
      </c>
      <c r="W1261" s="3">
        <v>70686.789999999994</v>
      </c>
      <c r="X1261" s="3">
        <v>41.25</v>
      </c>
      <c r="Y1261" s="3">
        <v>0</v>
      </c>
      <c r="Z1261" s="3" t="s">
        <v>15</v>
      </c>
      <c r="AA1261" s="3" t="s">
        <v>100</v>
      </c>
      <c r="AB1261" s="3" t="s">
        <v>101</v>
      </c>
      <c r="AC1261" s="3">
        <v>2</v>
      </c>
    </row>
    <row r="1262" spans="1:29" x14ac:dyDescent="0.3">
      <c r="A1262" s="2" t="s">
        <v>6238</v>
      </c>
      <c r="B1262" s="2" t="s">
        <v>6239</v>
      </c>
      <c r="C1262" s="2" t="s">
        <v>377</v>
      </c>
      <c r="D1262" s="2" t="s">
        <v>6240</v>
      </c>
      <c r="E1262" s="2" t="s">
        <v>42</v>
      </c>
      <c r="F1262" s="2" t="s">
        <v>2022</v>
      </c>
      <c r="G1262" s="2" t="s">
        <v>1040</v>
      </c>
      <c r="H1262" s="2" t="s">
        <v>777</v>
      </c>
      <c r="I1262" s="2">
        <v>8</v>
      </c>
      <c r="J1262" s="2" t="s">
        <v>14</v>
      </c>
      <c r="K1262" s="2" t="s">
        <v>712</v>
      </c>
      <c r="L1262" s="2" t="s">
        <v>712</v>
      </c>
      <c r="M1262" s="2" t="s">
        <v>6241</v>
      </c>
      <c r="N1262" s="2" t="s">
        <v>704</v>
      </c>
      <c r="O1262" s="2" t="s">
        <v>13</v>
      </c>
      <c r="P1262" s="2" t="s">
        <v>419</v>
      </c>
      <c r="Q1262" s="2" t="s">
        <v>355</v>
      </c>
      <c r="R1262" s="2">
        <v>1</v>
      </c>
      <c r="S1262" s="2">
        <v>527.96</v>
      </c>
      <c r="T1262" s="2">
        <v>0</v>
      </c>
      <c r="U1262" s="2">
        <v>527.96</v>
      </c>
      <c r="V1262" s="2">
        <v>346.93</v>
      </c>
      <c r="W1262" s="2">
        <v>181.03</v>
      </c>
      <c r="X1262" s="2">
        <v>34.29</v>
      </c>
      <c r="Y1262" s="2">
        <v>49</v>
      </c>
      <c r="Z1262" s="2" t="s">
        <v>30</v>
      </c>
      <c r="AA1262" s="2" t="s">
        <v>100</v>
      </c>
      <c r="AB1262" s="2" t="s">
        <v>101</v>
      </c>
      <c r="AC1262" s="2">
        <v>3</v>
      </c>
    </row>
    <row r="1263" spans="1:29" x14ac:dyDescent="0.3">
      <c r="A1263" s="3" t="s">
        <v>6242</v>
      </c>
      <c r="B1263" s="3" t="s">
        <v>6243</v>
      </c>
      <c r="C1263" s="3" t="s">
        <v>725</v>
      </c>
      <c r="D1263" s="3" t="s">
        <v>6244</v>
      </c>
      <c r="E1263" s="3" t="s">
        <v>26</v>
      </c>
      <c r="F1263" s="3" t="s">
        <v>938</v>
      </c>
      <c r="G1263" s="3" t="s">
        <v>3200</v>
      </c>
      <c r="H1263" s="3" t="s">
        <v>1079</v>
      </c>
      <c r="I1263" s="3">
        <v>6</v>
      </c>
      <c r="J1263" s="3" t="s">
        <v>22</v>
      </c>
      <c r="K1263" s="3" t="s">
        <v>283</v>
      </c>
      <c r="L1263" s="3" t="s">
        <v>1346</v>
      </c>
      <c r="M1263" s="3" t="s">
        <v>1461</v>
      </c>
      <c r="N1263" s="3" t="s">
        <v>327</v>
      </c>
      <c r="O1263" s="3" t="s">
        <v>27</v>
      </c>
      <c r="P1263" s="3" t="s">
        <v>113</v>
      </c>
      <c r="Q1263" s="3" t="s">
        <v>218</v>
      </c>
      <c r="R1263" s="3">
        <v>4</v>
      </c>
      <c r="S1263" s="3">
        <v>49708.22</v>
      </c>
      <c r="T1263" s="3">
        <v>0</v>
      </c>
      <c r="U1263" s="3">
        <v>198832.88</v>
      </c>
      <c r="V1263" s="3">
        <v>135516.79</v>
      </c>
      <c r="W1263" s="3">
        <v>63316.09</v>
      </c>
      <c r="X1263" s="3">
        <v>31.84</v>
      </c>
      <c r="Y1263" s="3">
        <v>49</v>
      </c>
      <c r="Z1263" s="3" t="s">
        <v>43</v>
      </c>
      <c r="AA1263" s="3" t="s">
        <v>100</v>
      </c>
      <c r="AB1263" s="3" t="s">
        <v>101</v>
      </c>
      <c r="AC1263" s="3">
        <v>1</v>
      </c>
    </row>
    <row r="1264" spans="1:29" x14ac:dyDescent="0.3">
      <c r="A1264" s="2" t="s">
        <v>6245</v>
      </c>
      <c r="B1264" s="2" t="s">
        <v>6246</v>
      </c>
      <c r="C1264" s="2" t="s">
        <v>1544</v>
      </c>
      <c r="D1264" s="2" t="s">
        <v>6247</v>
      </c>
      <c r="E1264" s="2" t="s">
        <v>26</v>
      </c>
      <c r="F1264" s="2" t="s">
        <v>1198</v>
      </c>
      <c r="G1264" s="2" t="s">
        <v>1199</v>
      </c>
      <c r="H1264" s="2" t="s">
        <v>169</v>
      </c>
      <c r="I1264" s="2">
        <v>7</v>
      </c>
      <c r="J1264" s="2" t="s">
        <v>39</v>
      </c>
      <c r="K1264" s="2" t="s">
        <v>324</v>
      </c>
      <c r="L1264" s="2" t="s">
        <v>1422</v>
      </c>
      <c r="M1264" s="2" t="s">
        <v>6248</v>
      </c>
      <c r="N1264" s="2" t="s">
        <v>740</v>
      </c>
      <c r="O1264" s="2" t="s">
        <v>21</v>
      </c>
      <c r="P1264" s="2" t="s">
        <v>126</v>
      </c>
      <c r="Q1264" s="2" t="s">
        <v>152</v>
      </c>
      <c r="R1264" s="2">
        <v>1</v>
      </c>
      <c r="S1264" s="2">
        <v>49975.72</v>
      </c>
      <c r="T1264" s="2">
        <v>5</v>
      </c>
      <c r="U1264" s="2">
        <v>47476.93</v>
      </c>
      <c r="V1264" s="2">
        <v>26038.38</v>
      </c>
      <c r="W1264" s="2">
        <v>21438.55</v>
      </c>
      <c r="X1264" s="2">
        <v>45.16</v>
      </c>
      <c r="Y1264" s="2">
        <v>0</v>
      </c>
      <c r="Z1264" s="2" t="s">
        <v>23</v>
      </c>
      <c r="AA1264" s="2" t="s">
        <v>186</v>
      </c>
      <c r="AB1264" s="2" t="s">
        <v>101</v>
      </c>
      <c r="AC1264" s="2"/>
    </row>
    <row r="1265" spans="1:29" x14ac:dyDescent="0.3">
      <c r="A1265" s="3" t="s">
        <v>6249</v>
      </c>
      <c r="B1265" s="3" t="s">
        <v>6250</v>
      </c>
      <c r="C1265" s="3" t="s">
        <v>1866</v>
      </c>
      <c r="D1265" s="3" t="s">
        <v>6251</v>
      </c>
      <c r="E1265" s="3" t="s">
        <v>18</v>
      </c>
      <c r="F1265" s="3" t="s">
        <v>3074</v>
      </c>
      <c r="G1265" s="3" t="s">
        <v>3369</v>
      </c>
      <c r="H1265" s="3" t="s">
        <v>321</v>
      </c>
      <c r="I1265" s="3">
        <v>3</v>
      </c>
      <c r="J1265" s="3" t="s">
        <v>39</v>
      </c>
      <c r="K1265" s="3" t="s">
        <v>324</v>
      </c>
      <c r="L1265" s="3" t="s">
        <v>1422</v>
      </c>
      <c r="M1265" s="3" t="s">
        <v>6252</v>
      </c>
      <c r="N1265" s="3" t="s">
        <v>616</v>
      </c>
      <c r="O1265" s="3" t="s">
        <v>21</v>
      </c>
      <c r="P1265" s="3" t="s">
        <v>206</v>
      </c>
      <c r="Q1265" s="3" t="s">
        <v>509</v>
      </c>
      <c r="R1265" s="3">
        <v>1</v>
      </c>
      <c r="S1265" s="3">
        <v>12611.07</v>
      </c>
      <c r="T1265" s="3">
        <v>20</v>
      </c>
      <c r="U1265" s="3">
        <v>10088.86</v>
      </c>
      <c r="V1265" s="3">
        <v>6606.18</v>
      </c>
      <c r="W1265" s="3">
        <v>3482.68</v>
      </c>
      <c r="X1265" s="3">
        <v>34.520000000000003</v>
      </c>
      <c r="Y1265" s="3">
        <v>99</v>
      </c>
      <c r="Z1265" s="3" t="s">
        <v>48</v>
      </c>
      <c r="AA1265" s="3" t="s">
        <v>186</v>
      </c>
      <c r="AB1265" s="3" t="s">
        <v>101</v>
      </c>
      <c r="AC1265" s="3"/>
    </row>
    <row r="1266" spans="1:29" x14ac:dyDescent="0.3">
      <c r="A1266" s="2" t="s">
        <v>6253</v>
      </c>
      <c r="B1266" s="2" t="s">
        <v>6254</v>
      </c>
      <c r="C1266" s="2" t="s">
        <v>4171</v>
      </c>
      <c r="D1266" s="2" t="s">
        <v>6255</v>
      </c>
      <c r="E1266" s="2" t="s">
        <v>18</v>
      </c>
      <c r="F1266" s="2" t="s">
        <v>2307</v>
      </c>
      <c r="G1266" s="2" t="s">
        <v>1134</v>
      </c>
      <c r="H1266" s="2" t="s">
        <v>2629</v>
      </c>
      <c r="I1266" s="2">
        <v>7</v>
      </c>
      <c r="J1266" s="2" t="s">
        <v>39</v>
      </c>
      <c r="K1266" s="2" t="s">
        <v>193</v>
      </c>
      <c r="L1266" s="2" t="s">
        <v>193</v>
      </c>
      <c r="M1266" s="2" t="s">
        <v>6256</v>
      </c>
      <c r="N1266" s="2" t="s">
        <v>364</v>
      </c>
      <c r="O1266" s="2" t="s">
        <v>19</v>
      </c>
      <c r="P1266" s="2" t="s">
        <v>365</v>
      </c>
      <c r="Q1266" s="2" t="s">
        <v>466</v>
      </c>
      <c r="R1266" s="2">
        <v>2</v>
      </c>
      <c r="S1266" s="2">
        <v>37015.06</v>
      </c>
      <c r="T1266" s="2">
        <v>20</v>
      </c>
      <c r="U1266" s="2">
        <v>59224.1</v>
      </c>
      <c r="V1266" s="2">
        <v>29414.9</v>
      </c>
      <c r="W1266" s="2">
        <v>29809.200000000001</v>
      </c>
      <c r="X1266" s="2">
        <v>50.33</v>
      </c>
      <c r="Y1266" s="2">
        <v>99</v>
      </c>
      <c r="Z1266" s="2" t="s">
        <v>15</v>
      </c>
      <c r="AA1266" s="2" t="s">
        <v>100</v>
      </c>
      <c r="AB1266" s="2" t="s">
        <v>101</v>
      </c>
      <c r="AC1266" s="2">
        <v>1</v>
      </c>
    </row>
    <row r="1267" spans="1:29" x14ac:dyDescent="0.3">
      <c r="A1267" s="3" t="s">
        <v>6257</v>
      </c>
      <c r="B1267" s="3" t="s">
        <v>4075</v>
      </c>
      <c r="C1267" s="3" t="s">
        <v>104</v>
      </c>
      <c r="D1267" s="3" t="s">
        <v>6258</v>
      </c>
      <c r="E1267" s="3" t="s">
        <v>26</v>
      </c>
      <c r="F1267" s="3" t="s">
        <v>2393</v>
      </c>
      <c r="G1267" s="3" t="s">
        <v>3139</v>
      </c>
      <c r="H1267" s="3" t="s">
        <v>1458</v>
      </c>
      <c r="I1267" s="3">
        <v>8</v>
      </c>
      <c r="J1267" s="3" t="s">
        <v>39</v>
      </c>
      <c r="K1267" s="3" t="s">
        <v>193</v>
      </c>
      <c r="L1267" s="3" t="s">
        <v>193</v>
      </c>
      <c r="M1267" s="3" t="s">
        <v>6259</v>
      </c>
      <c r="N1267" s="3" t="s">
        <v>296</v>
      </c>
      <c r="O1267" s="3" t="s">
        <v>19</v>
      </c>
      <c r="P1267" s="3" t="s">
        <v>297</v>
      </c>
      <c r="Q1267" s="3" t="s">
        <v>466</v>
      </c>
      <c r="R1267" s="3">
        <v>4</v>
      </c>
      <c r="S1267" s="3">
        <v>7471.65</v>
      </c>
      <c r="T1267" s="3">
        <v>30</v>
      </c>
      <c r="U1267" s="3">
        <v>20920.62</v>
      </c>
      <c r="V1267" s="3">
        <v>10094.86</v>
      </c>
      <c r="W1267" s="3">
        <v>10825.76</v>
      </c>
      <c r="X1267" s="3">
        <v>51.75</v>
      </c>
      <c r="Y1267" s="3">
        <v>149</v>
      </c>
      <c r="Z1267" s="3" t="s">
        <v>15</v>
      </c>
      <c r="AA1267" s="3" t="s">
        <v>100</v>
      </c>
      <c r="AB1267" s="3" t="s">
        <v>101</v>
      </c>
      <c r="AC1267" s="3">
        <v>2</v>
      </c>
    </row>
    <row r="1268" spans="1:29" x14ac:dyDescent="0.3">
      <c r="A1268" s="2" t="s">
        <v>6260</v>
      </c>
      <c r="B1268" s="2" t="s">
        <v>6261</v>
      </c>
      <c r="C1268" s="2" t="s">
        <v>2257</v>
      </c>
      <c r="D1268" s="2" t="s">
        <v>6262</v>
      </c>
      <c r="E1268" s="2" t="s">
        <v>26</v>
      </c>
      <c r="F1268" s="2" t="s">
        <v>1315</v>
      </c>
      <c r="G1268" s="2" t="s">
        <v>826</v>
      </c>
      <c r="H1268" s="2" t="s">
        <v>2791</v>
      </c>
      <c r="I1268" s="2">
        <v>2</v>
      </c>
      <c r="J1268" s="2" t="s">
        <v>39</v>
      </c>
      <c r="K1268" s="2" t="s">
        <v>109</v>
      </c>
      <c r="L1268" s="2" t="s">
        <v>134</v>
      </c>
      <c r="M1268" s="2" t="s">
        <v>6263</v>
      </c>
      <c r="N1268" s="2" t="s">
        <v>418</v>
      </c>
      <c r="O1268" s="2" t="s">
        <v>13</v>
      </c>
      <c r="P1268" s="2" t="s">
        <v>419</v>
      </c>
      <c r="Q1268" s="2" t="s">
        <v>400</v>
      </c>
      <c r="R1268" s="2">
        <v>3</v>
      </c>
      <c r="S1268" s="2">
        <v>34475.03</v>
      </c>
      <c r="T1268" s="2">
        <v>15</v>
      </c>
      <c r="U1268" s="2">
        <v>87911.33</v>
      </c>
      <c r="V1268" s="2">
        <v>46658.080000000002</v>
      </c>
      <c r="W1268" s="2">
        <v>41253.25</v>
      </c>
      <c r="X1268" s="2">
        <v>46.93</v>
      </c>
      <c r="Y1268" s="2">
        <v>29</v>
      </c>
      <c r="Z1268" s="2" t="s">
        <v>43</v>
      </c>
      <c r="AA1268" s="2" t="s">
        <v>275</v>
      </c>
      <c r="AB1268" s="2" t="s">
        <v>101</v>
      </c>
      <c r="AC1268" s="2"/>
    </row>
    <row r="1269" spans="1:29" x14ac:dyDescent="0.3">
      <c r="A1269" s="3" t="s">
        <v>6264</v>
      </c>
      <c r="B1269" s="3" t="s">
        <v>6265</v>
      </c>
      <c r="C1269" s="3" t="s">
        <v>2729</v>
      </c>
      <c r="D1269" s="3" t="s">
        <v>6266</v>
      </c>
      <c r="E1269" s="3" t="s">
        <v>33</v>
      </c>
      <c r="F1269" s="3" t="s">
        <v>1048</v>
      </c>
      <c r="G1269" s="3" t="s">
        <v>1049</v>
      </c>
      <c r="H1269" s="3" t="s">
        <v>1099</v>
      </c>
      <c r="I1269" s="3">
        <v>5</v>
      </c>
      <c r="J1269" s="3" t="s">
        <v>14</v>
      </c>
      <c r="K1269" s="3" t="s">
        <v>215</v>
      </c>
      <c r="L1269" s="3" t="s">
        <v>215</v>
      </c>
      <c r="M1269" s="3" t="s">
        <v>6267</v>
      </c>
      <c r="N1269" s="3" t="s">
        <v>1535</v>
      </c>
      <c r="O1269" s="3" t="s">
        <v>13</v>
      </c>
      <c r="P1269" s="3" t="s">
        <v>98</v>
      </c>
      <c r="Q1269" s="3" t="s">
        <v>400</v>
      </c>
      <c r="R1269" s="3">
        <v>4</v>
      </c>
      <c r="S1269" s="3">
        <v>43254.48</v>
      </c>
      <c r="T1269" s="3">
        <v>15</v>
      </c>
      <c r="U1269" s="3">
        <v>147065.23000000001</v>
      </c>
      <c r="V1269" s="3">
        <v>96266.19</v>
      </c>
      <c r="W1269" s="3">
        <v>50799.040000000001</v>
      </c>
      <c r="X1269" s="3">
        <v>34.54</v>
      </c>
      <c r="Y1269" s="3">
        <v>99</v>
      </c>
      <c r="Z1269" s="3" t="s">
        <v>30</v>
      </c>
      <c r="AA1269" s="3" t="s">
        <v>100</v>
      </c>
      <c r="AB1269" s="3" t="s">
        <v>101</v>
      </c>
      <c r="AC1269" s="3"/>
    </row>
    <row r="1270" spans="1:29" x14ac:dyDescent="0.3">
      <c r="A1270" s="2" t="s">
        <v>6268</v>
      </c>
      <c r="B1270" s="2" t="s">
        <v>6269</v>
      </c>
      <c r="C1270" s="2" t="s">
        <v>1233</v>
      </c>
      <c r="D1270" s="2" t="s">
        <v>6270</v>
      </c>
      <c r="E1270" s="2" t="s">
        <v>26</v>
      </c>
      <c r="F1270" s="2" t="s">
        <v>3520</v>
      </c>
      <c r="G1270" s="2" t="s">
        <v>1889</v>
      </c>
      <c r="H1270" s="2" t="s">
        <v>654</v>
      </c>
      <c r="I1270" s="2">
        <v>5</v>
      </c>
      <c r="J1270" s="2" t="s">
        <v>14</v>
      </c>
      <c r="K1270" s="2" t="s">
        <v>712</v>
      </c>
      <c r="L1270" s="2" t="s">
        <v>712</v>
      </c>
      <c r="M1270" s="2" t="s">
        <v>6271</v>
      </c>
      <c r="N1270" s="2" t="s">
        <v>1603</v>
      </c>
      <c r="O1270" s="2" t="s">
        <v>19</v>
      </c>
      <c r="P1270" s="2" t="s">
        <v>365</v>
      </c>
      <c r="Q1270" s="2" t="s">
        <v>138</v>
      </c>
      <c r="R1270" s="2">
        <v>4</v>
      </c>
      <c r="S1270" s="2">
        <v>10769.96</v>
      </c>
      <c r="T1270" s="2">
        <v>5</v>
      </c>
      <c r="U1270" s="2">
        <v>40925.85</v>
      </c>
      <c r="V1270" s="2">
        <v>20116.900000000001</v>
      </c>
      <c r="W1270" s="2">
        <v>20808.95</v>
      </c>
      <c r="X1270" s="2">
        <v>50.85</v>
      </c>
      <c r="Y1270" s="2">
        <v>99</v>
      </c>
      <c r="Z1270" s="2" t="s">
        <v>15</v>
      </c>
      <c r="AA1270" s="2" t="s">
        <v>100</v>
      </c>
      <c r="AB1270" s="2" t="s">
        <v>101</v>
      </c>
      <c r="AC1270" s="2">
        <v>5</v>
      </c>
    </row>
    <row r="1271" spans="1:29" x14ac:dyDescent="0.3">
      <c r="A1271" s="3" t="s">
        <v>6272</v>
      </c>
      <c r="B1271" s="3" t="s">
        <v>6273</v>
      </c>
      <c r="C1271" s="3" t="s">
        <v>2345</v>
      </c>
      <c r="D1271" s="3" t="s">
        <v>6274</v>
      </c>
      <c r="E1271" s="3" t="s">
        <v>18</v>
      </c>
      <c r="F1271" s="3" t="s">
        <v>3614</v>
      </c>
      <c r="G1271" s="3" t="s">
        <v>516</v>
      </c>
      <c r="H1271" s="3" t="s">
        <v>1113</v>
      </c>
      <c r="I1271" s="3">
        <v>3</v>
      </c>
      <c r="J1271" s="3" t="s">
        <v>14</v>
      </c>
      <c r="K1271" s="3" t="s">
        <v>171</v>
      </c>
      <c r="L1271" s="3" t="s">
        <v>172</v>
      </c>
      <c r="M1271" s="3" t="s">
        <v>6275</v>
      </c>
      <c r="N1271" s="3" t="s">
        <v>364</v>
      </c>
      <c r="O1271" s="3" t="s">
        <v>19</v>
      </c>
      <c r="P1271" s="3" t="s">
        <v>365</v>
      </c>
      <c r="Q1271" s="3" t="s">
        <v>509</v>
      </c>
      <c r="R1271" s="3">
        <v>1</v>
      </c>
      <c r="S1271" s="3">
        <v>3053.54</v>
      </c>
      <c r="T1271" s="3">
        <v>0</v>
      </c>
      <c r="U1271" s="3">
        <v>3053.54</v>
      </c>
      <c r="V1271" s="3">
        <v>1966.88</v>
      </c>
      <c r="W1271" s="3">
        <v>1086.6600000000001</v>
      </c>
      <c r="X1271" s="3">
        <v>35.590000000000003</v>
      </c>
      <c r="Y1271" s="3">
        <v>49</v>
      </c>
      <c r="Z1271" s="3" t="s">
        <v>15</v>
      </c>
      <c r="AA1271" s="3" t="s">
        <v>275</v>
      </c>
      <c r="AB1271" s="3" t="s">
        <v>101</v>
      </c>
      <c r="AC1271" s="3"/>
    </row>
    <row r="1272" spans="1:29" x14ac:dyDescent="0.3">
      <c r="A1272" s="2" t="s">
        <v>6276</v>
      </c>
      <c r="B1272" s="2" t="s">
        <v>6277</v>
      </c>
      <c r="C1272" s="2" t="s">
        <v>3903</v>
      </c>
      <c r="D1272" s="2" t="s">
        <v>6278</v>
      </c>
      <c r="E1272" s="2" t="s">
        <v>26</v>
      </c>
      <c r="F1272" s="2" t="s">
        <v>581</v>
      </c>
      <c r="G1272" s="2" t="s">
        <v>2227</v>
      </c>
      <c r="H1272" s="2" t="s">
        <v>1480</v>
      </c>
      <c r="I1272" s="2">
        <v>6</v>
      </c>
      <c r="J1272" s="2" t="s">
        <v>14</v>
      </c>
      <c r="K1272" s="2" t="s">
        <v>95</v>
      </c>
      <c r="L1272" s="2" t="s">
        <v>95</v>
      </c>
      <c r="M1272" s="2" t="s">
        <v>2964</v>
      </c>
      <c r="N1272" s="2" t="s">
        <v>409</v>
      </c>
      <c r="O1272" s="2" t="s">
        <v>21</v>
      </c>
      <c r="P1272" s="2" t="s">
        <v>196</v>
      </c>
      <c r="Q1272" s="2" t="s">
        <v>400</v>
      </c>
      <c r="R1272" s="2">
        <v>1</v>
      </c>
      <c r="S1272" s="2">
        <v>10305.82</v>
      </c>
      <c r="T1272" s="2">
        <v>30</v>
      </c>
      <c r="U1272" s="2">
        <v>7214.07</v>
      </c>
      <c r="V1272" s="2">
        <v>4137.3999999999996</v>
      </c>
      <c r="W1272" s="2">
        <v>3076.67</v>
      </c>
      <c r="X1272" s="2">
        <v>42.65</v>
      </c>
      <c r="Y1272" s="2">
        <v>149</v>
      </c>
      <c r="Z1272" s="2" t="s">
        <v>47</v>
      </c>
      <c r="AA1272" s="2" t="s">
        <v>672</v>
      </c>
      <c r="AB1272" s="2" t="s">
        <v>101</v>
      </c>
      <c r="AC1272" s="2"/>
    </row>
    <row r="1273" spans="1:29" x14ac:dyDescent="0.3">
      <c r="A1273" s="3" t="s">
        <v>6279</v>
      </c>
      <c r="B1273" s="3" t="s">
        <v>6280</v>
      </c>
      <c r="C1273" s="3" t="s">
        <v>554</v>
      </c>
      <c r="D1273" s="3" t="s">
        <v>6281</v>
      </c>
      <c r="E1273" s="3" t="s">
        <v>18</v>
      </c>
      <c r="F1273" s="3" t="s">
        <v>1007</v>
      </c>
      <c r="G1273" s="3" t="s">
        <v>1950</v>
      </c>
      <c r="H1273" s="3" t="s">
        <v>5791</v>
      </c>
      <c r="I1273" s="3">
        <v>4</v>
      </c>
      <c r="J1273" s="3" t="s">
        <v>22</v>
      </c>
      <c r="K1273" s="3" t="s">
        <v>283</v>
      </c>
      <c r="L1273" s="3" t="s">
        <v>284</v>
      </c>
      <c r="M1273" s="3" t="s">
        <v>6282</v>
      </c>
      <c r="N1273" s="3" t="s">
        <v>136</v>
      </c>
      <c r="O1273" s="3" t="s">
        <v>28</v>
      </c>
      <c r="P1273" s="3" t="s">
        <v>137</v>
      </c>
      <c r="Q1273" s="3" t="s">
        <v>207</v>
      </c>
      <c r="R1273" s="3">
        <v>1</v>
      </c>
      <c r="S1273" s="3">
        <v>14761.65</v>
      </c>
      <c r="T1273" s="3">
        <v>10</v>
      </c>
      <c r="U1273" s="3">
        <v>13285.49</v>
      </c>
      <c r="V1273" s="3">
        <v>8558.5</v>
      </c>
      <c r="W1273" s="3">
        <v>4726.99</v>
      </c>
      <c r="X1273" s="3">
        <v>35.58</v>
      </c>
      <c r="Y1273" s="3">
        <v>149</v>
      </c>
      <c r="Z1273" s="3" t="s">
        <v>40</v>
      </c>
      <c r="AA1273" s="3" t="s">
        <v>100</v>
      </c>
      <c r="AB1273" s="3" t="s">
        <v>101</v>
      </c>
      <c r="AC1273" s="3">
        <v>2</v>
      </c>
    </row>
    <row r="1274" spans="1:29" x14ac:dyDescent="0.3">
      <c r="A1274" s="2" t="s">
        <v>6283</v>
      </c>
      <c r="B1274" s="2" t="s">
        <v>6284</v>
      </c>
      <c r="C1274" s="2" t="s">
        <v>231</v>
      </c>
      <c r="D1274" s="2" t="s">
        <v>6285</v>
      </c>
      <c r="E1274" s="2" t="s">
        <v>42</v>
      </c>
      <c r="F1274" s="2" t="s">
        <v>5260</v>
      </c>
      <c r="G1274" s="2" t="s">
        <v>4181</v>
      </c>
      <c r="H1274" s="2" t="s">
        <v>1070</v>
      </c>
      <c r="I1274" s="2">
        <v>8</v>
      </c>
      <c r="J1274" s="2" t="s">
        <v>22</v>
      </c>
      <c r="K1274" s="2" t="s">
        <v>443</v>
      </c>
      <c r="L1274" s="2" t="s">
        <v>567</v>
      </c>
      <c r="M1274" s="2" t="s">
        <v>6286</v>
      </c>
      <c r="N1274" s="2" t="s">
        <v>256</v>
      </c>
      <c r="O1274" s="2" t="s">
        <v>27</v>
      </c>
      <c r="P1274" s="2" t="s">
        <v>257</v>
      </c>
      <c r="Q1274" s="2" t="s">
        <v>152</v>
      </c>
      <c r="R1274" s="2">
        <v>1</v>
      </c>
      <c r="S1274" s="2">
        <v>44555.92</v>
      </c>
      <c r="T1274" s="2">
        <v>0</v>
      </c>
      <c r="U1274" s="2">
        <v>44555.92</v>
      </c>
      <c r="V1274" s="2">
        <v>20247.75</v>
      </c>
      <c r="W1274" s="2">
        <v>24308.17</v>
      </c>
      <c r="X1274" s="2">
        <v>54.56</v>
      </c>
      <c r="Y1274" s="2">
        <v>49</v>
      </c>
      <c r="Z1274" s="2" t="s">
        <v>15</v>
      </c>
      <c r="AA1274" s="2" t="s">
        <v>100</v>
      </c>
      <c r="AB1274" s="2" t="s">
        <v>101</v>
      </c>
      <c r="AC1274" s="2">
        <v>5</v>
      </c>
    </row>
    <row r="1275" spans="1:29" x14ac:dyDescent="0.3">
      <c r="A1275" s="3" t="s">
        <v>6287</v>
      </c>
      <c r="B1275" s="3" t="s">
        <v>6288</v>
      </c>
      <c r="C1275" s="3" t="s">
        <v>1737</v>
      </c>
      <c r="D1275" s="3" t="s">
        <v>6289</v>
      </c>
      <c r="E1275" s="3" t="s">
        <v>33</v>
      </c>
      <c r="F1275" s="3" t="s">
        <v>1579</v>
      </c>
      <c r="G1275" s="3" t="s">
        <v>4218</v>
      </c>
      <c r="H1275" s="3" t="s">
        <v>3115</v>
      </c>
      <c r="I1275" s="3">
        <v>8</v>
      </c>
      <c r="J1275" s="3" t="s">
        <v>22</v>
      </c>
      <c r="K1275" s="3" t="s">
        <v>254</v>
      </c>
      <c r="L1275" s="3" t="s">
        <v>254</v>
      </c>
      <c r="M1275" s="3" t="s">
        <v>6290</v>
      </c>
      <c r="N1275" s="3" t="s">
        <v>924</v>
      </c>
      <c r="O1275" s="3" t="s">
        <v>13</v>
      </c>
      <c r="P1275" s="3" t="s">
        <v>228</v>
      </c>
      <c r="Q1275" s="3" t="s">
        <v>114</v>
      </c>
      <c r="R1275" s="3">
        <v>5</v>
      </c>
      <c r="S1275" s="3">
        <v>26247.25</v>
      </c>
      <c r="T1275" s="3">
        <v>15</v>
      </c>
      <c r="U1275" s="3">
        <v>111550.81</v>
      </c>
      <c r="V1275" s="3">
        <v>66301.41</v>
      </c>
      <c r="W1275" s="3">
        <v>45249.4</v>
      </c>
      <c r="X1275" s="3">
        <v>40.56</v>
      </c>
      <c r="Y1275" s="3">
        <v>49</v>
      </c>
      <c r="Z1275" s="3" t="s">
        <v>43</v>
      </c>
      <c r="AA1275" s="3" t="s">
        <v>100</v>
      </c>
      <c r="AB1275" s="3" t="s">
        <v>101</v>
      </c>
      <c r="AC1275" s="3">
        <v>5</v>
      </c>
    </row>
    <row r="1276" spans="1:29" x14ac:dyDescent="0.3">
      <c r="A1276" s="2" t="s">
        <v>6291</v>
      </c>
      <c r="B1276" s="2" t="s">
        <v>6292</v>
      </c>
      <c r="C1276" s="2" t="s">
        <v>1730</v>
      </c>
      <c r="D1276" s="2" t="s">
        <v>6293</v>
      </c>
      <c r="E1276" s="2" t="s">
        <v>18</v>
      </c>
      <c r="F1276" s="2" t="s">
        <v>833</v>
      </c>
      <c r="G1276" s="2" t="s">
        <v>5813</v>
      </c>
      <c r="H1276" s="2" t="s">
        <v>2594</v>
      </c>
      <c r="I1276" s="2">
        <v>6</v>
      </c>
      <c r="J1276" s="2" t="s">
        <v>29</v>
      </c>
      <c r="K1276" s="2" t="s">
        <v>148</v>
      </c>
      <c r="L1276" s="2" t="s">
        <v>148</v>
      </c>
      <c r="M1276" s="2" t="s">
        <v>2713</v>
      </c>
      <c r="N1276" s="2" t="s">
        <v>316</v>
      </c>
      <c r="O1276" s="2" t="s">
        <v>28</v>
      </c>
      <c r="P1276" s="2" t="s">
        <v>137</v>
      </c>
      <c r="Q1276" s="2" t="s">
        <v>127</v>
      </c>
      <c r="R1276" s="2">
        <v>4</v>
      </c>
      <c r="S1276" s="2">
        <v>48340.9</v>
      </c>
      <c r="T1276" s="2">
        <v>0</v>
      </c>
      <c r="U1276" s="2">
        <v>193363.6</v>
      </c>
      <c r="V1276" s="2">
        <v>115685.27</v>
      </c>
      <c r="W1276" s="2">
        <v>77678.33</v>
      </c>
      <c r="X1276" s="2">
        <v>40.17</v>
      </c>
      <c r="Y1276" s="2">
        <v>49</v>
      </c>
      <c r="Z1276" s="2" t="s">
        <v>43</v>
      </c>
      <c r="AA1276" s="2" t="s">
        <v>100</v>
      </c>
      <c r="AB1276" s="2" t="s">
        <v>101</v>
      </c>
      <c r="AC1276" s="2">
        <v>5</v>
      </c>
    </row>
    <row r="1277" spans="1:29" x14ac:dyDescent="0.3">
      <c r="A1277" s="3" t="s">
        <v>6294</v>
      </c>
      <c r="B1277" s="3" t="s">
        <v>6295</v>
      </c>
      <c r="C1277" s="3" t="s">
        <v>2090</v>
      </c>
      <c r="D1277" s="3" t="s">
        <v>6296</v>
      </c>
      <c r="E1277" s="3" t="s">
        <v>26</v>
      </c>
      <c r="F1277" s="3" t="s">
        <v>842</v>
      </c>
      <c r="G1277" s="3" t="s">
        <v>93</v>
      </c>
      <c r="H1277" s="3" t="s">
        <v>843</v>
      </c>
      <c r="I1277" s="3">
        <v>4</v>
      </c>
      <c r="J1277" s="3" t="s">
        <v>39</v>
      </c>
      <c r="K1277" s="3" t="s">
        <v>324</v>
      </c>
      <c r="L1277" s="3" t="s">
        <v>325</v>
      </c>
      <c r="M1277" s="3" t="s">
        <v>2121</v>
      </c>
      <c r="N1277" s="3" t="s">
        <v>623</v>
      </c>
      <c r="O1277" s="3" t="s">
        <v>19</v>
      </c>
      <c r="P1277" s="3" t="s">
        <v>297</v>
      </c>
      <c r="Q1277" s="3" t="s">
        <v>197</v>
      </c>
      <c r="R1277" s="3">
        <v>3</v>
      </c>
      <c r="S1277" s="3">
        <v>41511.25</v>
      </c>
      <c r="T1277" s="3">
        <v>30</v>
      </c>
      <c r="U1277" s="3">
        <v>87173.62</v>
      </c>
      <c r="V1277" s="3">
        <v>51197.93</v>
      </c>
      <c r="W1277" s="3">
        <v>35975.69</v>
      </c>
      <c r="X1277" s="3">
        <v>41.27</v>
      </c>
      <c r="Y1277" s="3">
        <v>199</v>
      </c>
      <c r="Z1277" s="3" t="s">
        <v>23</v>
      </c>
      <c r="AA1277" s="3" t="s">
        <v>275</v>
      </c>
      <c r="AB1277" s="3" t="s">
        <v>101</v>
      </c>
      <c r="AC1277" s="3"/>
    </row>
    <row r="1278" spans="1:29" x14ac:dyDescent="0.3">
      <c r="A1278" s="2" t="s">
        <v>6297</v>
      </c>
      <c r="B1278" s="2" t="s">
        <v>6298</v>
      </c>
      <c r="C1278" s="2" t="s">
        <v>1045</v>
      </c>
      <c r="D1278" s="2" t="s">
        <v>6299</v>
      </c>
      <c r="E1278" s="2" t="s">
        <v>26</v>
      </c>
      <c r="F1278" s="2" t="s">
        <v>3452</v>
      </c>
      <c r="G1278" s="2" t="s">
        <v>3027</v>
      </c>
      <c r="H1278" s="2" t="s">
        <v>606</v>
      </c>
      <c r="I1278" s="2">
        <v>8</v>
      </c>
      <c r="J1278" s="2" t="s">
        <v>29</v>
      </c>
      <c r="K1278" s="2" t="s">
        <v>334</v>
      </c>
      <c r="L1278" s="2" t="s">
        <v>335</v>
      </c>
      <c r="M1278" s="2" t="s">
        <v>6300</v>
      </c>
      <c r="N1278" s="2" t="s">
        <v>704</v>
      </c>
      <c r="O1278" s="2" t="s">
        <v>13</v>
      </c>
      <c r="P1278" s="2" t="s">
        <v>419</v>
      </c>
      <c r="Q1278" s="2" t="s">
        <v>400</v>
      </c>
      <c r="R1278" s="2">
        <v>4</v>
      </c>
      <c r="S1278" s="2">
        <v>32565.26</v>
      </c>
      <c r="T1278" s="2">
        <v>15</v>
      </c>
      <c r="U1278" s="2">
        <v>110721.88</v>
      </c>
      <c r="V1278" s="2">
        <v>54585.440000000002</v>
      </c>
      <c r="W1278" s="2">
        <v>56136.44</v>
      </c>
      <c r="X1278" s="2">
        <v>50.7</v>
      </c>
      <c r="Y1278" s="2">
        <v>149</v>
      </c>
      <c r="Z1278" s="2" t="s">
        <v>47</v>
      </c>
      <c r="AA1278" s="2" t="s">
        <v>100</v>
      </c>
      <c r="AB1278" s="2" t="s">
        <v>101</v>
      </c>
      <c r="AC1278" s="2">
        <v>1</v>
      </c>
    </row>
    <row r="1279" spans="1:29" x14ac:dyDescent="0.3">
      <c r="A1279" s="3" t="s">
        <v>6301</v>
      </c>
      <c r="B1279" s="3" t="s">
        <v>6302</v>
      </c>
      <c r="C1279" s="3" t="s">
        <v>1683</v>
      </c>
      <c r="D1279" s="3" t="s">
        <v>6303</v>
      </c>
      <c r="E1279" s="3" t="s">
        <v>18</v>
      </c>
      <c r="F1279" s="3" t="s">
        <v>1146</v>
      </c>
      <c r="G1279" s="3" t="s">
        <v>3069</v>
      </c>
      <c r="H1279" s="3" t="s">
        <v>1147</v>
      </c>
      <c r="I1279" s="3">
        <v>2</v>
      </c>
      <c r="J1279" s="3" t="s">
        <v>29</v>
      </c>
      <c r="K1279" s="3" t="s">
        <v>148</v>
      </c>
      <c r="L1279" s="3" t="s">
        <v>148</v>
      </c>
      <c r="M1279" s="3" t="s">
        <v>6134</v>
      </c>
      <c r="N1279" s="3" t="s">
        <v>1603</v>
      </c>
      <c r="O1279" s="3" t="s">
        <v>19</v>
      </c>
      <c r="P1279" s="3" t="s">
        <v>365</v>
      </c>
      <c r="Q1279" s="3" t="s">
        <v>355</v>
      </c>
      <c r="R1279" s="3">
        <v>5</v>
      </c>
      <c r="S1279" s="3">
        <v>43611.09</v>
      </c>
      <c r="T1279" s="3">
        <v>25</v>
      </c>
      <c r="U1279" s="3">
        <v>163541.59</v>
      </c>
      <c r="V1279" s="3">
        <v>79876.570000000007</v>
      </c>
      <c r="W1279" s="3">
        <v>83665.02</v>
      </c>
      <c r="X1279" s="3">
        <v>51.16</v>
      </c>
      <c r="Y1279" s="3">
        <v>149</v>
      </c>
      <c r="Z1279" s="3" t="s">
        <v>40</v>
      </c>
      <c r="AA1279" s="3" t="s">
        <v>100</v>
      </c>
      <c r="AB1279" s="3" t="s">
        <v>101</v>
      </c>
      <c r="AC1279" s="3">
        <v>5</v>
      </c>
    </row>
    <row r="1280" spans="1:29" x14ac:dyDescent="0.3">
      <c r="A1280" s="2" t="s">
        <v>6304</v>
      </c>
      <c r="B1280" s="2" t="s">
        <v>6305</v>
      </c>
      <c r="C1280" s="2" t="s">
        <v>1152</v>
      </c>
      <c r="D1280" s="2" t="s">
        <v>6306</v>
      </c>
      <c r="E1280" s="2" t="s">
        <v>18</v>
      </c>
      <c r="F1280" s="2" t="s">
        <v>106</v>
      </c>
      <c r="G1280" s="2" t="s">
        <v>2211</v>
      </c>
      <c r="H1280" s="2" t="s">
        <v>1799</v>
      </c>
      <c r="I1280" s="2">
        <v>3</v>
      </c>
      <c r="J1280" s="2" t="s">
        <v>39</v>
      </c>
      <c r="K1280" s="2" t="s">
        <v>314</v>
      </c>
      <c r="L1280" s="2" t="s">
        <v>314</v>
      </c>
      <c r="M1280" s="2" t="s">
        <v>6307</v>
      </c>
      <c r="N1280" s="2" t="s">
        <v>286</v>
      </c>
      <c r="O1280" s="2" t="s">
        <v>28</v>
      </c>
      <c r="P1280" s="2" t="s">
        <v>137</v>
      </c>
      <c r="Q1280" s="2" t="s">
        <v>152</v>
      </c>
      <c r="R1280" s="2">
        <v>5</v>
      </c>
      <c r="S1280" s="2">
        <v>9899.8700000000008</v>
      </c>
      <c r="T1280" s="2">
        <v>5</v>
      </c>
      <c r="U1280" s="2">
        <v>47024.38</v>
      </c>
      <c r="V1280" s="2">
        <v>32671.200000000001</v>
      </c>
      <c r="W1280" s="2">
        <v>14353.18</v>
      </c>
      <c r="X1280" s="2">
        <v>30.52</v>
      </c>
      <c r="Y1280" s="2">
        <v>149</v>
      </c>
      <c r="Z1280" s="2" t="s">
        <v>43</v>
      </c>
      <c r="AA1280" s="2" t="s">
        <v>100</v>
      </c>
      <c r="AB1280" s="2" t="s">
        <v>101</v>
      </c>
      <c r="AC1280" s="2">
        <v>1</v>
      </c>
    </row>
    <row r="1281" spans="1:29" x14ac:dyDescent="0.3">
      <c r="A1281" s="3" t="s">
        <v>6308</v>
      </c>
      <c r="B1281" s="3" t="s">
        <v>6309</v>
      </c>
      <c r="C1281" s="3" t="s">
        <v>2460</v>
      </c>
      <c r="D1281" s="3" t="s">
        <v>6310</v>
      </c>
      <c r="E1281" s="3" t="s">
        <v>26</v>
      </c>
      <c r="F1281" s="3" t="s">
        <v>1354</v>
      </c>
      <c r="G1281" s="3" t="s">
        <v>119</v>
      </c>
      <c r="H1281" s="3" t="s">
        <v>4863</v>
      </c>
      <c r="I1281" s="3">
        <v>7</v>
      </c>
      <c r="J1281" s="3" t="s">
        <v>22</v>
      </c>
      <c r="K1281" s="3" t="s">
        <v>122</v>
      </c>
      <c r="L1281" s="3" t="s">
        <v>812</v>
      </c>
      <c r="M1281" s="3" t="s">
        <v>6311</v>
      </c>
      <c r="N1281" s="3" t="s">
        <v>592</v>
      </c>
      <c r="O1281" s="3" t="s">
        <v>21</v>
      </c>
      <c r="P1281" s="3" t="s">
        <v>206</v>
      </c>
      <c r="Q1281" s="3" t="s">
        <v>218</v>
      </c>
      <c r="R1281" s="3">
        <v>1</v>
      </c>
      <c r="S1281" s="3">
        <v>24034.06</v>
      </c>
      <c r="T1281" s="3">
        <v>20</v>
      </c>
      <c r="U1281" s="3">
        <v>19227.25</v>
      </c>
      <c r="V1281" s="3">
        <v>11182.01</v>
      </c>
      <c r="W1281" s="3">
        <v>8045.24</v>
      </c>
      <c r="X1281" s="3">
        <v>41.84</v>
      </c>
      <c r="Y1281" s="3">
        <v>149</v>
      </c>
      <c r="Z1281" s="3" t="s">
        <v>40</v>
      </c>
      <c r="AA1281" s="3" t="s">
        <v>100</v>
      </c>
      <c r="AB1281" s="3" t="s">
        <v>101</v>
      </c>
      <c r="AC1281" s="3">
        <v>5</v>
      </c>
    </row>
    <row r="1282" spans="1:29" x14ac:dyDescent="0.3">
      <c r="A1282" s="2" t="s">
        <v>6312</v>
      </c>
      <c r="B1282" s="2" t="s">
        <v>3359</v>
      </c>
      <c r="C1282" s="2" t="s">
        <v>1177</v>
      </c>
      <c r="D1282" s="2" t="s">
        <v>6313</v>
      </c>
      <c r="E1282" s="2" t="s">
        <v>18</v>
      </c>
      <c r="F1282" s="2" t="s">
        <v>3068</v>
      </c>
      <c r="G1282" s="2" t="s">
        <v>6314</v>
      </c>
      <c r="H1282" s="2" t="s">
        <v>1146</v>
      </c>
      <c r="I1282" s="2">
        <v>6</v>
      </c>
      <c r="J1282" s="2" t="s">
        <v>22</v>
      </c>
      <c r="K1282" s="2" t="s">
        <v>283</v>
      </c>
      <c r="L1282" s="2" t="s">
        <v>1346</v>
      </c>
      <c r="M1282" s="2" t="s">
        <v>499</v>
      </c>
      <c r="N1282" s="2" t="s">
        <v>409</v>
      </c>
      <c r="O1282" s="2" t="s">
        <v>21</v>
      </c>
      <c r="P1282" s="2" t="s">
        <v>196</v>
      </c>
      <c r="Q1282" s="2" t="s">
        <v>197</v>
      </c>
      <c r="R1282" s="2">
        <v>2</v>
      </c>
      <c r="S1282" s="2">
        <v>45400.21</v>
      </c>
      <c r="T1282" s="2">
        <v>0</v>
      </c>
      <c r="U1282" s="2">
        <v>90800.42</v>
      </c>
      <c r="V1282" s="2">
        <v>57327.17</v>
      </c>
      <c r="W1282" s="2">
        <v>33473.25</v>
      </c>
      <c r="X1282" s="2">
        <v>36.86</v>
      </c>
      <c r="Y1282" s="2">
        <v>199</v>
      </c>
      <c r="Z1282" s="2" t="s">
        <v>40</v>
      </c>
      <c r="AA1282" s="2" t="s">
        <v>275</v>
      </c>
      <c r="AB1282" s="2" t="s">
        <v>101</v>
      </c>
      <c r="AC1282" s="2"/>
    </row>
    <row r="1283" spans="1:29" x14ac:dyDescent="0.3">
      <c r="A1283" s="3" t="s">
        <v>6315</v>
      </c>
      <c r="B1283" s="3" t="s">
        <v>6316</v>
      </c>
      <c r="C1283" s="3" t="s">
        <v>2298</v>
      </c>
      <c r="D1283" s="3" t="s">
        <v>6317</v>
      </c>
      <c r="E1283" s="3" t="s">
        <v>26</v>
      </c>
      <c r="F1283" s="3" t="s">
        <v>6141</v>
      </c>
      <c r="G1283" s="3" t="s">
        <v>1640</v>
      </c>
      <c r="H1283" s="3" t="s">
        <v>1354</v>
      </c>
      <c r="I1283" s="3">
        <v>2</v>
      </c>
      <c r="J1283" s="3" t="s">
        <v>14</v>
      </c>
      <c r="K1283" s="3" t="s">
        <v>171</v>
      </c>
      <c r="L1283" s="3" t="s">
        <v>407</v>
      </c>
      <c r="M1283" s="3" t="s">
        <v>6318</v>
      </c>
      <c r="N1283" s="3" t="s">
        <v>354</v>
      </c>
      <c r="O1283" s="3" t="s">
        <v>21</v>
      </c>
      <c r="P1283" s="3" t="s">
        <v>196</v>
      </c>
      <c r="Q1283" s="3" t="s">
        <v>608</v>
      </c>
      <c r="R1283" s="3">
        <v>3</v>
      </c>
      <c r="S1283" s="3">
        <v>5408.51</v>
      </c>
      <c r="T1283" s="3">
        <v>30</v>
      </c>
      <c r="U1283" s="3">
        <v>11357.87</v>
      </c>
      <c r="V1283" s="3">
        <v>5569.9</v>
      </c>
      <c r="W1283" s="3">
        <v>5787.97</v>
      </c>
      <c r="X1283" s="3">
        <v>50.96</v>
      </c>
      <c r="Y1283" s="3">
        <v>49</v>
      </c>
      <c r="Z1283" s="3" t="s">
        <v>47</v>
      </c>
      <c r="AA1283" s="3" t="s">
        <v>139</v>
      </c>
      <c r="AB1283" s="3" t="s">
        <v>140</v>
      </c>
      <c r="AC1283" s="3"/>
    </row>
    <row r="1284" spans="1:29" x14ac:dyDescent="0.3">
      <c r="A1284" s="2" t="s">
        <v>6319</v>
      </c>
      <c r="B1284" s="2" t="s">
        <v>6320</v>
      </c>
      <c r="C1284" s="2" t="s">
        <v>1717</v>
      </c>
      <c r="D1284" s="2" t="s">
        <v>6321</v>
      </c>
      <c r="E1284" s="2" t="s">
        <v>42</v>
      </c>
      <c r="F1284" s="2" t="s">
        <v>3452</v>
      </c>
      <c r="G1284" s="2" t="s">
        <v>3027</v>
      </c>
      <c r="H1284" s="2" t="s">
        <v>6322</v>
      </c>
      <c r="I1284" s="2">
        <v>2</v>
      </c>
      <c r="J1284" s="2" t="s">
        <v>22</v>
      </c>
      <c r="K1284" s="2" t="s">
        <v>443</v>
      </c>
      <c r="L1284" s="2" t="s">
        <v>498</v>
      </c>
      <c r="M1284" s="2" t="s">
        <v>6323</v>
      </c>
      <c r="N1284" s="2" t="s">
        <v>306</v>
      </c>
      <c r="O1284" s="2" t="s">
        <v>21</v>
      </c>
      <c r="P1284" s="2" t="s">
        <v>126</v>
      </c>
      <c r="Q1284" s="2" t="s">
        <v>138</v>
      </c>
      <c r="R1284" s="2">
        <v>5</v>
      </c>
      <c r="S1284" s="2">
        <v>463.49</v>
      </c>
      <c r="T1284" s="2">
        <v>20</v>
      </c>
      <c r="U1284" s="2">
        <v>1853.96</v>
      </c>
      <c r="V1284" s="2">
        <v>1107.46</v>
      </c>
      <c r="W1284" s="2">
        <v>746.5</v>
      </c>
      <c r="X1284" s="2">
        <v>40.270000000000003</v>
      </c>
      <c r="Y1284" s="2">
        <v>49</v>
      </c>
      <c r="Z1284" s="2" t="s">
        <v>15</v>
      </c>
      <c r="AA1284" s="2" t="s">
        <v>100</v>
      </c>
      <c r="AB1284" s="2" t="s">
        <v>140</v>
      </c>
      <c r="AC1284" s="2">
        <v>2</v>
      </c>
    </row>
    <row r="1285" spans="1:29" x14ac:dyDescent="0.3">
      <c r="A1285" s="3" t="s">
        <v>6324</v>
      </c>
      <c r="B1285" s="3" t="s">
        <v>6325</v>
      </c>
      <c r="C1285" s="3" t="s">
        <v>1364</v>
      </c>
      <c r="D1285" s="3" t="s">
        <v>6326</v>
      </c>
      <c r="E1285" s="3" t="s">
        <v>42</v>
      </c>
      <c r="F1285" s="3" t="s">
        <v>3025</v>
      </c>
      <c r="G1285" s="3" t="s">
        <v>3452</v>
      </c>
      <c r="H1285" s="3" t="s">
        <v>6327</v>
      </c>
      <c r="I1285" s="3">
        <v>6</v>
      </c>
      <c r="J1285" s="3" t="s">
        <v>22</v>
      </c>
      <c r="K1285" s="3" t="s">
        <v>254</v>
      </c>
      <c r="L1285" s="3" t="s">
        <v>254</v>
      </c>
      <c r="M1285" s="3" t="s">
        <v>6328</v>
      </c>
      <c r="N1285" s="3" t="s">
        <v>648</v>
      </c>
      <c r="O1285" s="3" t="s">
        <v>27</v>
      </c>
      <c r="P1285" s="3" t="s">
        <v>113</v>
      </c>
      <c r="Q1285" s="3" t="s">
        <v>114</v>
      </c>
      <c r="R1285" s="3">
        <v>3</v>
      </c>
      <c r="S1285" s="3">
        <v>27799.3</v>
      </c>
      <c r="T1285" s="3">
        <v>30</v>
      </c>
      <c r="U1285" s="3">
        <v>58378.53</v>
      </c>
      <c r="V1285" s="3">
        <v>40417.129999999997</v>
      </c>
      <c r="W1285" s="3">
        <v>17961.400000000001</v>
      </c>
      <c r="X1285" s="3">
        <v>30.77</v>
      </c>
      <c r="Y1285" s="3">
        <v>149</v>
      </c>
      <c r="Z1285" s="3" t="s">
        <v>15</v>
      </c>
      <c r="AA1285" s="3" t="s">
        <v>100</v>
      </c>
      <c r="AB1285" s="3" t="s">
        <v>101</v>
      </c>
      <c r="AC1285" s="3">
        <v>3</v>
      </c>
    </row>
    <row r="1286" spans="1:29" x14ac:dyDescent="0.3">
      <c r="A1286" s="2" t="s">
        <v>6329</v>
      </c>
      <c r="B1286" s="2" t="s">
        <v>6330</v>
      </c>
      <c r="C1286" s="2" t="s">
        <v>2729</v>
      </c>
      <c r="D1286" s="2" t="s">
        <v>6331</v>
      </c>
      <c r="E1286" s="2" t="s">
        <v>33</v>
      </c>
      <c r="F1286" s="2" t="s">
        <v>3394</v>
      </c>
      <c r="G1286" s="2" t="s">
        <v>3679</v>
      </c>
      <c r="H1286" s="2" t="s">
        <v>1660</v>
      </c>
      <c r="I1286" s="2">
        <v>6</v>
      </c>
      <c r="J1286" s="2" t="s">
        <v>22</v>
      </c>
      <c r="K1286" s="2" t="s">
        <v>738</v>
      </c>
      <c r="L1286" s="2" t="s">
        <v>738</v>
      </c>
      <c r="M1286" s="2" t="s">
        <v>6332</v>
      </c>
      <c r="N1286" s="2" t="s">
        <v>465</v>
      </c>
      <c r="O1286" s="2" t="s">
        <v>19</v>
      </c>
      <c r="P1286" s="2" t="s">
        <v>447</v>
      </c>
      <c r="Q1286" s="2" t="s">
        <v>99</v>
      </c>
      <c r="R1286" s="2">
        <v>3</v>
      </c>
      <c r="S1286" s="2">
        <v>23849.86</v>
      </c>
      <c r="T1286" s="2">
        <v>0</v>
      </c>
      <c r="U1286" s="2">
        <v>71549.58</v>
      </c>
      <c r="V1286" s="2">
        <v>46598.11</v>
      </c>
      <c r="W1286" s="2">
        <v>24951.47</v>
      </c>
      <c r="X1286" s="2">
        <v>34.869999999999997</v>
      </c>
      <c r="Y1286" s="2">
        <v>149</v>
      </c>
      <c r="Z1286" s="2" t="s">
        <v>30</v>
      </c>
      <c r="AA1286" s="2" t="s">
        <v>100</v>
      </c>
      <c r="AB1286" s="2" t="s">
        <v>101</v>
      </c>
      <c r="AC1286" s="2">
        <v>2</v>
      </c>
    </row>
    <row r="1287" spans="1:29" x14ac:dyDescent="0.3">
      <c r="A1287" s="3" t="s">
        <v>6333</v>
      </c>
      <c r="B1287" s="3" t="s">
        <v>6334</v>
      </c>
      <c r="C1287" s="3" t="s">
        <v>4964</v>
      </c>
      <c r="D1287" s="3" t="s">
        <v>6335</v>
      </c>
      <c r="E1287" s="3" t="s">
        <v>18</v>
      </c>
      <c r="F1287" s="3" t="s">
        <v>2542</v>
      </c>
      <c r="G1287" s="3" t="s">
        <v>1931</v>
      </c>
      <c r="H1287" s="3" t="s">
        <v>280</v>
      </c>
      <c r="I1287" s="3">
        <v>5</v>
      </c>
      <c r="J1287" s="3" t="s">
        <v>22</v>
      </c>
      <c r="K1287" s="3" t="s">
        <v>283</v>
      </c>
      <c r="L1287" s="3" t="s">
        <v>748</v>
      </c>
      <c r="M1287" s="3" t="s">
        <v>6336</v>
      </c>
      <c r="N1287" s="3" t="s">
        <v>3017</v>
      </c>
      <c r="O1287" s="3" t="s">
        <v>13</v>
      </c>
      <c r="P1287" s="3" t="s">
        <v>419</v>
      </c>
      <c r="Q1287" s="3" t="s">
        <v>152</v>
      </c>
      <c r="R1287" s="3">
        <v>1</v>
      </c>
      <c r="S1287" s="3">
        <v>23571.33</v>
      </c>
      <c r="T1287" s="3">
        <v>0</v>
      </c>
      <c r="U1287" s="3">
        <v>23571.33</v>
      </c>
      <c r="V1287" s="3">
        <v>13214.73</v>
      </c>
      <c r="W1287" s="3">
        <v>10356.6</v>
      </c>
      <c r="X1287" s="3">
        <v>43.94</v>
      </c>
      <c r="Y1287" s="3">
        <v>99</v>
      </c>
      <c r="Z1287" s="3" t="s">
        <v>40</v>
      </c>
      <c r="AA1287" s="3" t="s">
        <v>139</v>
      </c>
      <c r="AB1287" s="3" t="s">
        <v>140</v>
      </c>
      <c r="AC1287" s="3"/>
    </row>
    <row r="1288" spans="1:29" x14ac:dyDescent="0.3">
      <c r="A1288" s="2" t="s">
        <v>6337</v>
      </c>
      <c r="B1288" s="2" t="s">
        <v>6338</v>
      </c>
      <c r="C1288" s="2" t="s">
        <v>1177</v>
      </c>
      <c r="D1288" s="2" t="s">
        <v>6339</v>
      </c>
      <c r="E1288" s="2" t="s">
        <v>18</v>
      </c>
      <c r="F1288" s="2" t="s">
        <v>1622</v>
      </c>
      <c r="G1288" s="2" t="s">
        <v>581</v>
      </c>
      <c r="H1288" s="2" t="s">
        <v>1726</v>
      </c>
      <c r="I1288" s="2">
        <v>3</v>
      </c>
      <c r="J1288" s="2" t="s">
        <v>39</v>
      </c>
      <c r="K1288" s="2" t="s">
        <v>109</v>
      </c>
      <c r="L1288" s="2" t="s">
        <v>110</v>
      </c>
      <c r="M1288" s="2" t="s">
        <v>6340</v>
      </c>
      <c r="N1288" s="2" t="s">
        <v>686</v>
      </c>
      <c r="O1288" s="2" t="s">
        <v>13</v>
      </c>
      <c r="P1288" s="2" t="s">
        <v>228</v>
      </c>
      <c r="Q1288" s="2" t="s">
        <v>138</v>
      </c>
      <c r="R1288" s="2">
        <v>1</v>
      </c>
      <c r="S1288" s="2">
        <v>23664.86</v>
      </c>
      <c r="T1288" s="2">
        <v>25</v>
      </c>
      <c r="U1288" s="2">
        <v>17748.650000000001</v>
      </c>
      <c r="V1288" s="2">
        <v>11243.15</v>
      </c>
      <c r="W1288" s="2">
        <v>6505.5</v>
      </c>
      <c r="X1288" s="2">
        <v>36.65</v>
      </c>
      <c r="Y1288" s="2">
        <v>29</v>
      </c>
      <c r="Z1288" s="2" t="s">
        <v>47</v>
      </c>
      <c r="AA1288" s="2" t="s">
        <v>275</v>
      </c>
      <c r="AB1288" s="2" t="s">
        <v>101</v>
      </c>
      <c r="AC1288" s="2"/>
    </row>
    <row r="1289" spans="1:29" x14ac:dyDescent="0.3">
      <c r="A1289" s="3" t="s">
        <v>6341</v>
      </c>
      <c r="B1289" s="3" t="s">
        <v>6342</v>
      </c>
      <c r="C1289" s="3" t="s">
        <v>1097</v>
      </c>
      <c r="D1289" s="3" t="s">
        <v>6343</v>
      </c>
      <c r="E1289" s="3" t="s">
        <v>33</v>
      </c>
      <c r="F1289" s="3" t="s">
        <v>558</v>
      </c>
      <c r="G1289" s="3" t="s">
        <v>701</v>
      </c>
      <c r="H1289" s="3" t="s">
        <v>3479</v>
      </c>
      <c r="I1289" s="3">
        <v>7</v>
      </c>
      <c r="J1289" s="3" t="s">
        <v>39</v>
      </c>
      <c r="K1289" s="3" t="s">
        <v>109</v>
      </c>
      <c r="L1289" s="3" t="s">
        <v>134</v>
      </c>
      <c r="M1289" s="3" t="s">
        <v>2574</v>
      </c>
      <c r="N1289" s="3" t="s">
        <v>136</v>
      </c>
      <c r="O1289" s="3" t="s">
        <v>28</v>
      </c>
      <c r="P1289" s="3" t="s">
        <v>137</v>
      </c>
      <c r="Q1289" s="3" t="s">
        <v>127</v>
      </c>
      <c r="R1289" s="3">
        <v>5</v>
      </c>
      <c r="S1289" s="3">
        <v>15915.01</v>
      </c>
      <c r="T1289" s="3">
        <v>10</v>
      </c>
      <c r="U1289" s="3">
        <v>71617.539999999994</v>
      </c>
      <c r="V1289" s="3">
        <v>45013.99</v>
      </c>
      <c r="W1289" s="3">
        <v>26603.55</v>
      </c>
      <c r="X1289" s="3">
        <v>37.15</v>
      </c>
      <c r="Y1289" s="3">
        <v>49</v>
      </c>
      <c r="Z1289" s="3" t="s">
        <v>47</v>
      </c>
      <c r="AA1289" s="3" t="s">
        <v>100</v>
      </c>
      <c r="AB1289" s="3" t="s">
        <v>101</v>
      </c>
      <c r="AC1289" s="3">
        <v>2</v>
      </c>
    </row>
    <row r="1290" spans="1:29" x14ac:dyDescent="0.3">
      <c r="A1290" s="2" t="s">
        <v>6344</v>
      </c>
      <c r="B1290" s="2" t="s">
        <v>6345</v>
      </c>
      <c r="C1290" s="2" t="s">
        <v>2202</v>
      </c>
      <c r="D1290" s="2" t="s">
        <v>6346</v>
      </c>
      <c r="E1290" s="2" t="s">
        <v>33</v>
      </c>
      <c r="F1290" s="2" t="s">
        <v>2120</v>
      </c>
      <c r="G1290" s="2" t="s">
        <v>3369</v>
      </c>
      <c r="H1290" s="2" t="s">
        <v>321</v>
      </c>
      <c r="I1290" s="2">
        <v>3</v>
      </c>
      <c r="J1290" s="2" t="s">
        <v>29</v>
      </c>
      <c r="K1290" s="2" t="s">
        <v>160</v>
      </c>
      <c r="L1290" s="2" t="s">
        <v>559</v>
      </c>
      <c r="M1290" s="2" t="s">
        <v>6347</v>
      </c>
      <c r="N1290" s="2" t="s">
        <v>1611</v>
      </c>
      <c r="O1290" s="2" t="s">
        <v>19</v>
      </c>
      <c r="P1290" s="2" t="s">
        <v>365</v>
      </c>
      <c r="Q1290" s="2" t="s">
        <v>114</v>
      </c>
      <c r="R1290" s="2">
        <v>3</v>
      </c>
      <c r="S1290" s="2">
        <v>4833.92</v>
      </c>
      <c r="T1290" s="2">
        <v>25</v>
      </c>
      <c r="U1290" s="2">
        <v>10876.32</v>
      </c>
      <c r="V1290" s="2">
        <v>6314.53</v>
      </c>
      <c r="W1290" s="2">
        <v>4561.79</v>
      </c>
      <c r="X1290" s="2">
        <v>41.94</v>
      </c>
      <c r="Y1290" s="2">
        <v>199</v>
      </c>
      <c r="Z1290" s="2" t="s">
        <v>23</v>
      </c>
      <c r="AA1290" s="2" t="s">
        <v>100</v>
      </c>
      <c r="AB1290" s="2" t="s">
        <v>101</v>
      </c>
      <c r="AC1290" s="2"/>
    </row>
    <row r="1291" spans="1:29" x14ac:dyDescent="0.3">
      <c r="A1291" s="3" t="s">
        <v>6348</v>
      </c>
      <c r="B1291" s="3" t="s">
        <v>6349</v>
      </c>
      <c r="C1291" s="3" t="s">
        <v>1226</v>
      </c>
      <c r="D1291" s="3" t="s">
        <v>6350</v>
      </c>
      <c r="E1291" s="3" t="s">
        <v>42</v>
      </c>
      <c r="F1291" s="3" t="s">
        <v>426</v>
      </c>
      <c r="G1291" s="3" t="s">
        <v>191</v>
      </c>
      <c r="H1291" s="3" t="s">
        <v>1221</v>
      </c>
      <c r="I1291" s="3">
        <v>8</v>
      </c>
      <c r="J1291" s="3" t="s">
        <v>29</v>
      </c>
      <c r="K1291" s="3" t="s">
        <v>160</v>
      </c>
      <c r="L1291" s="3" t="s">
        <v>559</v>
      </c>
      <c r="M1291" s="3" t="s">
        <v>6351</v>
      </c>
      <c r="N1291" s="3" t="s">
        <v>889</v>
      </c>
      <c r="O1291" s="3" t="s">
        <v>27</v>
      </c>
      <c r="P1291" s="3" t="s">
        <v>257</v>
      </c>
      <c r="Q1291" s="3" t="s">
        <v>466</v>
      </c>
      <c r="R1291" s="3">
        <v>2</v>
      </c>
      <c r="S1291" s="3">
        <v>18507.03</v>
      </c>
      <c r="T1291" s="3">
        <v>20</v>
      </c>
      <c r="U1291" s="3">
        <v>29611.25</v>
      </c>
      <c r="V1291" s="3">
        <v>17802.12</v>
      </c>
      <c r="W1291" s="3">
        <v>11809.13</v>
      </c>
      <c r="X1291" s="3">
        <v>39.880000000000003</v>
      </c>
      <c r="Y1291" s="3">
        <v>199</v>
      </c>
      <c r="Z1291" s="3" t="s">
        <v>47</v>
      </c>
      <c r="AA1291" s="3" t="s">
        <v>100</v>
      </c>
      <c r="AB1291" s="3" t="s">
        <v>101</v>
      </c>
      <c r="AC1291" s="3"/>
    </row>
    <row r="1292" spans="1:29" x14ac:dyDescent="0.3">
      <c r="A1292" s="2" t="s">
        <v>6352</v>
      </c>
      <c r="B1292" s="2" t="s">
        <v>6353</v>
      </c>
      <c r="C1292" s="2" t="s">
        <v>377</v>
      </c>
      <c r="D1292" s="2" t="s">
        <v>6354</v>
      </c>
      <c r="E1292" s="2" t="s">
        <v>42</v>
      </c>
      <c r="F1292" s="2" t="s">
        <v>1353</v>
      </c>
      <c r="G1292" s="2" t="s">
        <v>2786</v>
      </c>
      <c r="H1292" s="2" t="s">
        <v>5286</v>
      </c>
      <c r="I1292" s="2">
        <v>5</v>
      </c>
      <c r="J1292" s="2" t="s">
        <v>22</v>
      </c>
      <c r="K1292" s="2" t="s">
        <v>122</v>
      </c>
      <c r="L1292" s="2" t="s">
        <v>123</v>
      </c>
      <c r="M1292" s="2" t="s">
        <v>6355</v>
      </c>
      <c r="N1292" s="2" t="s">
        <v>185</v>
      </c>
      <c r="O1292" s="2" t="s">
        <v>28</v>
      </c>
      <c r="P1292" s="2" t="s">
        <v>151</v>
      </c>
      <c r="Q1292" s="2" t="s">
        <v>608</v>
      </c>
      <c r="R1292" s="2">
        <v>5</v>
      </c>
      <c r="S1292" s="2">
        <v>8324.6200000000008</v>
      </c>
      <c r="T1292" s="2">
        <v>30</v>
      </c>
      <c r="U1292" s="2">
        <v>29136.17</v>
      </c>
      <c r="V1292" s="2">
        <v>14870.14</v>
      </c>
      <c r="W1292" s="2">
        <v>14266.03</v>
      </c>
      <c r="X1292" s="2">
        <v>48.96</v>
      </c>
      <c r="Y1292" s="2">
        <v>149</v>
      </c>
      <c r="Z1292" s="2" t="s">
        <v>23</v>
      </c>
      <c r="AA1292" s="2" t="s">
        <v>100</v>
      </c>
      <c r="AB1292" s="2" t="s">
        <v>101</v>
      </c>
      <c r="AC1292" s="2"/>
    </row>
    <row r="1293" spans="1:29" x14ac:dyDescent="0.3">
      <c r="A1293" s="3" t="s">
        <v>6356</v>
      </c>
      <c r="B1293" s="3" t="s">
        <v>6357</v>
      </c>
      <c r="C1293" s="3" t="s">
        <v>1261</v>
      </c>
      <c r="D1293" s="3" t="s">
        <v>6358</v>
      </c>
      <c r="E1293" s="3" t="s">
        <v>42</v>
      </c>
      <c r="F1293" s="3" t="s">
        <v>745</v>
      </c>
      <c r="G1293" s="3" t="s">
        <v>1679</v>
      </c>
      <c r="H1293" s="3" t="s">
        <v>747</v>
      </c>
      <c r="I1293" s="3">
        <v>8</v>
      </c>
      <c r="J1293" s="3" t="s">
        <v>14</v>
      </c>
      <c r="K1293" s="3" t="s">
        <v>171</v>
      </c>
      <c r="L1293" s="3" t="s">
        <v>541</v>
      </c>
      <c r="M1293" s="3" t="s">
        <v>6359</v>
      </c>
      <c r="N1293" s="3" t="s">
        <v>3017</v>
      </c>
      <c r="O1293" s="3" t="s">
        <v>13</v>
      </c>
      <c r="P1293" s="3" t="s">
        <v>419</v>
      </c>
      <c r="Q1293" s="3" t="s">
        <v>608</v>
      </c>
      <c r="R1293" s="3">
        <v>4</v>
      </c>
      <c r="S1293" s="3">
        <v>236.84</v>
      </c>
      <c r="T1293" s="3">
        <v>30</v>
      </c>
      <c r="U1293" s="3">
        <v>663.15</v>
      </c>
      <c r="V1293" s="3">
        <v>298.73</v>
      </c>
      <c r="W1293" s="3">
        <v>364.42</v>
      </c>
      <c r="X1293" s="3">
        <v>54.95</v>
      </c>
      <c r="Y1293" s="3">
        <v>149</v>
      </c>
      <c r="Z1293" s="3" t="s">
        <v>15</v>
      </c>
      <c r="AA1293" s="3" t="s">
        <v>100</v>
      </c>
      <c r="AB1293" s="3" t="s">
        <v>101</v>
      </c>
      <c r="AC1293" s="3">
        <v>4</v>
      </c>
    </row>
    <row r="1294" spans="1:29" x14ac:dyDescent="0.3">
      <c r="A1294" s="2" t="s">
        <v>6360</v>
      </c>
      <c r="B1294" s="2" t="s">
        <v>6361</v>
      </c>
      <c r="C1294" s="2" t="s">
        <v>210</v>
      </c>
      <c r="D1294" s="2" t="s">
        <v>6362</v>
      </c>
      <c r="E1294" s="2" t="s">
        <v>26</v>
      </c>
      <c r="F1294" s="2" t="s">
        <v>794</v>
      </c>
      <c r="G1294" s="2" t="s">
        <v>833</v>
      </c>
      <c r="H1294" s="2" t="s">
        <v>2211</v>
      </c>
      <c r="I1294" s="2">
        <v>5</v>
      </c>
      <c r="J1294" s="2" t="s">
        <v>14</v>
      </c>
      <c r="K1294" s="2" t="s">
        <v>171</v>
      </c>
      <c r="L1294" s="2" t="s">
        <v>172</v>
      </c>
      <c r="M1294" s="2" t="s">
        <v>6363</v>
      </c>
      <c r="N1294" s="2" t="s">
        <v>354</v>
      </c>
      <c r="O1294" s="2" t="s">
        <v>21</v>
      </c>
      <c r="P1294" s="2" t="s">
        <v>196</v>
      </c>
      <c r="Q1294" s="2" t="s">
        <v>114</v>
      </c>
      <c r="R1294" s="2">
        <v>1</v>
      </c>
      <c r="S1294" s="2">
        <v>8709.2199999999993</v>
      </c>
      <c r="T1294" s="2">
        <v>10</v>
      </c>
      <c r="U1294" s="2">
        <v>7838.3</v>
      </c>
      <c r="V1294" s="2">
        <v>5138.22</v>
      </c>
      <c r="W1294" s="2">
        <v>2700.08</v>
      </c>
      <c r="X1294" s="2">
        <v>34.450000000000003</v>
      </c>
      <c r="Y1294" s="2">
        <v>99</v>
      </c>
      <c r="Z1294" s="2" t="s">
        <v>15</v>
      </c>
      <c r="AA1294" s="2" t="s">
        <v>139</v>
      </c>
      <c r="AB1294" s="2" t="s">
        <v>140</v>
      </c>
      <c r="AC1294" s="2"/>
    </row>
    <row r="1295" spans="1:29" x14ac:dyDescent="0.3">
      <c r="A1295" s="3" t="s">
        <v>6364</v>
      </c>
      <c r="B1295" s="3" t="s">
        <v>5730</v>
      </c>
      <c r="C1295" s="3" t="s">
        <v>495</v>
      </c>
      <c r="D1295" s="3" t="s">
        <v>6365</v>
      </c>
      <c r="E1295" s="3" t="s">
        <v>26</v>
      </c>
      <c r="F1295" s="3" t="s">
        <v>1080</v>
      </c>
      <c r="G1295" s="3" t="s">
        <v>709</v>
      </c>
      <c r="H1295" s="3" t="s">
        <v>1784</v>
      </c>
      <c r="I1295" s="3">
        <v>5</v>
      </c>
      <c r="J1295" s="3" t="s">
        <v>22</v>
      </c>
      <c r="K1295" s="3" t="s">
        <v>738</v>
      </c>
      <c r="L1295" s="3" t="s">
        <v>738</v>
      </c>
      <c r="M1295" s="3" t="s">
        <v>6366</v>
      </c>
      <c r="N1295" s="3" t="s">
        <v>631</v>
      </c>
      <c r="O1295" s="3" t="s">
        <v>19</v>
      </c>
      <c r="P1295" s="3" t="s">
        <v>297</v>
      </c>
      <c r="Q1295" s="3" t="s">
        <v>608</v>
      </c>
      <c r="R1295" s="3">
        <v>5</v>
      </c>
      <c r="S1295" s="3">
        <v>8051.82</v>
      </c>
      <c r="T1295" s="3">
        <v>0</v>
      </c>
      <c r="U1295" s="3">
        <v>40259.1</v>
      </c>
      <c r="V1295" s="3">
        <v>26650.89</v>
      </c>
      <c r="W1295" s="3">
        <v>13608.21</v>
      </c>
      <c r="X1295" s="3">
        <v>33.799999999999997</v>
      </c>
      <c r="Y1295" s="3">
        <v>149</v>
      </c>
      <c r="Z1295" s="3" t="s">
        <v>47</v>
      </c>
      <c r="AA1295" s="3" t="s">
        <v>100</v>
      </c>
      <c r="AB1295" s="3" t="s">
        <v>101</v>
      </c>
      <c r="AC1295" s="3">
        <v>1</v>
      </c>
    </row>
    <row r="1296" spans="1:29" x14ac:dyDescent="0.3">
      <c r="A1296" s="2" t="s">
        <v>6367</v>
      </c>
      <c r="B1296" s="2" t="s">
        <v>6368</v>
      </c>
      <c r="C1296" s="2" t="s">
        <v>4617</v>
      </c>
      <c r="D1296" s="2" t="s">
        <v>6369</v>
      </c>
      <c r="E1296" s="2" t="s">
        <v>18</v>
      </c>
      <c r="F1296" s="2" t="s">
        <v>1653</v>
      </c>
      <c r="G1296" s="2" t="s">
        <v>2855</v>
      </c>
      <c r="H1296" s="2" t="s">
        <v>2856</v>
      </c>
      <c r="I1296" s="2">
        <v>5</v>
      </c>
      <c r="J1296" s="2" t="s">
        <v>14</v>
      </c>
      <c r="K1296" s="2" t="s">
        <v>183</v>
      </c>
      <c r="L1296" s="2" t="s">
        <v>183</v>
      </c>
      <c r="M1296" s="2" t="s">
        <v>5516</v>
      </c>
      <c r="N1296" s="2" t="s">
        <v>399</v>
      </c>
      <c r="O1296" s="2" t="s">
        <v>21</v>
      </c>
      <c r="P1296" s="2" t="s">
        <v>196</v>
      </c>
      <c r="Q1296" s="2" t="s">
        <v>197</v>
      </c>
      <c r="R1296" s="2">
        <v>1</v>
      </c>
      <c r="S1296" s="2">
        <v>10951.36</v>
      </c>
      <c r="T1296" s="2">
        <v>15</v>
      </c>
      <c r="U1296" s="2">
        <v>9308.66</v>
      </c>
      <c r="V1296" s="2">
        <v>4419.49</v>
      </c>
      <c r="W1296" s="2">
        <v>4889.17</v>
      </c>
      <c r="X1296" s="2">
        <v>52.52</v>
      </c>
      <c r="Y1296" s="2">
        <v>199</v>
      </c>
      <c r="Z1296" s="2" t="s">
        <v>23</v>
      </c>
      <c r="AA1296" s="2" t="s">
        <v>100</v>
      </c>
      <c r="AB1296" s="2" t="s">
        <v>101</v>
      </c>
      <c r="AC1296" s="2">
        <v>3</v>
      </c>
    </row>
    <row r="1297" spans="1:29" x14ac:dyDescent="0.3">
      <c r="A1297" s="3" t="s">
        <v>6370</v>
      </c>
      <c r="B1297" s="3" t="s">
        <v>6371</v>
      </c>
      <c r="C1297" s="3" t="s">
        <v>1196</v>
      </c>
      <c r="D1297" s="3" t="s">
        <v>6372</v>
      </c>
      <c r="E1297" s="3" t="s">
        <v>42</v>
      </c>
      <c r="F1297" s="3" t="s">
        <v>720</v>
      </c>
      <c r="G1297" s="3" t="s">
        <v>1507</v>
      </c>
      <c r="H1297" s="3" t="s">
        <v>1027</v>
      </c>
      <c r="I1297" s="3">
        <v>4</v>
      </c>
      <c r="J1297" s="3" t="s">
        <v>22</v>
      </c>
      <c r="K1297" s="3" t="s">
        <v>443</v>
      </c>
      <c r="L1297" s="3" t="s">
        <v>498</v>
      </c>
      <c r="M1297" s="3" t="s">
        <v>2163</v>
      </c>
      <c r="N1297" s="3" t="s">
        <v>195</v>
      </c>
      <c r="O1297" s="3" t="s">
        <v>21</v>
      </c>
      <c r="P1297" s="3" t="s">
        <v>196</v>
      </c>
      <c r="Q1297" s="3" t="s">
        <v>246</v>
      </c>
      <c r="R1297" s="3">
        <v>2</v>
      </c>
      <c r="S1297" s="3">
        <v>2448.02</v>
      </c>
      <c r="T1297" s="3">
        <v>25</v>
      </c>
      <c r="U1297" s="3">
        <v>3672.03</v>
      </c>
      <c r="V1297" s="3">
        <v>2499.4299999999998</v>
      </c>
      <c r="W1297" s="3">
        <v>1172.5999999999999</v>
      </c>
      <c r="X1297" s="3">
        <v>31.93</v>
      </c>
      <c r="Y1297" s="3">
        <v>99</v>
      </c>
      <c r="Z1297" s="3" t="s">
        <v>30</v>
      </c>
      <c r="AA1297" s="3" t="s">
        <v>186</v>
      </c>
      <c r="AB1297" s="3" t="s">
        <v>101</v>
      </c>
      <c r="AC1297" s="3"/>
    </row>
    <row r="1298" spans="1:29" x14ac:dyDescent="0.3">
      <c r="A1298" s="2" t="s">
        <v>6373</v>
      </c>
      <c r="B1298" s="2" t="s">
        <v>6374</v>
      </c>
      <c r="C1298" s="2" t="s">
        <v>1226</v>
      </c>
      <c r="D1298" s="2" t="s">
        <v>6375</v>
      </c>
      <c r="E1298" s="2" t="s">
        <v>18</v>
      </c>
      <c r="F1298" s="2" t="s">
        <v>2113</v>
      </c>
      <c r="G1298" s="2" t="s">
        <v>1593</v>
      </c>
      <c r="H1298" s="2" t="s">
        <v>1015</v>
      </c>
      <c r="I1298" s="2">
        <v>7</v>
      </c>
      <c r="J1298" s="2" t="s">
        <v>22</v>
      </c>
      <c r="K1298" s="2" t="s">
        <v>283</v>
      </c>
      <c r="L1298" s="2" t="s">
        <v>284</v>
      </c>
      <c r="M1298" s="2" t="s">
        <v>6376</v>
      </c>
      <c r="N1298" s="2" t="s">
        <v>805</v>
      </c>
      <c r="O1298" s="2" t="s">
        <v>28</v>
      </c>
      <c r="P1298" s="2" t="s">
        <v>151</v>
      </c>
      <c r="Q1298" s="2" t="s">
        <v>246</v>
      </c>
      <c r="R1298" s="2">
        <v>3</v>
      </c>
      <c r="S1298" s="2">
        <v>46911.66</v>
      </c>
      <c r="T1298" s="2">
        <v>20</v>
      </c>
      <c r="U1298" s="2">
        <v>112587.98</v>
      </c>
      <c r="V1298" s="2">
        <v>63282.64</v>
      </c>
      <c r="W1298" s="2">
        <v>49305.34</v>
      </c>
      <c r="X1298" s="2">
        <v>43.79</v>
      </c>
      <c r="Y1298" s="2">
        <v>199</v>
      </c>
      <c r="Z1298" s="2" t="s">
        <v>43</v>
      </c>
      <c r="AA1298" s="2" t="s">
        <v>100</v>
      </c>
      <c r="AB1298" s="2" t="s">
        <v>101</v>
      </c>
      <c r="AC1298" s="2">
        <v>5</v>
      </c>
    </row>
    <row r="1299" spans="1:29" x14ac:dyDescent="0.3">
      <c r="A1299" s="3" t="s">
        <v>6377</v>
      </c>
      <c r="B1299" s="3" t="s">
        <v>1821</v>
      </c>
      <c r="C1299" s="3" t="s">
        <v>2534</v>
      </c>
      <c r="D1299" s="3" t="s">
        <v>6378</v>
      </c>
      <c r="E1299" s="3" t="s">
        <v>18</v>
      </c>
      <c r="F1299" s="3" t="s">
        <v>2222</v>
      </c>
      <c r="G1299" s="3" t="s">
        <v>5274</v>
      </c>
      <c r="H1299" s="3" t="s">
        <v>2944</v>
      </c>
      <c r="I1299" s="3">
        <v>8</v>
      </c>
      <c r="J1299" s="3" t="s">
        <v>22</v>
      </c>
      <c r="K1299" s="3" t="s">
        <v>254</v>
      </c>
      <c r="L1299" s="3" t="s">
        <v>254</v>
      </c>
      <c r="M1299" s="3" t="s">
        <v>6379</v>
      </c>
      <c r="N1299" s="3" t="s">
        <v>616</v>
      </c>
      <c r="O1299" s="3" t="s">
        <v>21</v>
      </c>
      <c r="P1299" s="3" t="s">
        <v>206</v>
      </c>
      <c r="Q1299" s="3" t="s">
        <v>127</v>
      </c>
      <c r="R1299" s="3">
        <v>4</v>
      </c>
      <c r="S1299" s="3">
        <v>3593.16</v>
      </c>
      <c r="T1299" s="3">
        <v>20</v>
      </c>
      <c r="U1299" s="3">
        <v>11498.11</v>
      </c>
      <c r="V1299" s="3">
        <v>5343.12</v>
      </c>
      <c r="W1299" s="3">
        <v>6154.99</v>
      </c>
      <c r="X1299" s="3">
        <v>53.53</v>
      </c>
      <c r="Y1299" s="3">
        <v>199</v>
      </c>
      <c r="Z1299" s="3" t="s">
        <v>40</v>
      </c>
      <c r="AA1299" s="3" t="s">
        <v>100</v>
      </c>
      <c r="AB1299" s="3" t="s">
        <v>101</v>
      </c>
      <c r="AC1299" s="3">
        <v>2</v>
      </c>
    </row>
    <row r="1300" spans="1:29" x14ac:dyDescent="0.3">
      <c r="A1300" s="2" t="s">
        <v>6380</v>
      </c>
      <c r="B1300" s="2" t="s">
        <v>6381</v>
      </c>
      <c r="C1300" s="2" t="s">
        <v>3865</v>
      </c>
      <c r="D1300" s="2" t="s">
        <v>6382</v>
      </c>
      <c r="E1300" s="2" t="s">
        <v>42</v>
      </c>
      <c r="F1300" s="2" t="s">
        <v>2553</v>
      </c>
      <c r="G1300" s="2" t="s">
        <v>1599</v>
      </c>
      <c r="H1300" s="2" t="s">
        <v>2935</v>
      </c>
      <c r="I1300" s="2">
        <v>6</v>
      </c>
      <c r="J1300" s="2" t="s">
        <v>29</v>
      </c>
      <c r="K1300" s="2" t="s">
        <v>160</v>
      </c>
      <c r="L1300" s="2" t="s">
        <v>559</v>
      </c>
      <c r="M1300" s="2" t="s">
        <v>2187</v>
      </c>
      <c r="N1300" s="2" t="s">
        <v>354</v>
      </c>
      <c r="O1300" s="2" t="s">
        <v>21</v>
      </c>
      <c r="P1300" s="2" t="s">
        <v>196</v>
      </c>
      <c r="Q1300" s="2" t="s">
        <v>608</v>
      </c>
      <c r="R1300" s="2">
        <v>4</v>
      </c>
      <c r="S1300" s="2">
        <v>3914.7</v>
      </c>
      <c r="T1300" s="2">
        <v>10</v>
      </c>
      <c r="U1300" s="2">
        <v>14092.92</v>
      </c>
      <c r="V1300" s="2">
        <v>7544.32</v>
      </c>
      <c r="W1300" s="2">
        <v>6548.6</v>
      </c>
      <c r="X1300" s="2">
        <v>46.47</v>
      </c>
      <c r="Y1300" s="2">
        <v>0</v>
      </c>
      <c r="Z1300" s="2" t="s">
        <v>48</v>
      </c>
      <c r="AA1300" s="2" t="s">
        <v>100</v>
      </c>
      <c r="AB1300" s="2" t="s">
        <v>101</v>
      </c>
      <c r="AC1300" s="2">
        <v>4</v>
      </c>
    </row>
    <row r="1301" spans="1:29" x14ac:dyDescent="0.3">
      <c r="A1301" s="3" t="s">
        <v>6383</v>
      </c>
      <c r="B1301" s="3" t="s">
        <v>6384</v>
      </c>
      <c r="C1301" s="3" t="s">
        <v>2097</v>
      </c>
      <c r="D1301" s="3" t="s">
        <v>6385</v>
      </c>
      <c r="E1301" s="3" t="s">
        <v>18</v>
      </c>
      <c r="F1301" s="3" t="s">
        <v>1126</v>
      </c>
      <c r="G1301" s="3" t="s">
        <v>1713</v>
      </c>
      <c r="H1301" s="3" t="s">
        <v>682</v>
      </c>
      <c r="I1301" s="3">
        <v>6</v>
      </c>
      <c r="J1301" s="3" t="s">
        <v>29</v>
      </c>
      <c r="K1301" s="3" t="s">
        <v>834</v>
      </c>
      <c r="L1301" s="3" t="s">
        <v>835</v>
      </c>
      <c r="M1301" s="3" t="s">
        <v>6386</v>
      </c>
      <c r="N1301" s="3" t="s">
        <v>704</v>
      </c>
      <c r="O1301" s="3" t="s">
        <v>13</v>
      </c>
      <c r="P1301" s="3" t="s">
        <v>419</v>
      </c>
      <c r="Q1301" s="3" t="s">
        <v>287</v>
      </c>
      <c r="R1301" s="3">
        <v>1</v>
      </c>
      <c r="S1301" s="3">
        <v>9195.2800000000007</v>
      </c>
      <c r="T1301" s="3">
        <v>20</v>
      </c>
      <c r="U1301" s="3">
        <v>7356.22</v>
      </c>
      <c r="V1301" s="3">
        <v>4270.17</v>
      </c>
      <c r="W1301" s="3">
        <v>3086.05</v>
      </c>
      <c r="X1301" s="3">
        <v>41.95</v>
      </c>
      <c r="Y1301" s="3">
        <v>199</v>
      </c>
      <c r="Z1301" s="3" t="s">
        <v>30</v>
      </c>
      <c r="AA1301" s="3" t="s">
        <v>139</v>
      </c>
      <c r="AB1301" s="3" t="s">
        <v>140</v>
      </c>
      <c r="AC1301" s="3"/>
    </row>
    <row r="1302" spans="1:29" x14ac:dyDescent="0.3">
      <c r="A1302" s="2" t="s">
        <v>6387</v>
      </c>
      <c r="B1302" s="2" t="s">
        <v>6388</v>
      </c>
      <c r="C1302" s="2" t="s">
        <v>3436</v>
      </c>
      <c r="D1302" s="2" t="s">
        <v>6389</v>
      </c>
      <c r="E1302" s="2" t="s">
        <v>33</v>
      </c>
      <c r="F1302" s="2" t="s">
        <v>1486</v>
      </c>
      <c r="G1302" s="2" t="s">
        <v>2341</v>
      </c>
      <c r="H1302" s="2" t="s">
        <v>1749</v>
      </c>
      <c r="I1302" s="2">
        <v>3</v>
      </c>
      <c r="J1302" s="2" t="s">
        <v>39</v>
      </c>
      <c r="K1302" s="2" t="s">
        <v>314</v>
      </c>
      <c r="L1302" s="2" t="s">
        <v>314</v>
      </c>
      <c r="M1302" s="2" t="s">
        <v>6390</v>
      </c>
      <c r="N1302" s="2" t="s">
        <v>931</v>
      </c>
      <c r="O1302" s="2" t="s">
        <v>13</v>
      </c>
      <c r="P1302" s="2" t="s">
        <v>419</v>
      </c>
      <c r="Q1302" s="2" t="s">
        <v>400</v>
      </c>
      <c r="R1302" s="2">
        <v>2</v>
      </c>
      <c r="S1302" s="2">
        <v>41415.58</v>
      </c>
      <c r="T1302" s="2">
        <v>20</v>
      </c>
      <c r="U1302" s="2">
        <v>66264.929999999993</v>
      </c>
      <c r="V1302" s="2">
        <v>30954.5</v>
      </c>
      <c r="W1302" s="2">
        <v>35310.43</v>
      </c>
      <c r="X1302" s="2">
        <v>53.29</v>
      </c>
      <c r="Y1302" s="2">
        <v>99</v>
      </c>
      <c r="Z1302" s="2" t="s">
        <v>47</v>
      </c>
      <c r="AA1302" s="2" t="s">
        <v>100</v>
      </c>
      <c r="AB1302" s="2" t="s">
        <v>101</v>
      </c>
      <c r="AC1302" s="2">
        <v>5</v>
      </c>
    </row>
    <row r="1303" spans="1:29" x14ac:dyDescent="0.3">
      <c r="A1303" s="3" t="s">
        <v>6391</v>
      </c>
      <c r="B1303" s="3" t="s">
        <v>6392</v>
      </c>
      <c r="C1303" s="3" t="s">
        <v>695</v>
      </c>
      <c r="D1303" s="3" t="s">
        <v>6393</v>
      </c>
      <c r="E1303" s="3" t="s">
        <v>42</v>
      </c>
      <c r="F1303" s="3" t="s">
        <v>1833</v>
      </c>
      <c r="G1303" s="3" t="s">
        <v>1834</v>
      </c>
      <c r="H1303" s="3" t="s">
        <v>1015</v>
      </c>
      <c r="I1303" s="3">
        <v>5</v>
      </c>
      <c r="J1303" s="3" t="s">
        <v>22</v>
      </c>
      <c r="K1303" s="3" t="s">
        <v>283</v>
      </c>
      <c r="L1303" s="3" t="s">
        <v>1346</v>
      </c>
      <c r="M1303" s="3" t="s">
        <v>6394</v>
      </c>
      <c r="N1303" s="3" t="s">
        <v>364</v>
      </c>
      <c r="O1303" s="3" t="s">
        <v>19</v>
      </c>
      <c r="P1303" s="3" t="s">
        <v>365</v>
      </c>
      <c r="Q1303" s="3" t="s">
        <v>114</v>
      </c>
      <c r="R1303" s="3">
        <v>2</v>
      </c>
      <c r="S1303" s="3">
        <v>26275.62</v>
      </c>
      <c r="T1303" s="3">
        <v>15</v>
      </c>
      <c r="U1303" s="3">
        <v>44668.55</v>
      </c>
      <c r="V1303" s="3">
        <v>27339.040000000001</v>
      </c>
      <c r="W1303" s="3">
        <v>17329.509999999998</v>
      </c>
      <c r="X1303" s="3">
        <v>38.799999999999997</v>
      </c>
      <c r="Y1303" s="3">
        <v>29</v>
      </c>
      <c r="Z1303" s="3" t="s">
        <v>48</v>
      </c>
      <c r="AA1303" s="3" t="s">
        <v>100</v>
      </c>
      <c r="AB1303" s="3" t="s">
        <v>101</v>
      </c>
      <c r="AC1303" s="3">
        <v>4</v>
      </c>
    </row>
    <row r="1304" spans="1:29" x14ac:dyDescent="0.3">
      <c r="A1304" s="2" t="s">
        <v>6395</v>
      </c>
      <c r="B1304" s="2" t="s">
        <v>6396</v>
      </c>
      <c r="C1304" s="2" t="s">
        <v>1792</v>
      </c>
      <c r="D1304" s="2" t="s">
        <v>6397</v>
      </c>
      <c r="E1304" s="2" t="s">
        <v>18</v>
      </c>
      <c r="F1304" s="2" t="s">
        <v>2593</v>
      </c>
      <c r="G1304" s="2" t="s">
        <v>2211</v>
      </c>
      <c r="H1304" s="2" t="s">
        <v>1799</v>
      </c>
      <c r="I1304" s="2">
        <v>3</v>
      </c>
      <c r="J1304" s="2" t="s">
        <v>29</v>
      </c>
      <c r="K1304" s="2" t="s">
        <v>334</v>
      </c>
      <c r="L1304" s="2" t="s">
        <v>1073</v>
      </c>
      <c r="M1304" s="2" t="s">
        <v>6398</v>
      </c>
      <c r="N1304" s="2" t="s">
        <v>805</v>
      </c>
      <c r="O1304" s="2" t="s">
        <v>28</v>
      </c>
      <c r="P1304" s="2" t="s">
        <v>151</v>
      </c>
      <c r="Q1304" s="2" t="s">
        <v>287</v>
      </c>
      <c r="R1304" s="2">
        <v>3</v>
      </c>
      <c r="S1304" s="2">
        <v>9905.9500000000007</v>
      </c>
      <c r="T1304" s="2">
        <v>0</v>
      </c>
      <c r="U1304" s="2">
        <v>29717.85</v>
      </c>
      <c r="V1304" s="2">
        <v>20163.37</v>
      </c>
      <c r="W1304" s="2">
        <v>9554.48</v>
      </c>
      <c r="X1304" s="2">
        <v>32.15</v>
      </c>
      <c r="Y1304" s="2">
        <v>99</v>
      </c>
      <c r="Z1304" s="2" t="s">
        <v>15</v>
      </c>
      <c r="AA1304" s="2" t="s">
        <v>186</v>
      </c>
      <c r="AB1304" s="2" t="s">
        <v>101</v>
      </c>
      <c r="AC1304" s="2"/>
    </row>
    <row r="1305" spans="1:29" x14ac:dyDescent="0.3">
      <c r="A1305" s="3" t="s">
        <v>6399</v>
      </c>
      <c r="B1305" s="3" t="s">
        <v>6400</v>
      </c>
      <c r="C1305" s="3" t="s">
        <v>1233</v>
      </c>
      <c r="D1305" s="3" t="s">
        <v>6401</v>
      </c>
      <c r="E1305" s="3" t="s">
        <v>33</v>
      </c>
      <c r="F1305" s="3" t="s">
        <v>1841</v>
      </c>
      <c r="G1305" s="3" t="s">
        <v>2434</v>
      </c>
      <c r="H1305" s="3" t="s">
        <v>395</v>
      </c>
      <c r="I1305" s="3">
        <v>2</v>
      </c>
      <c r="J1305" s="3" t="s">
        <v>14</v>
      </c>
      <c r="K1305" s="3" t="s">
        <v>712</v>
      </c>
      <c r="L1305" s="3" t="s">
        <v>712</v>
      </c>
      <c r="M1305" s="3" t="s">
        <v>6402</v>
      </c>
      <c r="N1305" s="3" t="s">
        <v>722</v>
      </c>
      <c r="O1305" s="3" t="s">
        <v>27</v>
      </c>
      <c r="P1305" s="3" t="s">
        <v>175</v>
      </c>
      <c r="Q1305" s="3" t="s">
        <v>197</v>
      </c>
      <c r="R1305" s="3">
        <v>5</v>
      </c>
      <c r="S1305" s="3">
        <v>12546.69</v>
      </c>
      <c r="T1305" s="3">
        <v>10</v>
      </c>
      <c r="U1305" s="3">
        <v>56460.11</v>
      </c>
      <c r="V1305" s="3">
        <v>27998.85</v>
      </c>
      <c r="W1305" s="3">
        <v>28461.26</v>
      </c>
      <c r="X1305" s="3">
        <v>50.41</v>
      </c>
      <c r="Y1305" s="3">
        <v>199</v>
      </c>
      <c r="Z1305" s="3" t="s">
        <v>47</v>
      </c>
      <c r="AA1305" s="3" t="s">
        <v>100</v>
      </c>
      <c r="AB1305" s="3" t="s">
        <v>101</v>
      </c>
      <c r="AC1305" s="3">
        <v>1</v>
      </c>
    </row>
    <row r="1306" spans="1:29" x14ac:dyDescent="0.3">
      <c r="A1306" s="2" t="s">
        <v>6403</v>
      </c>
      <c r="B1306" s="2" t="s">
        <v>6404</v>
      </c>
      <c r="C1306" s="2" t="s">
        <v>799</v>
      </c>
      <c r="D1306" s="2" t="s">
        <v>6405</v>
      </c>
      <c r="E1306" s="2" t="s">
        <v>42</v>
      </c>
      <c r="F1306" s="2" t="s">
        <v>2106</v>
      </c>
      <c r="G1306" s="2" t="s">
        <v>1945</v>
      </c>
      <c r="H1306" s="2" t="s">
        <v>263</v>
      </c>
      <c r="I1306" s="2">
        <v>8</v>
      </c>
      <c r="J1306" s="2" t="s">
        <v>22</v>
      </c>
      <c r="K1306" s="2" t="s">
        <v>443</v>
      </c>
      <c r="L1306" s="2" t="s">
        <v>444</v>
      </c>
      <c r="M1306" s="2" t="s">
        <v>6406</v>
      </c>
      <c r="N1306" s="2" t="s">
        <v>364</v>
      </c>
      <c r="O1306" s="2" t="s">
        <v>19</v>
      </c>
      <c r="P1306" s="2" t="s">
        <v>365</v>
      </c>
      <c r="Q1306" s="2" t="s">
        <v>207</v>
      </c>
      <c r="R1306" s="2">
        <v>4</v>
      </c>
      <c r="S1306" s="2">
        <v>21657.72</v>
      </c>
      <c r="T1306" s="2">
        <v>10</v>
      </c>
      <c r="U1306" s="2">
        <v>77967.789999999994</v>
      </c>
      <c r="V1306" s="2">
        <v>36542.97</v>
      </c>
      <c r="W1306" s="2">
        <v>41424.82</v>
      </c>
      <c r="X1306" s="2">
        <v>53.13</v>
      </c>
      <c r="Y1306" s="2">
        <v>49</v>
      </c>
      <c r="Z1306" s="2" t="s">
        <v>23</v>
      </c>
      <c r="AA1306" s="2" t="s">
        <v>100</v>
      </c>
      <c r="AB1306" s="2" t="s">
        <v>101</v>
      </c>
      <c r="AC1306" s="2">
        <v>5</v>
      </c>
    </row>
    <row r="1307" spans="1:29" x14ac:dyDescent="0.3">
      <c r="A1307" s="3" t="s">
        <v>6407</v>
      </c>
      <c r="B1307" s="3" t="s">
        <v>6408</v>
      </c>
      <c r="C1307" s="3" t="s">
        <v>4068</v>
      </c>
      <c r="D1307" s="3" t="s">
        <v>6409</v>
      </c>
      <c r="E1307" s="3" t="s">
        <v>33</v>
      </c>
      <c r="F1307" s="3" t="s">
        <v>6410</v>
      </c>
      <c r="G1307" s="3" t="s">
        <v>1869</v>
      </c>
      <c r="H1307" s="3" t="s">
        <v>3596</v>
      </c>
      <c r="I1307" s="3">
        <v>2</v>
      </c>
      <c r="J1307" s="3" t="s">
        <v>22</v>
      </c>
      <c r="K1307" s="3" t="s">
        <v>443</v>
      </c>
      <c r="L1307" s="3" t="s">
        <v>498</v>
      </c>
      <c r="M1307" s="3" t="s">
        <v>6411</v>
      </c>
      <c r="N1307" s="3" t="s">
        <v>1332</v>
      </c>
      <c r="O1307" s="3" t="s">
        <v>19</v>
      </c>
      <c r="P1307" s="3" t="s">
        <v>447</v>
      </c>
      <c r="Q1307" s="3" t="s">
        <v>246</v>
      </c>
      <c r="R1307" s="3">
        <v>4</v>
      </c>
      <c r="S1307" s="3">
        <v>36258.36</v>
      </c>
      <c r="T1307" s="3">
        <v>5</v>
      </c>
      <c r="U1307" s="3">
        <v>137781.76999999999</v>
      </c>
      <c r="V1307" s="3">
        <v>88672.69</v>
      </c>
      <c r="W1307" s="3">
        <v>49109.08</v>
      </c>
      <c r="X1307" s="3">
        <v>35.64</v>
      </c>
      <c r="Y1307" s="3">
        <v>99</v>
      </c>
      <c r="Z1307" s="3" t="s">
        <v>15</v>
      </c>
      <c r="AA1307" s="3" t="s">
        <v>100</v>
      </c>
      <c r="AB1307" s="3" t="s">
        <v>101</v>
      </c>
      <c r="AC1307" s="3">
        <v>3</v>
      </c>
    </row>
    <row r="1308" spans="1:29" x14ac:dyDescent="0.3">
      <c r="A1308" s="2" t="s">
        <v>6412</v>
      </c>
      <c r="B1308" s="2" t="s">
        <v>6413</v>
      </c>
      <c r="C1308" s="2" t="s">
        <v>2622</v>
      </c>
      <c r="D1308" s="2" t="s">
        <v>6414</v>
      </c>
      <c r="E1308" s="2" t="s">
        <v>33</v>
      </c>
      <c r="F1308" s="2" t="s">
        <v>3405</v>
      </c>
      <c r="G1308" s="2" t="s">
        <v>3406</v>
      </c>
      <c r="H1308" s="2" t="s">
        <v>4723</v>
      </c>
      <c r="I1308" s="2">
        <v>5</v>
      </c>
      <c r="J1308" s="2" t="s">
        <v>14</v>
      </c>
      <c r="K1308" s="2" t="s">
        <v>215</v>
      </c>
      <c r="L1308" s="2" t="s">
        <v>215</v>
      </c>
      <c r="M1308" s="2" t="s">
        <v>6415</v>
      </c>
      <c r="N1308" s="2" t="s">
        <v>256</v>
      </c>
      <c r="O1308" s="2" t="s">
        <v>27</v>
      </c>
      <c r="P1308" s="2" t="s">
        <v>257</v>
      </c>
      <c r="Q1308" s="2" t="s">
        <v>246</v>
      </c>
      <c r="R1308" s="2">
        <v>4</v>
      </c>
      <c r="S1308" s="2">
        <v>24090.63</v>
      </c>
      <c r="T1308" s="2">
        <v>10</v>
      </c>
      <c r="U1308" s="2">
        <v>86726.27</v>
      </c>
      <c r="V1308" s="2">
        <v>49658.42</v>
      </c>
      <c r="W1308" s="2">
        <v>37067.85</v>
      </c>
      <c r="X1308" s="2">
        <v>42.74</v>
      </c>
      <c r="Y1308" s="2">
        <v>29</v>
      </c>
      <c r="Z1308" s="2" t="s">
        <v>23</v>
      </c>
      <c r="AA1308" s="2" t="s">
        <v>100</v>
      </c>
      <c r="AB1308" s="2" t="s">
        <v>101</v>
      </c>
      <c r="AC1308" s="2">
        <v>2</v>
      </c>
    </row>
    <row r="1309" spans="1:29" x14ac:dyDescent="0.3">
      <c r="A1309" s="3" t="s">
        <v>6416</v>
      </c>
      <c r="B1309" s="3" t="s">
        <v>6417</v>
      </c>
      <c r="C1309" s="3" t="s">
        <v>912</v>
      </c>
      <c r="D1309" s="3" t="s">
        <v>6418</v>
      </c>
      <c r="E1309" s="3" t="s">
        <v>26</v>
      </c>
      <c r="F1309" s="3" t="s">
        <v>2915</v>
      </c>
      <c r="G1309" s="3" t="s">
        <v>1240</v>
      </c>
      <c r="H1309" s="3" t="s">
        <v>1689</v>
      </c>
      <c r="I1309" s="3">
        <v>6</v>
      </c>
      <c r="J1309" s="3" t="s">
        <v>39</v>
      </c>
      <c r="K1309" s="3" t="s">
        <v>314</v>
      </c>
      <c r="L1309" s="3" t="s">
        <v>314</v>
      </c>
      <c r="M1309" s="3" t="s">
        <v>6419</v>
      </c>
      <c r="N1309" s="3" t="s">
        <v>227</v>
      </c>
      <c r="O1309" s="3" t="s">
        <v>13</v>
      </c>
      <c r="P1309" s="3" t="s">
        <v>228</v>
      </c>
      <c r="Q1309" s="3" t="s">
        <v>218</v>
      </c>
      <c r="R1309" s="3">
        <v>5</v>
      </c>
      <c r="S1309" s="3">
        <v>4683.87</v>
      </c>
      <c r="T1309" s="3">
        <v>15</v>
      </c>
      <c r="U1309" s="3">
        <v>19906.45</v>
      </c>
      <c r="V1309" s="3">
        <v>9507.18</v>
      </c>
      <c r="W1309" s="3">
        <v>10399.27</v>
      </c>
      <c r="X1309" s="3">
        <v>52.24</v>
      </c>
      <c r="Y1309" s="3">
        <v>0</v>
      </c>
      <c r="Z1309" s="3" t="s">
        <v>47</v>
      </c>
      <c r="AA1309" s="3" t="s">
        <v>139</v>
      </c>
      <c r="AB1309" s="3" t="s">
        <v>140</v>
      </c>
      <c r="AC1309" s="3"/>
    </row>
    <row r="1310" spans="1:29" x14ac:dyDescent="0.3">
      <c r="A1310" s="2" t="s">
        <v>6420</v>
      </c>
      <c r="B1310" s="2" t="s">
        <v>6421</v>
      </c>
      <c r="C1310" s="2" t="s">
        <v>799</v>
      </c>
      <c r="D1310" s="2" t="s">
        <v>6422</v>
      </c>
      <c r="E1310" s="2" t="s">
        <v>18</v>
      </c>
      <c r="F1310" s="2" t="s">
        <v>2456</v>
      </c>
      <c r="G1310" s="2" t="s">
        <v>598</v>
      </c>
      <c r="H1310" s="2" t="s">
        <v>4895</v>
      </c>
      <c r="I1310" s="2">
        <v>2</v>
      </c>
      <c r="J1310" s="2" t="s">
        <v>29</v>
      </c>
      <c r="K1310" s="2" t="s">
        <v>427</v>
      </c>
      <c r="L1310" s="2" t="s">
        <v>428</v>
      </c>
      <c r="M1310" s="2" t="s">
        <v>6423</v>
      </c>
      <c r="N1310" s="2" t="s">
        <v>648</v>
      </c>
      <c r="O1310" s="2" t="s">
        <v>27</v>
      </c>
      <c r="P1310" s="2" t="s">
        <v>113</v>
      </c>
      <c r="Q1310" s="2" t="s">
        <v>287</v>
      </c>
      <c r="R1310" s="2">
        <v>2</v>
      </c>
      <c r="S1310" s="2">
        <v>29266.98</v>
      </c>
      <c r="T1310" s="2">
        <v>25</v>
      </c>
      <c r="U1310" s="2">
        <v>43900.47</v>
      </c>
      <c r="V1310" s="2">
        <v>30199.91</v>
      </c>
      <c r="W1310" s="2">
        <v>13700.56</v>
      </c>
      <c r="X1310" s="2">
        <v>31.21</v>
      </c>
      <c r="Y1310" s="2">
        <v>49</v>
      </c>
      <c r="Z1310" s="2" t="s">
        <v>40</v>
      </c>
      <c r="AA1310" s="2" t="s">
        <v>100</v>
      </c>
      <c r="AB1310" s="2" t="s">
        <v>140</v>
      </c>
      <c r="AC1310" s="2">
        <v>3</v>
      </c>
    </row>
    <row r="1311" spans="1:29" x14ac:dyDescent="0.3">
      <c r="A1311" s="3" t="s">
        <v>6424</v>
      </c>
      <c r="B1311" s="3" t="s">
        <v>6425</v>
      </c>
      <c r="C1311" s="3" t="s">
        <v>3547</v>
      </c>
      <c r="D1311" s="3" t="s">
        <v>6426</v>
      </c>
      <c r="E1311" s="3" t="s">
        <v>18</v>
      </c>
      <c r="F1311" s="3" t="s">
        <v>372</v>
      </c>
      <c r="G1311" s="3" t="s">
        <v>157</v>
      </c>
      <c r="H1311" s="3" t="s">
        <v>405</v>
      </c>
      <c r="I1311" s="3">
        <v>6</v>
      </c>
      <c r="J1311" s="3" t="s">
        <v>29</v>
      </c>
      <c r="K1311" s="3" t="s">
        <v>834</v>
      </c>
      <c r="L1311" s="3" t="s">
        <v>1000</v>
      </c>
      <c r="M1311" s="3" t="s">
        <v>1481</v>
      </c>
      <c r="N1311" s="3" t="s">
        <v>446</v>
      </c>
      <c r="O1311" s="3" t="s">
        <v>19</v>
      </c>
      <c r="P1311" s="3" t="s">
        <v>447</v>
      </c>
      <c r="Q1311" s="3" t="s">
        <v>152</v>
      </c>
      <c r="R1311" s="3">
        <v>4</v>
      </c>
      <c r="S1311" s="3">
        <v>19618</v>
      </c>
      <c r="T1311" s="3">
        <v>15</v>
      </c>
      <c r="U1311" s="3">
        <v>66701.2</v>
      </c>
      <c r="V1311" s="3">
        <v>46151.53</v>
      </c>
      <c r="W1311" s="3">
        <v>20549.669999999998</v>
      </c>
      <c r="X1311" s="3">
        <v>30.81</v>
      </c>
      <c r="Y1311" s="3">
        <v>29</v>
      </c>
      <c r="Z1311" s="3" t="s">
        <v>15</v>
      </c>
      <c r="AA1311" s="3" t="s">
        <v>100</v>
      </c>
      <c r="AB1311" s="3" t="s">
        <v>101</v>
      </c>
      <c r="AC1311" s="3">
        <v>3</v>
      </c>
    </row>
    <row r="1312" spans="1:29" x14ac:dyDescent="0.3">
      <c r="A1312" s="2" t="s">
        <v>6427</v>
      </c>
      <c r="B1312" s="2" t="s">
        <v>6428</v>
      </c>
      <c r="C1312" s="2" t="s">
        <v>155</v>
      </c>
      <c r="D1312" s="2" t="s">
        <v>6429</v>
      </c>
      <c r="E1312" s="2" t="s">
        <v>18</v>
      </c>
      <c r="F1312" s="2" t="s">
        <v>2684</v>
      </c>
      <c r="G1312" s="2" t="s">
        <v>4880</v>
      </c>
      <c r="H1312" s="2" t="s">
        <v>3679</v>
      </c>
      <c r="I1312" s="2">
        <v>6</v>
      </c>
      <c r="J1312" s="2" t="s">
        <v>14</v>
      </c>
      <c r="K1312" s="2" t="s">
        <v>171</v>
      </c>
      <c r="L1312" s="2" t="s">
        <v>541</v>
      </c>
      <c r="M1312" s="2" t="s">
        <v>3851</v>
      </c>
      <c r="N1312" s="2" t="s">
        <v>551</v>
      </c>
      <c r="O1312" s="2" t="s">
        <v>13</v>
      </c>
      <c r="P1312" s="2" t="s">
        <v>98</v>
      </c>
      <c r="Q1312" s="2" t="s">
        <v>287</v>
      </c>
      <c r="R1312" s="2">
        <v>4</v>
      </c>
      <c r="S1312" s="2">
        <v>41307.18</v>
      </c>
      <c r="T1312" s="2">
        <v>25</v>
      </c>
      <c r="U1312" s="2">
        <v>123921.54</v>
      </c>
      <c r="V1312" s="2">
        <v>84099.4</v>
      </c>
      <c r="W1312" s="2">
        <v>39822.14</v>
      </c>
      <c r="X1312" s="2">
        <v>32.130000000000003</v>
      </c>
      <c r="Y1312" s="2">
        <v>0</v>
      </c>
      <c r="Z1312" s="2" t="s">
        <v>48</v>
      </c>
      <c r="AA1312" s="2" t="s">
        <v>100</v>
      </c>
      <c r="AB1312" s="2" t="s">
        <v>101</v>
      </c>
      <c r="AC1312" s="2">
        <v>3</v>
      </c>
    </row>
    <row r="1313" spans="1:29" x14ac:dyDescent="0.3">
      <c r="A1313" s="3" t="s">
        <v>6430</v>
      </c>
      <c r="B1313" s="3" t="s">
        <v>6431</v>
      </c>
      <c r="C1313" s="3" t="s">
        <v>200</v>
      </c>
      <c r="D1313" s="3" t="s">
        <v>6432</v>
      </c>
      <c r="E1313" s="3" t="s">
        <v>42</v>
      </c>
      <c r="F1313" s="3" t="s">
        <v>907</v>
      </c>
      <c r="G1313" s="3" t="s">
        <v>311</v>
      </c>
      <c r="H1313" s="3" t="s">
        <v>434</v>
      </c>
      <c r="I1313" s="3">
        <v>7</v>
      </c>
      <c r="J1313" s="3" t="s">
        <v>39</v>
      </c>
      <c r="K1313" s="3" t="s">
        <v>193</v>
      </c>
      <c r="L1313" s="3" t="s">
        <v>193</v>
      </c>
      <c r="M1313" s="3" t="s">
        <v>6433</v>
      </c>
      <c r="N1313" s="3" t="s">
        <v>150</v>
      </c>
      <c r="O1313" s="3" t="s">
        <v>28</v>
      </c>
      <c r="P1313" s="3" t="s">
        <v>151</v>
      </c>
      <c r="Q1313" s="3" t="s">
        <v>138</v>
      </c>
      <c r="R1313" s="3">
        <v>5</v>
      </c>
      <c r="S1313" s="3">
        <v>3693.28</v>
      </c>
      <c r="T1313" s="3">
        <v>30</v>
      </c>
      <c r="U1313" s="3">
        <v>12926.48</v>
      </c>
      <c r="V1313" s="3">
        <v>8050.1</v>
      </c>
      <c r="W1313" s="3">
        <v>4876.38</v>
      </c>
      <c r="X1313" s="3">
        <v>37.72</v>
      </c>
      <c r="Y1313" s="3">
        <v>29</v>
      </c>
      <c r="Z1313" s="3" t="s">
        <v>47</v>
      </c>
      <c r="AA1313" s="3" t="s">
        <v>100</v>
      </c>
      <c r="AB1313" s="3" t="s">
        <v>101</v>
      </c>
      <c r="AC1313" s="3">
        <v>4</v>
      </c>
    </row>
    <row r="1314" spans="1:29" x14ac:dyDescent="0.3">
      <c r="A1314" s="2" t="s">
        <v>6434</v>
      </c>
      <c r="B1314" s="2" t="s">
        <v>6435</v>
      </c>
      <c r="C1314" s="2" t="s">
        <v>377</v>
      </c>
      <c r="D1314" s="2" t="s">
        <v>6436</v>
      </c>
      <c r="E1314" s="2" t="s">
        <v>42</v>
      </c>
      <c r="F1314" s="2" t="s">
        <v>2048</v>
      </c>
      <c r="G1314" s="2" t="s">
        <v>1437</v>
      </c>
      <c r="H1314" s="2" t="s">
        <v>1539</v>
      </c>
      <c r="I1314" s="2">
        <v>5</v>
      </c>
      <c r="J1314" s="2" t="s">
        <v>29</v>
      </c>
      <c r="K1314" s="2" t="s">
        <v>834</v>
      </c>
      <c r="L1314" s="2" t="s">
        <v>1000</v>
      </c>
      <c r="M1314" s="2" t="s">
        <v>6437</v>
      </c>
      <c r="N1314" s="2" t="s">
        <v>3017</v>
      </c>
      <c r="O1314" s="2" t="s">
        <v>13</v>
      </c>
      <c r="P1314" s="2" t="s">
        <v>419</v>
      </c>
      <c r="Q1314" s="2" t="s">
        <v>287</v>
      </c>
      <c r="R1314" s="2">
        <v>5</v>
      </c>
      <c r="S1314" s="2">
        <v>25392.080000000002</v>
      </c>
      <c r="T1314" s="2">
        <v>10</v>
      </c>
      <c r="U1314" s="2">
        <v>114264.36</v>
      </c>
      <c r="V1314" s="2">
        <v>79704.490000000005</v>
      </c>
      <c r="W1314" s="2">
        <v>34559.870000000003</v>
      </c>
      <c r="X1314" s="2">
        <v>30.25</v>
      </c>
      <c r="Y1314" s="2">
        <v>149</v>
      </c>
      <c r="Z1314" s="2" t="s">
        <v>30</v>
      </c>
      <c r="AA1314" s="2" t="s">
        <v>100</v>
      </c>
      <c r="AB1314" s="2" t="s">
        <v>101</v>
      </c>
      <c r="AC1314" s="2">
        <v>5</v>
      </c>
    </row>
    <row r="1315" spans="1:29" x14ac:dyDescent="0.3">
      <c r="A1315" s="3" t="s">
        <v>6438</v>
      </c>
      <c r="B1315" s="3" t="s">
        <v>6439</v>
      </c>
      <c r="C1315" s="3" t="s">
        <v>2298</v>
      </c>
      <c r="D1315" s="3" t="s">
        <v>6440</v>
      </c>
      <c r="E1315" s="3" t="s">
        <v>26</v>
      </c>
      <c r="F1315" s="3" t="s">
        <v>1391</v>
      </c>
      <c r="G1315" s="3" t="s">
        <v>2801</v>
      </c>
      <c r="H1315" s="3" t="s">
        <v>872</v>
      </c>
      <c r="I1315" s="3">
        <v>4</v>
      </c>
      <c r="J1315" s="3" t="s">
        <v>22</v>
      </c>
      <c r="K1315" s="3" t="s">
        <v>738</v>
      </c>
      <c r="L1315" s="3" t="s">
        <v>738</v>
      </c>
      <c r="M1315" s="3" t="s">
        <v>2939</v>
      </c>
      <c r="N1315" s="3" t="s">
        <v>931</v>
      </c>
      <c r="O1315" s="3" t="s">
        <v>13</v>
      </c>
      <c r="P1315" s="3" t="s">
        <v>419</v>
      </c>
      <c r="Q1315" s="3" t="s">
        <v>466</v>
      </c>
      <c r="R1315" s="3">
        <v>3</v>
      </c>
      <c r="S1315" s="3">
        <v>4726.29</v>
      </c>
      <c r="T1315" s="3">
        <v>15</v>
      </c>
      <c r="U1315" s="3">
        <v>12052.04</v>
      </c>
      <c r="V1315" s="3">
        <v>8261.69</v>
      </c>
      <c r="W1315" s="3">
        <v>3790.35</v>
      </c>
      <c r="X1315" s="3">
        <v>31.45</v>
      </c>
      <c r="Y1315" s="3">
        <v>0</v>
      </c>
      <c r="Z1315" s="3" t="s">
        <v>15</v>
      </c>
      <c r="AA1315" s="3" t="s">
        <v>100</v>
      </c>
      <c r="AB1315" s="3" t="s">
        <v>101</v>
      </c>
      <c r="AC1315" s="3">
        <v>4</v>
      </c>
    </row>
    <row r="1316" spans="1:29" x14ac:dyDescent="0.3">
      <c r="A1316" s="2" t="s">
        <v>6441</v>
      </c>
      <c r="B1316" s="2" t="s">
        <v>3386</v>
      </c>
      <c r="C1316" s="2" t="s">
        <v>2460</v>
      </c>
      <c r="D1316" s="2" t="s">
        <v>6442</v>
      </c>
      <c r="E1316" s="2" t="s">
        <v>33</v>
      </c>
      <c r="F1316" s="2" t="s">
        <v>462</v>
      </c>
      <c r="G1316" s="2" t="s">
        <v>4614</v>
      </c>
      <c r="H1316" s="2" t="s">
        <v>1533</v>
      </c>
      <c r="I1316" s="2">
        <v>8</v>
      </c>
      <c r="J1316" s="2" t="s">
        <v>29</v>
      </c>
      <c r="K1316" s="2" t="s">
        <v>148</v>
      </c>
      <c r="L1316" s="2" t="s">
        <v>148</v>
      </c>
      <c r="M1316" s="2" t="s">
        <v>6443</v>
      </c>
      <c r="N1316" s="2" t="s">
        <v>296</v>
      </c>
      <c r="O1316" s="2" t="s">
        <v>19</v>
      </c>
      <c r="P1316" s="2" t="s">
        <v>297</v>
      </c>
      <c r="Q1316" s="2" t="s">
        <v>608</v>
      </c>
      <c r="R1316" s="2">
        <v>1</v>
      </c>
      <c r="S1316" s="2">
        <v>36701.11</v>
      </c>
      <c r="T1316" s="2">
        <v>0</v>
      </c>
      <c r="U1316" s="2">
        <v>36701.11</v>
      </c>
      <c r="V1316" s="2">
        <v>22533.64</v>
      </c>
      <c r="W1316" s="2">
        <v>14167.47</v>
      </c>
      <c r="X1316" s="2">
        <v>38.6</v>
      </c>
      <c r="Y1316" s="2">
        <v>99</v>
      </c>
      <c r="Z1316" s="2" t="s">
        <v>23</v>
      </c>
      <c r="AA1316" s="2" t="s">
        <v>100</v>
      </c>
      <c r="AB1316" s="2" t="s">
        <v>101</v>
      </c>
      <c r="AC1316" s="2">
        <v>1</v>
      </c>
    </row>
    <row r="1317" spans="1:29" x14ac:dyDescent="0.3">
      <c r="A1317" s="3" t="s">
        <v>6444</v>
      </c>
      <c r="B1317" s="3" t="s">
        <v>6445</v>
      </c>
      <c r="C1317" s="3" t="s">
        <v>973</v>
      </c>
      <c r="D1317" s="3" t="s">
        <v>6446</v>
      </c>
      <c r="E1317" s="3" t="s">
        <v>26</v>
      </c>
      <c r="F1317" s="3" t="s">
        <v>3101</v>
      </c>
      <c r="G1317" s="3" t="s">
        <v>2707</v>
      </c>
      <c r="H1317" s="3" t="s">
        <v>2905</v>
      </c>
      <c r="I1317" s="3">
        <v>8</v>
      </c>
      <c r="J1317" s="3" t="s">
        <v>29</v>
      </c>
      <c r="K1317" s="3" t="s">
        <v>160</v>
      </c>
      <c r="L1317" s="3" t="s">
        <v>559</v>
      </c>
      <c r="M1317" s="3" t="s">
        <v>4408</v>
      </c>
      <c r="N1317" s="3" t="s">
        <v>163</v>
      </c>
      <c r="O1317" s="3" t="s">
        <v>21</v>
      </c>
      <c r="P1317" s="3" t="s">
        <v>126</v>
      </c>
      <c r="Q1317" s="3" t="s">
        <v>197</v>
      </c>
      <c r="R1317" s="3">
        <v>4</v>
      </c>
      <c r="S1317" s="3">
        <v>23720.95</v>
      </c>
      <c r="T1317" s="3">
        <v>5</v>
      </c>
      <c r="U1317" s="3">
        <v>90139.61</v>
      </c>
      <c r="V1317" s="3">
        <v>53922.09</v>
      </c>
      <c r="W1317" s="3">
        <v>36217.519999999997</v>
      </c>
      <c r="X1317" s="3">
        <v>40.18</v>
      </c>
      <c r="Y1317" s="3">
        <v>49</v>
      </c>
      <c r="Z1317" s="3" t="s">
        <v>23</v>
      </c>
      <c r="AA1317" s="3" t="s">
        <v>100</v>
      </c>
      <c r="AB1317" s="3" t="s">
        <v>101</v>
      </c>
      <c r="AC1317" s="3">
        <v>2</v>
      </c>
    </row>
    <row r="1318" spans="1:29" x14ac:dyDescent="0.3">
      <c r="A1318" s="2" t="s">
        <v>6447</v>
      </c>
      <c r="B1318" s="2" t="s">
        <v>3440</v>
      </c>
      <c r="C1318" s="2" t="s">
        <v>1597</v>
      </c>
      <c r="D1318" s="2" t="s">
        <v>6448</v>
      </c>
      <c r="E1318" s="2" t="s">
        <v>33</v>
      </c>
      <c r="F1318" s="2" t="s">
        <v>2354</v>
      </c>
      <c r="G1318" s="2" t="s">
        <v>1330</v>
      </c>
      <c r="H1318" s="2" t="s">
        <v>170</v>
      </c>
      <c r="I1318" s="2">
        <v>5</v>
      </c>
      <c r="J1318" s="2" t="s">
        <v>29</v>
      </c>
      <c r="K1318" s="2" t="s">
        <v>834</v>
      </c>
      <c r="L1318" s="2" t="s">
        <v>835</v>
      </c>
      <c r="M1318" s="2" t="s">
        <v>6449</v>
      </c>
      <c r="N1318" s="2" t="s">
        <v>623</v>
      </c>
      <c r="O1318" s="2" t="s">
        <v>19</v>
      </c>
      <c r="P1318" s="2" t="s">
        <v>297</v>
      </c>
      <c r="Q1318" s="2" t="s">
        <v>400</v>
      </c>
      <c r="R1318" s="2">
        <v>2</v>
      </c>
      <c r="S1318" s="2">
        <v>9052.2000000000007</v>
      </c>
      <c r="T1318" s="2">
        <v>5</v>
      </c>
      <c r="U1318" s="2">
        <v>17199.18</v>
      </c>
      <c r="V1318" s="2">
        <v>10571.14</v>
      </c>
      <c r="W1318" s="2">
        <v>6628.04</v>
      </c>
      <c r="X1318" s="2">
        <v>38.54</v>
      </c>
      <c r="Y1318" s="2">
        <v>49</v>
      </c>
      <c r="Z1318" s="2" t="s">
        <v>48</v>
      </c>
      <c r="AA1318" s="2" t="s">
        <v>100</v>
      </c>
      <c r="AB1318" s="2" t="s">
        <v>101</v>
      </c>
      <c r="AC1318" s="2">
        <v>1</v>
      </c>
    </row>
    <row r="1319" spans="1:29" x14ac:dyDescent="0.3">
      <c r="A1319" s="3" t="s">
        <v>6450</v>
      </c>
      <c r="B1319" s="3" t="s">
        <v>6451</v>
      </c>
      <c r="C1319" s="3" t="s">
        <v>1899</v>
      </c>
      <c r="D1319" s="3" t="s">
        <v>6452</v>
      </c>
      <c r="E1319" s="3" t="s">
        <v>42</v>
      </c>
      <c r="F1319" s="3" t="s">
        <v>2006</v>
      </c>
      <c r="G1319" s="3" t="s">
        <v>2007</v>
      </c>
      <c r="H1319" s="3" t="s">
        <v>661</v>
      </c>
      <c r="I1319" s="3">
        <v>8</v>
      </c>
      <c r="J1319" s="3" t="s">
        <v>39</v>
      </c>
      <c r="K1319" s="3" t="s">
        <v>324</v>
      </c>
      <c r="L1319" s="3" t="s">
        <v>1422</v>
      </c>
      <c r="M1319" s="3" t="s">
        <v>2482</v>
      </c>
      <c r="N1319" s="3" t="s">
        <v>1802</v>
      </c>
      <c r="O1319" s="3" t="s">
        <v>28</v>
      </c>
      <c r="P1319" s="3" t="s">
        <v>137</v>
      </c>
      <c r="Q1319" s="3" t="s">
        <v>355</v>
      </c>
      <c r="R1319" s="3">
        <v>1</v>
      </c>
      <c r="S1319" s="3">
        <v>35930.51</v>
      </c>
      <c r="T1319" s="3">
        <v>20</v>
      </c>
      <c r="U1319" s="3">
        <v>28744.41</v>
      </c>
      <c r="V1319" s="3">
        <v>18034.740000000002</v>
      </c>
      <c r="W1319" s="3">
        <v>10709.67</v>
      </c>
      <c r="X1319" s="3">
        <v>37.26</v>
      </c>
      <c r="Y1319" s="3">
        <v>29</v>
      </c>
      <c r="Z1319" s="3" t="s">
        <v>23</v>
      </c>
      <c r="AA1319" s="3" t="s">
        <v>100</v>
      </c>
      <c r="AB1319" s="3" t="s">
        <v>101</v>
      </c>
      <c r="AC1319" s="3">
        <v>3</v>
      </c>
    </row>
    <row r="1320" spans="1:29" x14ac:dyDescent="0.3">
      <c r="A1320" s="2" t="s">
        <v>6453</v>
      </c>
      <c r="B1320" s="2" t="s">
        <v>6454</v>
      </c>
      <c r="C1320" s="2" t="s">
        <v>934</v>
      </c>
      <c r="D1320" s="2" t="s">
        <v>6455</v>
      </c>
      <c r="E1320" s="2" t="s">
        <v>33</v>
      </c>
      <c r="F1320" s="2" t="s">
        <v>1679</v>
      </c>
      <c r="G1320" s="2" t="s">
        <v>6456</v>
      </c>
      <c r="H1320" s="2" t="s">
        <v>1652</v>
      </c>
      <c r="I1320" s="2">
        <v>3</v>
      </c>
      <c r="J1320" s="2" t="s">
        <v>29</v>
      </c>
      <c r="K1320" s="2" t="s">
        <v>148</v>
      </c>
      <c r="L1320" s="2" t="s">
        <v>148</v>
      </c>
      <c r="M1320" s="2" t="s">
        <v>6457</v>
      </c>
      <c r="N1320" s="2" t="s">
        <v>296</v>
      </c>
      <c r="O1320" s="2" t="s">
        <v>19</v>
      </c>
      <c r="P1320" s="2" t="s">
        <v>297</v>
      </c>
      <c r="Q1320" s="2" t="s">
        <v>138</v>
      </c>
      <c r="R1320" s="2">
        <v>5</v>
      </c>
      <c r="S1320" s="2">
        <v>24529.3</v>
      </c>
      <c r="T1320" s="2">
        <v>10</v>
      </c>
      <c r="U1320" s="2">
        <v>110381.85</v>
      </c>
      <c r="V1320" s="2">
        <v>66720.81</v>
      </c>
      <c r="W1320" s="2">
        <v>43661.04</v>
      </c>
      <c r="X1320" s="2">
        <v>39.549999999999997</v>
      </c>
      <c r="Y1320" s="2">
        <v>0</v>
      </c>
      <c r="Z1320" s="2" t="s">
        <v>30</v>
      </c>
      <c r="AA1320" s="2" t="s">
        <v>100</v>
      </c>
      <c r="AB1320" s="2" t="s">
        <v>101</v>
      </c>
      <c r="AC1320" s="2">
        <v>2</v>
      </c>
    </row>
    <row r="1321" spans="1:29" x14ac:dyDescent="0.3">
      <c r="A1321" s="3" t="s">
        <v>6458</v>
      </c>
      <c r="B1321" s="3" t="s">
        <v>6459</v>
      </c>
      <c r="C1321" s="3" t="s">
        <v>689</v>
      </c>
      <c r="D1321" s="3" t="s">
        <v>4690</v>
      </c>
      <c r="E1321" s="3" t="s">
        <v>33</v>
      </c>
      <c r="F1321" s="3" t="s">
        <v>1168</v>
      </c>
      <c r="G1321" s="3" t="s">
        <v>506</v>
      </c>
      <c r="H1321" s="3" t="s">
        <v>491</v>
      </c>
      <c r="I1321" s="3">
        <v>8</v>
      </c>
      <c r="J1321" s="3" t="s">
        <v>14</v>
      </c>
      <c r="K1321" s="3" t="s">
        <v>183</v>
      </c>
      <c r="L1321" s="3" t="s">
        <v>183</v>
      </c>
      <c r="M1321" s="3" t="s">
        <v>6460</v>
      </c>
      <c r="N1321" s="3" t="s">
        <v>924</v>
      </c>
      <c r="O1321" s="3" t="s">
        <v>13</v>
      </c>
      <c r="P1321" s="3" t="s">
        <v>228</v>
      </c>
      <c r="Q1321" s="3" t="s">
        <v>218</v>
      </c>
      <c r="R1321" s="3">
        <v>4</v>
      </c>
      <c r="S1321" s="3">
        <v>46074.720000000001</v>
      </c>
      <c r="T1321" s="3">
        <v>15</v>
      </c>
      <c r="U1321" s="3">
        <v>156654.04999999999</v>
      </c>
      <c r="V1321" s="3">
        <v>76244.600000000006</v>
      </c>
      <c r="W1321" s="3">
        <v>80409.45</v>
      </c>
      <c r="X1321" s="3">
        <v>51.33</v>
      </c>
      <c r="Y1321" s="3">
        <v>149</v>
      </c>
      <c r="Z1321" s="3" t="s">
        <v>43</v>
      </c>
      <c r="AA1321" s="3" t="s">
        <v>100</v>
      </c>
      <c r="AB1321" s="3" t="s">
        <v>101</v>
      </c>
      <c r="AC1321" s="3">
        <v>1</v>
      </c>
    </row>
    <row r="1322" spans="1:29" x14ac:dyDescent="0.3">
      <c r="A1322" s="2" t="s">
        <v>6461</v>
      </c>
      <c r="B1322" s="2" t="s">
        <v>2016</v>
      </c>
      <c r="C1322" s="2" t="s">
        <v>3325</v>
      </c>
      <c r="D1322" s="2" t="s">
        <v>6462</v>
      </c>
      <c r="E1322" s="2" t="s">
        <v>33</v>
      </c>
      <c r="F1322" s="2" t="s">
        <v>3124</v>
      </c>
      <c r="G1322" s="2" t="s">
        <v>2740</v>
      </c>
      <c r="H1322" s="2" t="s">
        <v>2653</v>
      </c>
      <c r="I1322" s="2">
        <v>2</v>
      </c>
      <c r="J1322" s="2" t="s">
        <v>39</v>
      </c>
      <c r="K1322" s="2" t="s">
        <v>324</v>
      </c>
      <c r="L1322" s="2" t="s">
        <v>1028</v>
      </c>
      <c r="M1322" s="2" t="s">
        <v>6463</v>
      </c>
      <c r="N1322" s="2" t="s">
        <v>266</v>
      </c>
      <c r="O1322" s="2" t="s">
        <v>28</v>
      </c>
      <c r="P1322" s="2" t="s">
        <v>151</v>
      </c>
      <c r="Q1322" s="2" t="s">
        <v>138</v>
      </c>
      <c r="R1322" s="2">
        <v>5</v>
      </c>
      <c r="S1322" s="2">
        <v>9835.06</v>
      </c>
      <c r="T1322" s="2">
        <v>0</v>
      </c>
      <c r="U1322" s="2">
        <v>49175.3</v>
      </c>
      <c r="V1322" s="2">
        <v>23445.65</v>
      </c>
      <c r="W1322" s="2">
        <v>25729.65</v>
      </c>
      <c r="X1322" s="2">
        <v>52.32</v>
      </c>
      <c r="Y1322" s="2">
        <v>99</v>
      </c>
      <c r="Z1322" s="2" t="s">
        <v>47</v>
      </c>
      <c r="AA1322" s="2" t="s">
        <v>100</v>
      </c>
      <c r="AB1322" s="2" t="s">
        <v>101</v>
      </c>
      <c r="AC1322" s="2">
        <v>3</v>
      </c>
    </row>
    <row r="1323" spans="1:29" x14ac:dyDescent="0.3">
      <c r="A1323" s="3" t="s">
        <v>6464</v>
      </c>
      <c r="B1323" s="3" t="s">
        <v>6465</v>
      </c>
      <c r="C1323" s="3" t="s">
        <v>855</v>
      </c>
      <c r="D1323" s="3" t="s">
        <v>6466</v>
      </c>
      <c r="E1323" s="3" t="s">
        <v>33</v>
      </c>
      <c r="F1323" s="3" t="s">
        <v>1857</v>
      </c>
      <c r="G1323" s="3" t="s">
        <v>2119</v>
      </c>
      <c r="H1323" s="3" t="s">
        <v>3218</v>
      </c>
      <c r="I1323" s="3">
        <v>4</v>
      </c>
      <c r="J1323" s="3" t="s">
        <v>22</v>
      </c>
      <c r="K1323" s="3" t="s">
        <v>738</v>
      </c>
      <c r="L1323" s="3" t="s">
        <v>738</v>
      </c>
      <c r="M1323" s="3" t="s">
        <v>1035</v>
      </c>
      <c r="N1323" s="3" t="s">
        <v>354</v>
      </c>
      <c r="O1323" s="3" t="s">
        <v>21</v>
      </c>
      <c r="P1323" s="3" t="s">
        <v>196</v>
      </c>
      <c r="Q1323" s="3" t="s">
        <v>197</v>
      </c>
      <c r="R1323" s="3">
        <v>5</v>
      </c>
      <c r="S1323" s="3">
        <v>32299.26</v>
      </c>
      <c r="T1323" s="3">
        <v>25</v>
      </c>
      <c r="U1323" s="3">
        <v>121122.22</v>
      </c>
      <c r="V1323" s="3">
        <v>70853.67</v>
      </c>
      <c r="W1323" s="3">
        <v>50268.55</v>
      </c>
      <c r="X1323" s="3">
        <v>41.5</v>
      </c>
      <c r="Y1323" s="3">
        <v>29</v>
      </c>
      <c r="Z1323" s="3" t="s">
        <v>15</v>
      </c>
      <c r="AA1323" s="3" t="s">
        <v>100</v>
      </c>
      <c r="AB1323" s="3" t="s">
        <v>101</v>
      </c>
      <c r="AC1323" s="3"/>
    </row>
    <row r="1324" spans="1:29" x14ac:dyDescent="0.3">
      <c r="A1324" s="2" t="s">
        <v>6467</v>
      </c>
      <c r="B1324" s="2" t="s">
        <v>6468</v>
      </c>
      <c r="C1324" s="2" t="s">
        <v>2110</v>
      </c>
      <c r="D1324" s="2" t="s">
        <v>6469</v>
      </c>
      <c r="E1324" s="2" t="s">
        <v>26</v>
      </c>
      <c r="F1324" s="2" t="s">
        <v>3885</v>
      </c>
      <c r="G1324" s="2" t="s">
        <v>3940</v>
      </c>
      <c r="H1324" s="2" t="s">
        <v>3461</v>
      </c>
      <c r="I1324" s="2">
        <v>7</v>
      </c>
      <c r="J1324" s="2" t="s">
        <v>14</v>
      </c>
      <c r="K1324" s="2" t="s">
        <v>171</v>
      </c>
      <c r="L1324" s="2" t="s">
        <v>407</v>
      </c>
      <c r="M1324" s="2" t="s">
        <v>6470</v>
      </c>
      <c r="N1324" s="2" t="s">
        <v>1223</v>
      </c>
      <c r="O1324" s="2" t="s">
        <v>19</v>
      </c>
      <c r="P1324" s="2" t="s">
        <v>447</v>
      </c>
      <c r="Q1324" s="2" t="s">
        <v>466</v>
      </c>
      <c r="R1324" s="2">
        <v>1</v>
      </c>
      <c r="S1324" s="2">
        <v>44773.05</v>
      </c>
      <c r="T1324" s="2">
        <v>15</v>
      </c>
      <c r="U1324" s="2">
        <v>38057.089999999997</v>
      </c>
      <c r="V1324" s="2">
        <v>18957.78</v>
      </c>
      <c r="W1324" s="2">
        <v>19099.310000000001</v>
      </c>
      <c r="X1324" s="2">
        <v>50.19</v>
      </c>
      <c r="Y1324" s="2">
        <v>199</v>
      </c>
      <c r="Z1324" s="2" t="s">
        <v>23</v>
      </c>
      <c r="AA1324" s="2" t="s">
        <v>100</v>
      </c>
      <c r="AB1324" s="2" t="s">
        <v>101</v>
      </c>
      <c r="AC1324" s="2">
        <v>3</v>
      </c>
    </row>
    <row r="1325" spans="1:29" x14ac:dyDescent="0.3">
      <c r="A1325" s="3" t="s">
        <v>6471</v>
      </c>
      <c r="B1325" s="3" t="s">
        <v>6472</v>
      </c>
      <c r="C1325" s="3" t="s">
        <v>2286</v>
      </c>
      <c r="D1325" s="3" t="s">
        <v>6473</v>
      </c>
      <c r="E1325" s="3" t="s">
        <v>42</v>
      </c>
      <c r="F1325" s="3" t="s">
        <v>1220</v>
      </c>
      <c r="G1325" s="3" t="s">
        <v>1264</v>
      </c>
      <c r="H1325" s="3" t="s">
        <v>1338</v>
      </c>
      <c r="I1325" s="3">
        <v>6</v>
      </c>
      <c r="J1325" s="3" t="s">
        <v>39</v>
      </c>
      <c r="K1325" s="3" t="s">
        <v>109</v>
      </c>
      <c r="L1325" s="3" t="s">
        <v>134</v>
      </c>
      <c r="M1325" s="3" t="s">
        <v>5070</v>
      </c>
      <c r="N1325" s="3" t="s">
        <v>185</v>
      </c>
      <c r="O1325" s="3" t="s">
        <v>28</v>
      </c>
      <c r="P1325" s="3" t="s">
        <v>151</v>
      </c>
      <c r="Q1325" s="3" t="s">
        <v>99</v>
      </c>
      <c r="R1325" s="3">
        <v>4</v>
      </c>
      <c r="S1325" s="3">
        <v>21088.959999999999</v>
      </c>
      <c r="T1325" s="3">
        <v>0</v>
      </c>
      <c r="U1325" s="3">
        <v>84355.839999999997</v>
      </c>
      <c r="V1325" s="3">
        <v>53777.9</v>
      </c>
      <c r="W1325" s="3">
        <v>30577.94</v>
      </c>
      <c r="X1325" s="3">
        <v>36.25</v>
      </c>
      <c r="Y1325" s="3">
        <v>0</v>
      </c>
      <c r="Z1325" s="3" t="s">
        <v>47</v>
      </c>
      <c r="AA1325" s="3" t="s">
        <v>139</v>
      </c>
      <c r="AB1325" s="3" t="s">
        <v>140</v>
      </c>
      <c r="AC1325" s="3"/>
    </row>
    <row r="1326" spans="1:29" x14ac:dyDescent="0.3">
      <c r="A1326" s="2" t="s">
        <v>6474</v>
      </c>
      <c r="B1326" s="2" t="s">
        <v>6475</v>
      </c>
      <c r="C1326" s="2" t="s">
        <v>495</v>
      </c>
      <c r="D1326" s="2" t="s">
        <v>6476</v>
      </c>
      <c r="E1326" s="2" t="s">
        <v>42</v>
      </c>
      <c r="F1326" s="2" t="s">
        <v>1033</v>
      </c>
      <c r="G1326" s="2" t="s">
        <v>1034</v>
      </c>
      <c r="H1326" s="2" t="s">
        <v>928</v>
      </c>
      <c r="I1326" s="2">
        <v>7</v>
      </c>
      <c r="J1326" s="2" t="s">
        <v>22</v>
      </c>
      <c r="K1326" s="2" t="s">
        <v>122</v>
      </c>
      <c r="L1326" s="2" t="s">
        <v>236</v>
      </c>
      <c r="M1326" s="2" t="s">
        <v>1102</v>
      </c>
      <c r="N1326" s="2" t="s">
        <v>185</v>
      </c>
      <c r="O1326" s="2" t="s">
        <v>28</v>
      </c>
      <c r="P1326" s="2" t="s">
        <v>151</v>
      </c>
      <c r="Q1326" s="2" t="s">
        <v>355</v>
      </c>
      <c r="R1326" s="2">
        <v>1</v>
      </c>
      <c r="S1326" s="2">
        <v>4366.28</v>
      </c>
      <c r="T1326" s="2">
        <v>0</v>
      </c>
      <c r="U1326" s="2">
        <v>4366.28</v>
      </c>
      <c r="V1326" s="2">
        <v>2105.3200000000002</v>
      </c>
      <c r="W1326" s="2">
        <v>2260.96</v>
      </c>
      <c r="X1326" s="2">
        <v>51.78</v>
      </c>
      <c r="Y1326" s="2">
        <v>149</v>
      </c>
      <c r="Z1326" s="2" t="s">
        <v>23</v>
      </c>
      <c r="AA1326" s="2" t="s">
        <v>100</v>
      </c>
      <c r="AB1326" s="2" t="s">
        <v>101</v>
      </c>
      <c r="AC1326" s="2">
        <v>4</v>
      </c>
    </row>
    <row r="1327" spans="1:29" x14ac:dyDescent="0.3">
      <c r="A1327" s="3" t="s">
        <v>6477</v>
      </c>
      <c r="B1327" s="3" t="s">
        <v>6478</v>
      </c>
      <c r="C1327" s="3" t="s">
        <v>1675</v>
      </c>
      <c r="D1327" s="3" t="s">
        <v>6479</v>
      </c>
      <c r="E1327" s="3" t="s">
        <v>26</v>
      </c>
      <c r="F1327" s="3" t="s">
        <v>1840</v>
      </c>
      <c r="G1327" s="3" t="s">
        <v>3495</v>
      </c>
      <c r="H1327" s="3" t="s">
        <v>1869</v>
      </c>
      <c r="I1327" s="3">
        <v>7</v>
      </c>
      <c r="J1327" s="3" t="s">
        <v>29</v>
      </c>
      <c r="K1327" s="3" t="s">
        <v>148</v>
      </c>
      <c r="L1327" s="3" t="s">
        <v>148</v>
      </c>
      <c r="M1327" s="3" t="s">
        <v>6480</v>
      </c>
      <c r="N1327" s="3" t="s">
        <v>185</v>
      </c>
      <c r="O1327" s="3" t="s">
        <v>28</v>
      </c>
      <c r="P1327" s="3" t="s">
        <v>151</v>
      </c>
      <c r="Q1327" s="3" t="s">
        <v>99</v>
      </c>
      <c r="R1327" s="3">
        <v>4</v>
      </c>
      <c r="S1327" s="3">
        <v>9596.33</v>
      </c>
      <c r="T1327" s="3">
        <v>25</v>
      </c>
      <c r="U1327" s="3">
        <v>28788.99</v>
      </c>
      <c r="V1327" s="3">
        <v>17708.150000000001</v>
      </c>
      <c r="W1327" s="3">
        <v>11080.84</v>
      </c>
      <c r="X1327" s="3">
        <v>38.49</v>
      </c>
      <c r="Y1327" s="3">
        <v>0</v>
      </c>
      <c r="Z1327" s="3" t="s">
        <v>15</v>
      </c>
      <c r="AA1327" s="3" t="s">
        <v>275</v>
      </c>
      <c r="AB1327" s="3" t="s">
        <v>140</v>
      </c>
      <c r="AC1327" s="3"/>
    </row>
    <row r="1328" spans="1:29" x14ac:dyDescent="0.3">
      <c r="A1328" s="2" t="s">
        <v>6481</v>
      </c>
      <c r="B1328" s="2" t="s">
        <v>6482</v>
      </c>
      <c r="C1328" s="2" t="s">
        <v>155</v>
      </c>
      <c r="D1328" s="2" t="s">
        <v>6483</v>
      </c>
      <c r="E1328" s="2" t="s">
        <v>42</v>
      </c>
      <c r="F1328" s="2" t="s">
        <v>2836</v>
      </c>
      <c r="G1328" s="2" t="s">
        <v>1343</v>
      </c>
      <c r="H1328" s="2" t="s">
        <v>5153</v>
      </c>
      <c r="I1328" s="2">
        <v>7</v>
      </c>
      <c r="J1328" s="2" t="s">
        <v>39</v>
      </c>
      <c r="K1328" s="2" t="s">
        <v>193</v>
      </c>
      <c r="L1328" s="2" t="s">
        <v>193</v>
      </c>
      <c r="M1328" s="2" t="s">
        <v>6484</v>
      </c>
      <c r="N1328" s="2" t="s">
        <v>125</v>
      </c>
      <c r="O1328" s="2" t="s">
        <v>21</v>
      </c>
      <c r="P1328" s="2" t="s">
        <v>126</v>
      </c>
      <c r="Q1328" s="2" t="s">
        <v>246</v>
      </c>
      <c r="R1328" s="2">
        <v>4</v>
      </c>
      <c r="S1328" s="2">
        <v>15489.86</v>
      </c>
      <c r="T1328" s="2">
        <v>25</v>
      </c>
      <c r="U1328" s="2">
        <v>46469.58</v>
      </c>
      <c r="V1328" s="2">
        <v>29792.82</v>
      </c>
      <c r="W1328" s="2">
        <v>16676.759999999998</v>
      </c>
      <c r="X1328" s="2">
        <v>35.89</v>
      </c>
      <c r="Y1328" s="2">
        <v>0</v>
      </c>
      <c r="Z1328" s="2" t="s">
        <v>30</v>
      </c>
      <c r="AA1328" s="2" t="s">
        <v>100</v>
      </c>
      <c r="AB1328" s="2" t="s">
        <v>101</v>
      </c>
      <c r="AC1328" s="2">
        <v>2</v>
      </c>
    </row>
    <row r="1329" spans="1:29" x14ac:dyDescent="0.3">
      <c r="A1329" s="3" t="s">
        <v>6485</v>
      </c>
      <c r="B1329" s="3" t="s">
        <v>6486</v>
      </c>
      <c r="C1329" s="3" t="s">
        <v>4171</v>
      </c>
      <c r="D1329" s="3" t="s">
        <v>6487</v>
      </c>
      <c r="E1329" s="3" t="s">
        <v>26</v>
      </c>
      <c r="F1329" s="3" t="s">
        <v>5736</v>
      </c>
      <c r="G1329" s="3" t="s">
        <v>969</v>
      </c>
      <c r="H1329" s="3" t="s">
        <v>489</v>
      </c>
      <c r="I1329" s="3">
        <v>5</v>
      </c>
      <c r="J1329" s="3" t="s">
        <v>39</v>
      </c>
      <c r="K1329" s="3" t="s">
        <v>193</v>
      </c>
      <c r="L1329" s="3" t="s">
        <v>193</v>
      </c>
      <c r="M1329" s="3" t="s">
        <v>6488</v>
      </c>
      <c r="N1329" s="3" t="s">
        <v>1188</v>
      </c>
      <c r="O1329" s="3" t="s">
        <v>27</v>
      </c>
      <c r="P1329" s="3" t="s">
        <v>257</v>
      </c>
      <c r="Q1329" s="3" t="s">
        <v>400</v>
      </c>
      <c r="R1329" s="3">
        <v>5</v>
      </c>
      <c r="S1329" s="3">
        <v>788.05</v>
      </c>
      <c r="T1329" s="3">
        <v>10</v>
      </c>
      <c r="U1329" s="3">
        <v>3546.22</v>
      </c>
      <c r="V1329" s="3">
        <v>1999.47</v>
      </c>
      <c r="W1329" s="3">
        <v>1546.75</v>
      </c>
      <c r="X1329" s="3">
        <v>43.62</v>
      </c>
      <c r="Y1329" s="3">
        <v>29</v>
      </c>
      <c r="Z1329" s="3" t="s">
        <v>15</v>
      </c>
      <c r="AA1329" s="3" t="s">
        <v>100</v>
      </c>
      <c r="AB1329" s="3" t="s">
        <v>140</v>
      </c>
      <c r="AC1329" s="3">
        <v>4</v>
      </c>
    </row>
    <row r="1330" spans="1:29" x14ac:dyDescent="0.3">
      <c r="A1330" s="2" t="s">
        <v>6489</v>
      </c>
      <c r="B1330" s="2" t="s">
        <v>4493</v>
      </c>
      <c r="C1330" s="2" t="s">
        <v>799</v>
      </c>
      <c r="D1330" s="2" t="s">
        <v>6490</v>
      </c>
      <c r="E1330" s="2" t="s">
        <v>33</v>
      </c>
      <c r="F1330" s="2" t="s">
        <v>4218</v>
      </c>
      <c r="G1330" s="2" t="s">
        <v>850</v>
      </c>
      <c r="H1330" s="2" t="s">
        <v>2126</v>
      </c>
      <c r="I1330" s="2">
        <v>6</v>
      </c>
      <c r="J1330" s="2" t="s">
        <v>22</v>
      </c>
      <c r="K1330" s="2" t="s">
        <v>443</v>
      </c>
      <c r="L1330" s="2" t="s">
        <v>498</v>
      </c>
      <c r="M1330" s="2" t="s">
        <v>6491</v>
      </c>
      <c r="N1330" s="2" t="s">
        <v>97</v>
      </c>
      <c r="O1330" s="2" t="s">
        <v>13</v>
      </c>
      <c r="P1330" s="2" t="s">
        <v>98</v>
      </c>
      <c r="Q1330" s="2" t="s">
        <v>138</v>
      </c>
      <c r="R1330" s="2">
        <v>1</v>
      </c>
      <c r="S1330" s="2">
        <v>44057.19</v>
      </c>
      <c r="T1330" s="2">
        <v>30</v>
      </c>
      <c r="U1330" s="2">
        <v>30840.03</v>
      </c>
      <c r="V1330" s="2">
        <v>14043.43</v>
      </c>
      <c r="W1330" s="2">
        <v>16796.599999999999</v>
      </c>
      <c r="X1330" s="2">
        <v>54.46</v>
      </c>
      <c r="Y1330" s="2">
        <v>49</v>
      </c>
      <c r="Z1330" s="2" t="s">
        <v>15</v>
      </c>
      <c r="AA1330" s="2" t="s">
        <v>100</v>
      </c>
      <c r="AB1330" s="2" t="s">
        <v>101</v>
      </c>
      <c r="AC1330" s="2">
        <v>1</v>
      </c>
    </row>
    <row r="1331" spans="1:29" x14ac:dyDescent="0.3">
      <c r="A1331" s="3" t="s">
        <v>6492</v>
      </c>
      <c r="B1331" s="3" t="s">
        <v>6493</v>
      </c>
      <c r="C1331" s="3" t="s">
        <v>117</v>
      </c>
      <c r="D1331" s="3" t="s">
        <v>6494</v>
      </c>
      <c r="E1331" s="3" t="s">
        <v>18</v>
      </c>
      <c r="F1331" s="3" t="s">
        <v>6495</v>
      </c>
      <c r="G1331" s="3" t="s">
        <v>2349</v>
      </c>
      <c r="H1331" s="3" t="s">
        <v>755</v>
      </c>
      <c r="I1331" s="3">
        <v>6</v>
      </c>
      <c r="J1331" s="3" t="s">
        <v>29</v>
      </c>
      <c r="K1331" s="3" t="s">
        <v>427</v>
      </c>
      <c r="L1331" s="3" t="s">
        <v>1081</v>
      </c>
      <c r="M1331" s="3" t="s">
        <v>6496</v>
      </c>
      <c r="N1331" s="3" t="s">
        <v>765</v>
      </c>
      <c r="O1331" s="3" t="s">
        <v>27</v>
      </c>
      <c r="P1331" s="3" t="s">
        <v>113</v>
      </c>
      <c r="Q1331" s="3" t="s">
        <v>400</v>
      </c>
      <c r="R1331" s="3">
        <v>1</v>
      </c>
      <c r="S1331" s="3">
        <v>1092.02</v>
      </c>
      <c r="T1331" s="3">
        <v>20</v>
      </c>
      <c r="U1331" s="3">
        <v>873.62</v>
      </c>
      <c r="V1331" s="3">
        <v>591.12</v>
      </c>
      <c r="W1331" s="3">
        <v>282.5</v>
      </c>
      <c r="X1331" s="3">
        <v>32.340000000000003</v>
      </c>
      <c r="Y1331" s="3">
        <v>29</v>
      </c>
      <c r="Z1331" s="3" t="s">
        <v>47</v>
      </c>
      <c r="AA1331" s="3" t="s">
        <v>100</v>
      </c>
      <c r="AB1331" s="3" t="s">
        <v>101</v>
      </c>
      <c r="AC1331" s="3"/>
    </row>
    <row r="1332" spans="1:29" x14ac:dyDescent="0.3">
      <c r="A1332" s="2" t="s">
        <v>6497</v>
      </c>
      <c r="B1332" s="2" t="s">
        <v>6498</v>
      </c>
      <c r="C1332" s="2" t="s">
        <v>619</v>
      </c>
      <c r="D1332" s="2" t="s">
        <v>6499</v>
      </c>
      <c r="E1332" s="2" t="s">
        <v>18</v>
      </c>
      <c r="F1332" s="2" t="s">
        <v>2921</v>
      </c>
      <c r="G1332" s="2" t="s">
        <v>4145</v>
      </c>
      <c r="H1332" s="2" t="s">
        <v>4534</v>
      </c>
      <c r="I1332" s="2">
        <v>5</v>
      </c>
      <c r="J1332" s="2" t="s">
        <v>22</v>
      </c>
      <c r="K1332" s="2" t="s">
        <v>122</v>
      </c>
      <c r="L1332" s="2" t="s">
        <v>123</v>
      </c>
      <c r="M1332" s="2" t="s">
        <v>771</v>
      </c>
      <c r="N1332" s="2" t="s">
        <v>185</v>
      </c>
      <c r="O1332" s="2" t="s">
        <v>28</v>
      </c>
      <c r="P1332" s="2" t="s">
        <v>151</v>
      </c>
      <c r="Q1332" s="2" t="s">
        <v>152</v>
      </c>
      <c r="R1332" s="2">
        <v>1</v>
      </c>
      <c r="S1332" s="2">
        <v>14111.32</v>
      </c>
      <c r="T1332" s="2">
        <v>25</v>
      </c>
      <c r="U1332" s="2">
        <v>10583.49</v>
      </c>
      <c r="V1332" s="2">
        <v>6456.13</v>
      </c>
      <c r="W1332" s="2">
        <v>4127.3599999999997</v>
      </c>
      <c r="X1332" s="2">
        <v>39</v>
      </c>
      <c r="Y1332" s="2">
        <v>199</v>
      </c>
      <c r="Z1332" s="2" t="s">
        <v>15</v>
      </c>
      <c r="AA1332" s="2" t="s">
        <v>100</v>
      </c>
      <c r="AB1332" s="2" t="s">
        <v>101</v>
      </c>
      <c r="AC1332" s="2">
        <v>5</v>
      </c>
    </row>
    <row r="1333" spans="1:29" x14ac:dyDescent="0.3">
      <c r="A1333" s="3" t="s">
        <v>6500</v>
      </c>
      <c r="B1333" s="3" t="s">
        <v>6501</v>
      </c>
      <c r="C1333" s="3" t="s">
        <v>586</v>
      </c>
      <c r="D1333" s="3" t="s">
        <v>6502</v>
      </c>
      <c r="E1333" s="3" t="s">
        <v>42</v>
      </c>
      <c r="F1333" s="3" t="s">
        <v>574</v>
      </c>
      <c r="G1333" s="3" t="s">
        <v>3844</v>
      </c>
      <c r="H1333" s="3" t="s">
        <v>575</v>
      </c>
      <c r="I1333" s="3">
        <v>2</v>
      </c>
      <c r="J1333" s="3" t="s">
        <v>14</v>
      </c>
      <c r="K1333" s="3" t="s">
        <v>183</v>
      </c>
      <c r="L1333" s="3" t="s">
        <v>183</v>
      </c>
      <c r="M1333" s="3" t="s">
        <v>6503</v>
      </c>
      <c r="N1333" s="3" t="s">
        <v>740</v>
      </c>
      <c r="O1333" s="3" t="s">
        <v>21</v>
      </c>
      <c r="P1333" s="3" t="s">
        <v>126</v>
      </c>
      <c r="Q1333" s="3" t="s">
        <v>509</v>
      </c>
      <c r="R1333" s="3">
        <v>2</v>
      </c>
      <c r="S1333" s="3">
        <v>45744.57</v>
      </c>
      <c r="T1333" s="3">
        <v>15</v>
      </c>
      <c r="U1333" s="3">
        <v>77765.77</v>
      </c>
      <c r="V1333" s="3">
        <v>41352.550000000003</v>
      </c>
      <c r="W1333" s="3">
        <v>36413.22</v>
      </c>
      <c r="X1333" s="3">
        <v>46.82</v>
      </c>
      <c r="Y1333" s="3">
        <v>29</v>
      </c>
      <c r="Z1333" s="3" t="s">
        <v>23</v>
      </c>
      <c r="AA1333" s="3" t="s">
        <v>100</v>
      </c>
      <c r="AB1333" s="3" t="s">
        <v>101</v>
      </c>
      <c r="AC1333" s="3"/>
    </row>
    <row r="1334" spans="1:29" x14ac:dyDescent="0.3">
      <c r="A1334" s="2" t="s">
        <v>6504</v>
      </c>
      <c r="B1334" s="2" t="s">
        <v>6505</v>
      </c>
      <c r="C1334" s="2" t="s">
        <v>1068</v>
      </c>
      <c r="D1334" s="2" t="s">
        <v>6506</v>
      </c>
      <c r="E1334" s="2" t="s">
        <v>18</v>
      </c>
      <c r="F1334" s="2" t="s">
        <v>1048</v>
      </c>
      <c r="G1334" s="2" t="s">
        <v>2747</v>
      </c>
      <c r="H1334" s="2" t="s">
        <v>1049</v>
      </c>
      <c r="I1334" s="2">
        <v>2</v>
      </c>
      <c r="J1334" s="2" t="s">
        <v>29</v>
      </c>
      <c r="K1334" s="2" t="s">
        <v>427</v>
      </c>
      <c r="L1334" s="2" t="s">
        <v>1871</v>
      </c>
      <c r="M1334" s="2" t="s">
        <v>4958</v>
      </c>
      <c r="N1334" s="2" t="s">
        <v>174</v>
      </c>
      <c r="O1334" s="2" t="s">
        <v>27</v>
      </c>
      <c r="P1334" s="2" t="s">
        <v>175</v>
      </c>
      <c r="Q1334" s="2" t="s">
        <v>114</v>
      </c>
      <c r="R1334" s="2">
        <v>3</v>
      </c>
      <c r="S1334" s="2">
        <v>45370.94</v>
      </c>
      <c r="T1334" s="2">
        <v>30</v>
      </c>
      <c r="U1334" s="2">
        <v>95278.97</v>
      </c>
      <c r="V1334" s="2">
        <v>63899.38</v>
      </c>
      <c r="W1334" s="2">
        <v>31379.59</v>
      </c>
      <c r="X1334" s="2">
        <v>32.93</v>
      </c>
      <c r="Y1334" s="2">
        <v>49</v>
      </c>
      <c r="Z1334" s="2" t="s">
        <v>48</v>
      </c>
      <c r="AA1334" s="2" t="s">
        <v>100</v>
      </c>
      <c r="AB1334" s="2" t="s">
        <v>101</v>
      </c>
      <c r="AC1334" s="2">
        <v>1</v>
      </c>
    </row>
    <row r="1335" spans="1:29" x14ac:dyDescent="0.3">
      <c r="A1335" s="3" t="s">
        <v>6507</v>
      </c>
      <c r="B1335" s="3" t="s">
        <v>6508</v>
      </c>
      <c r="C1335" s="3" t="s">
        <v>2136</v>
      </c>
      <c r="D1335" s="3" t="s">
        <v>6509</v>
      </c>
      <c r="E1335" s="3" t="s">
        <v>18</v>
      </c>
      <c r="F1335" s="3" t="s">
        <v>879</v>
      </c>
      <c r="G1335" s="3" t="s">
        <v>682</v>
      </c>
      <c r="H1335" s="3" t="s">
        <v>3322</v>
      </c>
      <c r="I1335" s="3">
        <v>4</v>
      </c>
      <c r="J1335" s="3" t="s">
        <v>39</v>
      </c>
      <c r="K1335" s="3" t="s">
        <v>193</v>
      </c>
      <c r="L1335" s="3" t="s">
        <v>193</v>
      </c>
      <c r="M1335" s="3" t="s">
        <v>6510</v>
      </c>
      <c r="N1335" s="3" t="s">
        <v>648</v>
      </c>
      <c r="O1335" s="3" t="s">
        <v>27</v>
      </c>
      <c r="P1335" s="3" t="s">
        <v>113</v>
      </c>
      <c r="Q1335" s="3" t="s">
        <v>218</v>
      </c>
      <c r="R1335" s="3">
        <v>4</v>
      </c>
      <c r="S1335" s="3">
        <v>10045.030000000001</v>
      </c>
      <c r="T1335" s="3">
        <v>5</v>
      </c>
      <c r="U1335" s="3">
        <v>38171.11</v>
      </c>
      <c r="V1335" s="3">
        <v>18627.47</v>
      </c>
      <c r="W1335" s="3">
        <v>19543.64</v>
      </c>
      <c r="X1335" s="3">
        <v>51.2</v>
      </c>
      <c r="Y1335" s="3">
        <v>199</v>
      </c>
      <c r="Z1335" s="3" t="s">
        <v>40</v>
      </c>
      <c r="AA1335" s="3" t="s">
        <v>100</v>
      </c>
      <c r="AB1335" s="3" t="s">
        <v>101</v>
      </c>
      <c r="AC1335" s="3">
        <v>4</v>
      </c>
    </row>
    <row r="1336" spans="1:29" x14ac:dyDescent="0.3">
      <c r="A1336" s="2" t="s">
        <v>6511</v>
      </c>
      <c r="B1336" s="2" t="s">
        <v>2412</v>
      </c>
      <c r="C1336" s="2" t="s">
        <v>651</v>
      </c>
      <c r="D1336" s="2" t="s">
        <v>6512</v>
      </c>
      <c r="E1336" s="2" t="s">
        <v>26</v>
      </c>
      <c r="F1336" s="2" t="s">
        <v>4561</v>
      </c>
      <c r="G1336" s="2" t="s">
        <v>590</v>
      </c>
      <c r="H1336" s="2" t="s">
        <v>4218</v>
      </c>
      <c r="I1336" s="2">
        <v>7</v>
      </c>
      <c r="J1336" s="2" t="s">
        <v>29</v>
      </c>
      <c r="K1336" s="2" t="s">
        <v>148</v>
      </c>
      <c r="L1336" s="2" t="s">
        <v>148</v>
      </c>
      <c r="M1336" s="2" t="s">
        <v>6513</v>
      </c>
      <c r="N1336" s="2" t="s">
        <v>217</v>
      </c>
      <c r="O1336" s="2" t="s">
        <v>21</v>
      </c>
      <c r="P1336" s="2" t="s">
        <v>206</v>
      </c>
      <c r="Q1336" s="2" t="s">
        <v>197</v>
      </c>
      <c r="R1336" s="2">
        <v>4</v>
      </c>
      <c r="S1336" s="2">
        <v>27781.61</v>
      </c>
      <c r="T1336" s="2">
        <v>5</v>
      </c>
      <c r="U1336" s="2">
        <v>105570.12</v>
      </c>
      <c r="V1336" s="2">
        <v>52080.52</v>
      </c>
      <c r="W1336" s="2">
        <v>53489.599999999999</v>
      </c>
      <c r="X1336" s="2">
        <v>50.67</v>
      </c>
      <c r="Y1336" s="2">
        <v>199</v>
      </c>
      <c r="Z1336" s="2" t="s">
        <v>40</v>
      </c>
      <c r="AA1336" s="2" t="s">
        <v>139</v>
      </c>
      <c r="AB1336" s="2" t="s">
        <v>140</v>
      </c>
      <c r="AC1336" s="2"/>
    </row>
    <row r="1337" spans="1:29" x14ac:dyDescent="0.3">
      <c r="A1337" s="3" t="s">
        <v>6514</v>
      </c>
      <c r="B1337" s="3" t="s">
        <v>6515</v>
      </c>
      <c r="C1337" s="3" t="s">
        <v>1918</v>
      </c>
      <c r="D1337" s="3" t="s">
        <v>6516</v>
      </c>
      <c r="E1337" s="3" t="s">
        <v>42</v>
      </c>
      <c r="F1337" s="3" t="s">
        <v>1367</v>
      </c>
      <c r="G1337" s="3" t="s">
        <v>3100</v>
      </c>
      <c r="H1337" s="3" t="s">
        <v>3461</v>
      </c>
      <c r="I1337" s="3">
        <v>2</v>
      </c>
      <c r="J1337" s="3" t="s">
        <v>29</v>
      </c>
      <c r="K1337" s="3" t="s">
        <v>427</v>
      </c>
      <c r="L1337" s="3" t="s">
        <v>1871</v>
      </c>
      <c r="M1337" s="3" t="s">
        <v>6517</v>
      </c>
      <c r="N1337" s="3" t="s">
        <v>227</v>
      </c>
      <c r="O1337" s="3" t="s">
        <v>13</v>
      </c>
      <c r="P1337" s="3" t="s">
        <v>228</v>
      </c>
      <c r="Q1337" s="3" t="s">
        <v>246</v>
      </c>
      <c r="R1337" s="3">
        <v>3</v>
      </c>
      <c r="S1337" s="3">
        <v>3853.07</v>
      </c>
      <c r="T1337" s="3">
        <v>0</v>
      </c>
      <c r="U1337" s="3">
        <v>11559.21</v>
      </c>
      <c r="V1337" s="3">
        <v>5948.78</v>
      </c>
      <c r="W1337" s="3">
        <v>5610.43</v>
      </c>
      <c r="X1337" s="3">
        <v>48.54</v>
      </c>
      <c r="Y1337" s="3">
        <v>49</v>
      </c>
      <c r="Z1337" s="3" t="s">
        <v>43</v>
      </c>
      <c r="AA1337" s="3" t="s">
        <v>100</v>
      </c>
      <c r="AB1337" s="3" t="s">
        <v>101</v>
      </c>
      <c r="AC1337" s="3">
        <v>3</v>
      </c>
    </row>
    <row r="1338" spans="1:29" x14ac:dyDescent="0.3">
      <c r="A1338" s="2" t="s">
        <v>6518</v>
      </c>
      <c r="B1338" s="2" t="s">
        <v>6519</v>
      </c>
      <c r="C1338" s="2" t="s">
        <v>799</v>
      </c>
      <c r="D1338" s="2" t="s">
        <v>6520</v>
      </c>
      <c r="E1338" s="2" t="s">
        <v>42</v>
      </c>
      <c r="F1338" s="2" t="s">
        <v>516</v>
      </c>
      <c r="G1338" s="2" t="s">
        <v>1113</v>
      </c>
      <c r="H1338" s="2" t="s">
        <v>2747</v>
      </c>
      <c r="I1338" s="2">
        <v>3</v>
      </c>
      <c r="J1338" s="2" t="s">
        <v>29</v>
      </c>
      <c r="K1338" s="2" t="s">
        <v>834</v>
      </c>
      <c r="L1338" s="2" t="s">
        <v>1000</v>
      </c>
      <c r="M1338" s="2" t="s">
        <v>6521</v>
      </c>
      <c r="N1338" s="2" t="s">
        <v>639</v>
      </c>
      <c r="O1338" s="2" t="s">
        <v>27</v>
      </c>
      <c r="P1338" s="2" t="s">
        <v>175</v>
      </c>
      <c r="Q1338" s="2" t="s">
        <v>287</v>
      </c>
      <c r="R1338" s="2">
        <v>2</v>
      </c>
      <c r="S1338" s="2">
        <v>6279.72</v>
      </c>
      <c r="T1338" s="2">
        <v>20</v>
      </c>
      <c r="U1338" s="2">
        <v>10047.549999999999</v>
      </c>
      <c r="V1338" s="2">
        <v>5303.03</v>
      </c>
      <c r="W1338" s="2">
        <v>4744.5200000000004</v>
      </c>
      <c r="X1338" s="2">
        <v>47.22</v>
      </c>
      <c r="Y1338" s="2">
        <v>149</v>
      </c>
      <c r="Z1338" s="2" t="s">
        <v>15</v>
      </c>
      <c r="AA1338" s="2" t="s">
        <v>100</v>
      </c>
      <c r="AB1338" s="2" t="s">
        <v>101</v>
      </c>
      <c r="AC1338" s="2">
        <v>3</v>
      </c>
    </row>
    <row r="1339" spans="1:29" x14ac:dyDescent="0.3">
      <c r="A1339" s="3" t="s">
        <v>6522</v>
      </c>
      <c r="B1339" s="3" t="s">
        <v>6523</v>
      </c>
      <c r="C1339" s="3" t="s">
        <v>918</v>
      </c>
      <c r="D1339" s="3" t="s">
        <v>6524</v>
      </c>
      <c r="E1339" s="3" t="s">
        <v>33</v>
      </c>
      <c r="F1339" s="3" t="s">
        <v>2414</v>
      </c>
      <c r="G1339" s="3" t="s">
        <v>1617</v>
      </c>
      <c r="H1339" s="3" t="s">
        <v>6525</v>
      </c>
      <c r="I1339" s="3">
        <v>7</v>
      </c>
      <c r="J1339" s="3" t="s">
        <v>22</v>
      </c>
      <c r="K1339" s="3" t="s">
        <v>443</v>
      </c>
      <c r="L1339" s="3" t="s">
        <v>567</v>
      </c>
      <c r="M1339" s="3" t="s">
        <v>2699</v>
      </c>
      <c r="N1339" s="3" t="s">
        <v>1051</v>
      </c>
      <c r="O1339" s="3" t="s">
        <v>28</v>
      </c>
      <c r="P1339" s="3" t="s">
        <v>151</v>
      </c>
      <c r="Q1339" s="3" t="s">
        <v>99</v>
      </c>
      <c r="R1339" s="3">
        <v>5</v>
      </c>
      <c r="S1339" s="3">
        <v>17310.39</v>
      </c>
      <c r="T1339" s="3">
        <v>25</v>
      </c>
      <c r="U1339" s="3">
        <v>64913.96</v>
      </c>
      <c r="V1339" s="3">
        <v>39379.730000000003</v>
      </c>
      <c r="W1339" s="3">
        <v>25534.23</v>
      </c>
      <c r="X1339" s="3">
        <v>39.340000000000003</v>
      </c>
      <c r="Y1339" s="3">
        <v>99</v>
      </c>
      <c r="Z1339" s="3" t="s">
        <v>43</v>
      </c>
      <c r="AA1339" s="3" t="s">
        <v>186</v>
      </c>
      <c r="AB1339" s="3" t="s">
        <v>101</v>
      </c>
      <c r="AC1339" s="3"/>
    </row>
    <row r="1340" spans="1:29" x14ac:dyDescent="0.3">
      <c r="A1340" s="2" t="s">
        <v>6526</v>
      </c>
      <c r="B1340" s="2" t="s">
        <v>6527</v>
      </c>
      <c r="C1340" s="2" t="s">
        <v>512</v>
      </c>
      <c r="D1340" s="2" t="s">
        <v>6528</v>
      </c>
      <c r="E1340" s="2" t="s">
        <v>26</v>
      </c>
      <c r="F1340" s="2" t="s">
        <v>1315</v>
      </c>
      <c r="G1340" s="2" t="s">
        <v>504</v>
      </c>
      <c r="H1340" s="2" t="s">
        <v>505</v>
      </c>
      <c r="I1340" s="2">
        <v>3</v>
      </c>
      <c r="J1340" s="2" t="s">
        <v>39</v>
      </c>
      <c r="K1340" s="2" t="s">
        <v>314</v>
      </c>
      <c r="L1340" s="2" t="s">
        <v>314</v>
      </c>
      <c r="M1340" s="2" t="s">
        <v>1623</v>
      </c>
      <c r="N1340" s="2" t="s">
        <v>931</v>
      </c>
      <c r="O1340" s="2" t="s">
        <v>13</v>
      </c>
      <c r="P1340" s="2" t="s">
        <v>419</v>
      </c>
      <c r="Q1340" s="2" t="s">
        <v>509</v>
      </c>
      <c r="R1340" s="2">
        <v>4</v>
      </c>
      <c r="S1340" s="2">
        <v>18411.810000000001</v>
      </c>
      <c r="T1340" s="2">
        <v>25</v>
      </c>
      <c r="U1340" s="2">
        <v>55235.43</v>
      </c>
      <c r="V1340" s="2">
        <v>37166.230000000003</v>
      </c>
      <c r="W1340" s="2">
        <v>18069.2</v>
      </c>
      <c r="X1340" s="2">
        <v>32.71</v>
      </c>
      <c r="Y1340" s="2">
        <v>0</v>
      </c>
      <c r="Z1340" s="2" t="s">
        <v>43</v>
      </c>
      <c r="AA1340" s="2" t="s">
        <v>100</v>
      </c>
      <c r="AB1340" s="2" t="s">
        <v>101</v>
      </c>
      <c r="AC1340" s="2">
        <v>4</v>
      </c>
    </row>
    <row r="1341" spans="1:29" x14ac:dyDescent="0.3">
      <c r="A1341" s="3" t="s">
        <v>6529</v>
      </c>
      <c r="B1341" s="3" t="s">
        <v>6530</v>
      </c>
      <c r="C1341" s="3" t="s">
        <v>1261</v>
      </c>
      <c r="D1341" s="3" t="s">
        <v>6531</v>
      </c>
      <c r="E1341" s="3" t="s">
        <v>26</v>
      </c>
      <c r="F1341" s="3" t="s">
        <v>5440</v>
      </c>
      <c r="G1341" s="3" t="s">
        <v>491</v>
      </c>
      <c r="H1341" s="3" t="s">
        <v>2221</v>
      </c>
      <c r="I1341" s="3">
        <v>7</v>
      </c>
      <c r="J1341" s="3" t="s">
        <v>14</v>
      </c>
      <c r="K1341" s="3" t="s">
        <v>183</v>
      </c>
      <c r="L1341" s="3" t="s">
        <v>183</v>
      </c>
      <c r="M1341" s="3" t="s">
        <v>6532</v>
      </c>
      <c r="N1341" s="3" t="s">
        <v>112</v>
      </c>
      <c r="O1341" s="3" t="s">
        <v>27</v>
      </c>
      <c r="P1341" s="3" t="s">
        <v>113</v>
      </c>
      <c r="Q1341" s="3" t="s">
        <v>287</v>
      </c>
      <c r="R1341" s="3">
        <v>4</v>
      </c>
      <c r="S1341" s="3">
        <v>33417.599999999999</v>
      </c>
      <c r="T1341" s="3">
        <v>5</v>
      </c>
      <c r="U1341" s="3">
        <v>126986.88</v>
      </c>
      <c r="V1341" s="3">
        <v>58440.52</v>
      </c>
      <c r="W1341" s="3">
        <v>68546.36</v>
      </c>
      <c r="X1341" s="3">
        <v>53.98</v>
      </c>
      <c r="Y1341" s="3">
        <v>0</v>
      </c>
      <c r="Z1341" s="3" t="s">
        <v>30</v>
      </c>
      <c r="AA1341" s="3" t="s">
        <v>100</v>
      </c>
      <c r="AB1341" s="3" t="s">
        <v>101</v>
      </c>
      <c r="AC1341" s="3"/>
    </row>
    <row r="1342" spans="1:29" x14ac:dyDescent="0.3">
      <c r="A1342" s="2" t="s">
        <v>6533</v>
      </c>
      <c r="B1342" s="2" t="s">
        <v>6534</v>
      </c>
      <c r="C1342" s="2" t="s">
        <v>432</v>
      </c>
      <c r="D1342" s="2" t="s">
        <v>6535</v>
      </c>
      <c r="E1342" s="2" t="s">
        <v>18</v>
      </c>
      <c r="F1342" s="2" t="s">
        <v>5970</v>
      </c>
      <c r="G1342" s="2" t="s">
        <v>1496</v>
      </c>
      <c r="H1342" s="2" t="s">
        <v>1632</v>
      </c>
      <c r="I1342" s="2">
        <v>3</v>
      </c>
      <c r="J1342" s="2" t="s">
        <v>29</v>
      </c>
      <c r="K1342" s="2" t="s">
        <v>334</v>
      </c>
      <c r="L1342" s="2" t="s">
        <v>335</v>
      </c>
      <c r="M1342" s="2" t="s">
        <v>6536</v>
      </c>
      <c r="N1342" s="2" t="s">
        <v>837</v>
      </c>
      <c r="O1342" s="2" t="s">
        <v>27</v>
      </c>
      <c r="P1342" s="2" t="s">
        <v>257</v>
      </c>
      <c r="Q1342" s="2" t="s">
        <v>138</v>
      </c>
      <c r="R1342" s="2">
        <v>3</v>
      </c>
      <c r="S1342" s="2">
        <v>7961.39</v>
      </c>
      <c r="T1342" s="2">
        <v>25</v>
      </c>
      <c r="U1342" s="2">
        <v>17913.13</v>
      </c>
      <c r="V1342" s="2">
        <v>10266.469999999999</v>
      </c>
      <c r="W1342" s="2">
        <v>7646.66</v>
      </c>
      <c r="X1342" s="2">
        <v>42.69</v>
      </c>
      <c r="Y1342" s="2">
        <v>0</v>
      </c>
      <c r="Z1342" s="2" t="s">
        <v>43</v>
      </c>
      <c r="AA1342" s="2" t="s">
        <v>100</v>
      </c>
      <c r="AB1342" s="2" t="s">
        <v>101</v>
      </c>
      <c r="AC1342" s="2">
        <v>1</v>
      </c>
    </row>
    <row r="1343" spans="1:29" x14ac:dyDescent="0.3">
      <c r="A1343" s="3" t="s">
        <v>6537</v>
      </c>
      <c r="B1343" s="3" t="s">
        <v>6538</v>
      </c>
      <c r="C1343" s="3" t="s">
        <v>791</v>
      </c>
      <c r="D1343" s="3" t="s">
        <v>6539</v>
      </c>
      <c r="E1343" s="3" t="s">
        <v>33</v>
      </c>
      <c r="F1343" s="3" t="s">
        <v>676</v>
      </c>
      <c r="G1343" s="3" t="s">
        <v>5487</v>
      </c>
      <c r="H1343" s="3" t="s">
        <v>92</v>
      </c>
      <c r="I1343" s="3">
        <v>2</v>
      </c>
      <c r="J1343" s="3" t="s">
        <v>22</v>
      </c>
      <c r="K1343" s="3" t="s">
        <v>443</v>
      </c>
      <c r="L1343" s="3" t="s">
        <v>444</v>
      </c>
      <c r="M1343" s="3" t="s">
        <v>5880</v>
      </c>
      <c r="N1343" s="3" t="s">
        <v>227</v>
      </c>
      <c r="O1343" s="3" t="s">
        <v>13</v>
      </c>
      <c r="P1343" s="3" t="s">
        <v>228</v>
      </c>
      <c r="Q1343" s="3" t="s">
        <v>400</v>
      </c>
      <c r="R1343" s="3">
        <v>4</v>
      </c>
      <c r="S1343" s="3">
        <v>23208.54</v>
      </c>
      <c r="T1343" s="3">
        <v>30</v>
      </c>
      <c r="U1343" s="3">
        <v>64983.91</v>
      </c>
      <c r="V1343" s="3">
        <v>29531</v>
      </c>
      <c r="W1343" s="3">
        <v>35452.910000000003</v>
      </c>
      <c r="X1343" s="3">
        <v>54.56</v>
      </c>
      <c r="Y1343" s="3">
        <v>0</v>
      </c>
      <c r="Z1343" s="3" t="s">
        <v>40</v>
      </c>
      <c r="AA1343" s="3" t="s">
        <v>672</v>
      </c>
      <c r="AB1343" s="3" t="s">
        <v>101</v>
      </c>
      <c r="AC1343" s="3"/>
    </row>
    <row r="1344" spans="1:29" x14ac:dyDescent="0.3">
      <c r="A1344" s="2" t="s">
        <v>6540</v>
      </c>
      <c r="B1344" s="2" t="s">
        <v>6541</v>
      </c>
      <c r="C1344" s="2" t="s">
        <v>240</v>
      </c>
      <c r="D1344" s="2" t="s">
        <v>6542</v>
      </c>
      <c r="E1344" s="2" t="s">
        <v>42</v>
      </c>
      <c r="F1344" s="2" t="s">
        <v>6543</v>
      </c>
      <c r="G1344" s="2" t="s">
        <v>6544</v>
      </c>
      <c r="H1344" s="2" t="s">
        <v>6545</v>
      </c>
      <c r="I1344" s="2">
        <v>4</v>
      </c>
      <c r="J1344" s="2" t="s">
        <v>14</v>
      </c>
      <c r="K1344" s="2" t="s">
        <v>183</v>
      </c>
      <c r="L1344" s="2" t="s">
        <v>183</v>
      </c>
      <c r="M1344" s="2" t="s">
        <v>6546</v>
      </c>
      <c r="N1344" s="2" t="s">
        <v>195</v>
      </c>
      <c r="O1344" s="2" t="s">
        <v>21</v>
      </c>
      <c r="P1344" s="2" t="s">
        <v>196</v>
      </c>
      <c r="Q1344" s="2" t="s">
        <v>152</v>
      </c>
      <c r="R1344" s="2">
        <v>1</v>
      </c>
      <c r="S1344" s="2">
        <v>27880.38</v>
      </c>
      <c r="T1344" s="2">
        <v>0</v>
      </c>
      <c r="U1344" s="2">
        <v>27880.38</v>
      </c>
      <c r="V1344" s="2">
        <v>15224.2</v>
      </c>
      <c r="W1344" s="2">
        <v>12656.18</v>
      </c>
      <c r="X1344" s="2">
        <v>45.39</v>
      </c>
      <c r="Y1344" s="2">
        <v>0</v>
      </c>
      <c r="Z1344" s="2" t="s">
        <v>43</v>
      </c>
      <c r="AA1344" s="2" t="s">
        <v>100</v>
      </c>
      <c r="AB1344" s="2" t="s">
        <v>101</v>
      </c>
      <c r="AC1344" s="2">
        <v>3</v>
      </c>
    </row>
    <row r="1345" spans="1:29" x14ac:dyDescent="0.3">
      <c r="A1345" s="3" t="s">
        <v>6547</v>
      </c>
      <c r="B1345" s="3" t="s">
        <v>6284</v>
      </c>
      <c r="C1345" s="3" t="s">
        <v>1077</v>
      </c>
      <c r="D1345" s="3" t="s">
        <v>6548</v>
      </c>
      <c r="E1345" s="3" t="s">
        <v>26</v>
      </c>
      <c r="F1345" s="3" t="s">
        <v>131</v>
      </c>
      <c r="G1345" s="3" t="s">
        <v>3765</v>
      </c>
      <c r="H1345" s="3" t="s">
        <v>2237</v>
      </c>
      <c r="I1345" s="3">
        <v>5</v>
      </c>
      <c r="J1345" s="3" t="s">
        <v>22</v>
      </c>
      <c r="K1345" s="3" t="s">
        <v>254</v>
      </c>
      <c r="L1345" s="3" t="s">
        <v>254</v>
      </c>
      <c r="M1345" s="3" t="s">
        <v>6549</v>
      </c>
      <c r="N1345" s="3" t="s">
        <v>409</v>
      </c>
      <c r="O1345" s="3" t="s">
        <v>21</v>
      </c>
      <c r="P1345" s="3" t="s">
        <v>196</v>
      </c>
      <c r="Q1345" s="3" t="s">
        <v>466</v>
      </c>
      <c r="R1345" s="3">
        <v>2</v>
      </c>
      <c r="S1345" s="3">
        <v>49785.41</v>
      </c>
      <c r="T1345" s="3">
        <v>10</v>
      </c>
      <c r="U1345" s="3">
        <v>89613.74</v>
      </c>
      <c r="V1345" s="3">
        <v>59818.94</v>
      </c>
      <c r="W1345" s="3">
        <v>29794.799999999999</v>
      </c>
      <c r="X1345" s="3">
        <v>33.25</v>
      </c>
      <c r="Y1345" s="3">
        <v>49</v>
      </c>
      <c r="Z1345" s="3" t="s">
        <v>47</v>
      </c>
      <c r="AA1345" s="3" t="s">
        <v>100</v>
      </c>
      <c r="AB1345" s="3" t="s">
        <v>101</v>
      </c>
      <c r="AC1345" s="3"/>
    </row>
    <row r="1346" spans="1:29" x14ac:dyDescent="0.3">
      <c r="A1346" s="2" t="s">
        <v>6550</v>
      </c>
      <c r="B1346" s="2" t="s">
        <v>3284</v>
      </c>
      <c r="C1346" s="2" t="s">
        <v>3436</v>
      </c>
      <c r="D1346" s="2" t="s">
        <v>6551</v>
      </c>
      <c r="E1346" s="2" t="s">
        <v>26</v>
      </c>
      <c r="F1346" s="2" t="s">
        <v>2347</v>
      </c>
      <c r="G1346" s="2" t="s">
        <v>2945</v>
      </c>
      <c r="H1346" s="2" t="s">
        <v>754</v>
      </c>
      <c r="I1346" s="2">
        <v>7</v>
      </c>
      <c r="J1346" s="2" t="s">
        <v>39</v>
      </c>
      <c r="K1346" s="2" t="s">
        <v>193</v>
      </c>
      <c r="L1346" s="2" t="s">
        <v>193</v>
      </c>
      <c r="M1346" s="2" t="s">
        <v>4093</v>
      </c>
      <c r="N1346" s="2" t="s">
        <v>205</v>
      </c>
      <c r="O1346" s="2" t="s">
        <v>21</v>
      </c>
      <c r="P1346" s="2" t="s">
        <v>206</v>
      </c>
      <c r="Q1346" s="2" t="s">
        <v>114</v>
      </c>
      <c r="R1346" s="2">
        <v>5</v>
      </c>
      <c r="S1346" s="2">
        <v>17087.900000000001</v>
      </c>
      <c r="T1346" s="2">
        <v>10</v>
      </c>
      <c r="U1346" s="2">
        <v>76895.55</v>
      </c>
      <c r="V1346" s="2">
        <v>35679.68</v>
      </c>
      <c r="W1346" s="2">
        <v>41215.870000000003</v>
      </c>
      <c r="X1346" s="2">
        <v>53.6</v>
      </c>
      <c r="Y1346" s="2">
        <v>199</v>
      </c>
      <c r="Z1346" s="2" t="s">
        <v>30</v>
      </c>
      <c r="AA1346" s="2" t="s">
        <v>100</v>
      </c>
      <c r="AB1346" s="2" t="s">
        <v>101</v>
      </c>
      <c r="AC1346" s="2">
        <v>5</v>
      </c>
    </row>
    <row r="1347" spans="1:29" x14ac:dyDescent="0.3">
      <c r="A1347" s="3" t="s">
        <v>6552</v>
      </c>
      <c r="B1347" s="3" t="s">
        <v>6553</v>
      </c>
      <c r="C1347" s="3" t="s">
        <v>774</v>
      </c>
      <c r="D1347" s="3" t="s">
        <v>6554</v>
      </c>
      <c r="E1347" s="3" t="s">
        <v>26</v>
      </c>
      <c r="F1347" s="3" t="s">
        <v>147</v>
      </c>
      <c r="G1347" s="3" t="s">
        <v>4181</v>
      </c>
      <c r="H1347" s="3" t="s">
        <v>1248</v>
      </c>
      <c r="I1347" s="3">
        <v>5</v>
      </c>
      <c r="J1347" s="3" t="s">
        <v>14</v>
      </c>
      <c r="K1347" s="3" t="s">
        <v>95</v>
      </c>
      <c r="L1347" s="3" t="s">
        <v>95</v>
      </c>
      <c r="M1347" s="3" t="s">
        <v>6555</v>
      </c>
      <c r="N1347" s="3" t="s">
        <v>765</v>
      </c>
      <c r="O1347" s="3" t="s">
        <v>27</v>
      </c>
      <c r="P1347" s="3" t="s">
        <v>113</v>
      </c>
      <c r="Q1347" s="3" t="s">
        <v>509</v>
      </c>
      <c r="R1347" s="3">
        <v>1</v>
      </c>
      <c r="S1347" s="3">
        <v>10366.959999999999</v>
      </c>
      <c r="T1347" s="3">
        <v>15</v>
      </c>
      <c r="U1347" s="3">
        <v>8811.92</v>
      </c>
      <c r="V1347" s="3">
        <v>4088.97</v>
      </c>
      <c r="W1347" s="3">
        <v>4722.95</v>
      </c>
      <c r="X1347" s="3">
        <v>53.6</v>
      </c>
      <c r="Y1347" s="3">
        <v>199</v>
      </c>
      <c r="Z1347" s="3" t="s">
        <v>47</v>
      </c>
      <c r="AA1347" s="3" t="s">
        <v>100</v>
      </c>
      <c r="AB1347" s="3" t="s">
        <v>101</v>
      </c>
      <c r="AC1347" s="3">
        <v>3</v>
      </c>
    </row>
    <row r="1348" spans="1:29" x14ac:dyDescent="0.3">
      <c r="A1348" s="2" t="s">
        <v>6556</v>
      </c>
      <c r="B1348" s="2" t="s">
        <v>6557</v>
      </c>
      <c r="C1348" s="2" t="s">
        <v>143</v>
      </c>
      <c r="D1348" s="2" t="s">
        <v>6558</v>
      </c>
      <c r="E1348" s="2" t="s">
        <v>26</v>
      </c>
      <c r="F1348" s="2" t="s">
        <v>293</v>
      </c>
      <c r="G1348" s="2" t="s">
        <v>5970</v>
      </c>
      <c r="H1348" s="2" t="s">
        <v>1344</v>
      </c>
      <c r="I1348" s="2">
        <v>6</v>
      </c>
      <c r="J1348" s="2" t="s">
        <v>39</v>
      </c>
      <c r="K1348" s="2" t="s">
        <v>314</v>
      </c>
      <c r="L1348" s="2" t="s">
        <v>314</v>
      </c>
      <c r="M1348" s="2" t="s">
        <v>6559</v>
      </c>
      <c r="N1348" s="2" t="s">
        <v>1122</v>
      </c>
      <c r="O1348" s="2" t="s">
        <v>27</v>
      </c>
      <c r="P1348" s="2" t="s">
        <v>257</v>
      </c>
      <c r="Q1348" s="2" t="s">
        <v>400</v>
      </c>
      <c r="R1348" s="2">
        <v>3</v>
      </c>
      <c r="S1348" s="2">
        <v>44831.02</v>
      </c>
      <c r="T1348" s="2">
        <v>25</v>
      </c>
      <c r="U1348" s="2">
        <v>100869.79</v>
      </c>
      <c r="V1348" s="2">
        <v>56274.37</v>
      </c>
      <c r="W1348" s="2">
        <v>44595.42</v>
      </c>
      <c r="X1348" s="2">
        <v>44.21</v>
      </c>
      <c r="Y1348" s="2">
        <v>0</v>
      </c>
      <c r="Z1348" s="2" t="s">
        <v>30</v>
      </c>
      <c r="AA1348" s="2" t="s">
        <v>186</v>
      </c>
      <c r="AB1348" s="2" t="s">
        <v>101</v>
      </c>
      <c r="AC1348" s="2"/>
    </row>
    <row r="1349" spans="1:29" x14ac:dyDescent="0.3">
      <c r="A1349" s="3" t="s">
        <v>6560</v>
      </c>
      <c r="B1349" s="3" t="s">
        <v>6561</v>
      </c>
      <c r="C1349" s="3" t="s">
        <v>1918</v>
      </c>
      <c r="D1349" s="3" t="s">
        <v>6562</v>
      </c>
      <c r="E1349" s="3" t="s">
        <v>33</v>
      </c>
      <c r="F1349" s="3" t="s">
        <v>1265</v>
      </c>
      <c r="G1349" s="3" t="s">
        <v>936</v>
      </c>
      <c r="H1349" s="3" t="s">
        <v>3675</v>
      </c>
      <c r="I1349" s="3">
        <v>3</v>
      </c>
      <c r="J1349" s="3" t="s">
        <v>22</v>
      </c>
      <c r="K1349" s="3" t="s">
        <v>254</v>
      </c>
      <c r="L1349" s="3" t="s">
        <v>254</v>
      </c>
      <c r="M1349" s="3" t="s">
        <v>6563</v>
      </c>
      <c r="N1349" s="3" t="s">
        <v>1535</v>
      </c>
      <c r="O1349" s="3" t="s">
        <v>13</v>
      </c>
      <c r="P1349" s="3" t="s">
        <v>98</v>
      </c>
      <c r="Q1349" s="3" t="s">
        <v>509</v>
      </c>
      <c r="R1349" s="3">
        <v>5</v>
      </c>
      <c r="S1349" s="3">
        <v>21962.39</v>
      </c>
      <c r="T1349" s="3">
        <v>25</v>
      </c>
      <c r="U1349" s="3">
        <v>82358.960000000006</v>
      </c>
      <c r="V1349" s="3">
        <v>48620.28</v>
      </c>
      <c r="W1349" s="3">
        <v>33738.68</v>
      </c>
      <c r="X1349" s="3">
        <v>40.97</v>
      </c>
      <c r="Y1349" s="3">
        <v>29</v>
      </c>
      <c r="Z1349" s="3" t="s">
        <v>30</v>
      </c>
      <c r="AA1349" s="3" t="s">
        <v>100</v>
      </c>
      <c r="AB1349" s="3" t="s">
        <v>101</v>
      </c>
      <c r="AC1349" s="3">
        <v>2</v>
      </c>
    </row>
    <row r="1350" spans="1:29" x14ac:dyDescent="0.3">
      <c r="A1350" s="2" t="s">
        <v>6564</v>
      </c>
      <c r="B1350" s="2" t="s">
        <v>6565</v>
      </c>
      <c r="C1350" s="2" t="s">
        <v>1880</v>
      </c>
      <c r="D1350" s="2" t="s">
        <v>6566</v>
      </c>
      <c r="E1350" s="2" t="s">
        <v>26</v>
      </c>
      <c r="F1350" s="2" t="s">
        <v>1526</v>
      </c>
      <c r="G1350" s="2" t="s">
        <v>3418</v>
      </c>
      <c r="H1350" s="2" t="s">
        <v>92</v>
      </c>
      <c r="I1350" s="2">
        <v>8</v>
      </c>
      <c r="J1350" s="2" t="s">
        <v>22</v>
      </c>
      <c r="K1350" s="2" t="s">
        <v>122</v>
      </c>
      <c r="L1350" s="2" t="s">
        <v>812</v>
      </c>
      <c r="M1350" s="2" t="s">
        <v>6567</v>
      </c>
      <c r="N1350" s="2" t="s">
        <v>316</v>
      </c>
      <c r="O1350" s="2" t="s">
        <v>28</v>
      </c>
      <c r="P1350" s="2" t="s">
        <v>137</v>
      </c>
      <c r="Q1350" s="2" t="s">
        <v>246</v>
      </c>
      <c r="R1350" s="2">
        <v>1</v>
      </c>
      <c r="S1350" s="2">
        <v>11645.22</v>
      </c>
      <c r="T1350" s="2">
        <v>5</v>
      </c>
      <c r="U1350" s="2">
        <v>11062.96</v>
      </c>
      <c r="V1350" s="2">
        <v>5713.04</v>
      </c>
      <c r="W1350" s="2">
        <v>5349.92</v>
      </c>
      <c r="X1350" s="2">
        <v>48.36</v>
      </c>
      <c r="Y1350" s="2">
        <v>149</v>
      </c>
      <c r="Z1350" s="2" t="s">
        <v>47</v>
      </c>
      <c r="AA1350" s="2" t="s">
        <v>100</v>
      </c>
      <c r="AB1350" s="2" t="s">
        <v>101</v>
      </c>
      <c r="AC1350" s="2">
        <v>1</v>
      </c>
    </row>
    <row r="1351" spans="1:29" x14ac:dyDescent="0.3">
      <c r="A1351" s="3" t="s">
        <v>6568</v>
      </c>
      <c r="B1351" s="3" t="s">
        <v>6569</v>
      </c>
      <c r="C1351" s="3" t="s">
        <v>2572</v>
      </c>
      <c r="D1351" s="3" t="s">
        <v>6570</v>
      </c>
      <c r="E1351" s="3" t="s">
        <v>18</v>
      </c>
      <c r="F1351" s="3" t="s">
        <v>461</v>
      </c>
      <c r="G1351" s="3" t="s">
        <v>1531</v>
      </c>
      <c r="H1351" s="3" t="s">
        <v>1384</v>
      </c>
      <c r="I1351" s="3">
        <v>8</v>
      </c>
      <c r="J1351" s="3" t="s">
        <v>29</v>
      </c>
      <c r="K1351" s="3" t="s">
        <v>834</v>
      </c>
      <c r="L1351" s="3" t="s">
        <v>901</v>
      </c>
      <c r="M1351" s="3" t="s">
        <v>6571</v>
      </c>
      <c r="N1351" s="3" t="s">
        <v>583</v>
      </c>
      <c r="O1351" s="3" t="s">
        <v>19</v>
      </c>
      <c r="P1351" s="3" t="s">
        <v>447</v>
      </c>
      <c r="Q1351" s="3" t="s">
        <v>287</v>
      </c>
      <c r="R1351" s="3">
        <v>2</v>
      </c>
      <c r="S1351" s="3">
        <v>9483.73</v>
      </c>
      <c r="T1351" s="3">
        <v>25</v>
      </c>
      <c r="U1351" s="3">
        <v>14225.59</v>
      </c>
      <c r="V1351" s="3">
        <v>9103.36</v>
      </c>
      <c r="W1351" s="3">
        <v>5122.2299999999996</v>
      </c>
      <c r="X1351" s="3">
        <v>36.01</v>
      </c>
      <c r="Y1351" s="3">
        <v>49</v>
      </c>
      <c r="Z1351" s="3" t="s">
        <v>30</v>
      </c>
      <c r="AA1351" s="3" t="s">
        <v>100</v>
      </c>
      <c r="AB1351" s="3" t="s">
        <v>101</v>
      </c>
      <c r="AC1351" s="3">
        <v>4</v>
      </c>
    </row>
    <row r="1352" spans="1:29" x14ac:dyDescent="0.3">
      <c r="A1352" s="2" t="s">
        <v>6572</v>
      </c>
      <c r="B1352" s="2" t="s">
        <v>2480</v>
      </c>
      <c r="C1352" s="2" t="s">
        <v>4049</v>
      </c>
      <c r="D1352" s="2" t="s">
        <v>6573</v>
      </c>
      <c r="E1352" s="2" t="s">
        <v>18</v>
      </c>
      <c r="F1352" s="2" t="s">
        <v>1436</v>
      </c>
      <c r="G1352" s="2" t="s">
        <v>2476</v>
      </c>
      <c r="H1352" s="2" t="s">
        <v>2477</v>
      </c>
      <c r="I1352" s="2">
        <v>5</v>
      </c>
      <c r="J1352" s="2" t="s">
        <v>29</v>
      </c>
      <c r="K1352" s="2" t="s">
        <v>148</v>
      </c>
      <c r="L1352" s="2" t="s">
        <v>148</v>
      </c>
      <c r="M1352" s="2" t="s">
        <v>4854</v>
      </c>
      <c r="N1352" s="2" t="s">
        <v>286</v>
      </c>
      <c r="O1352" s="2" t="s">
        <v>28</v>
      </c>
      <c r="P1352" s="2" t="s">
        <v>137</v>
      </c>
      <c r="Q1352" s="2" t="s">
        <v>218</v>
      </c>
      <c r="R1352" s="2">
        <v>5</v>
      </c>
      <c r="S1352" s="2">
        <v>5510.11</v>
      </c>
      <c r="T1352" s="2">
        <v>15</v>
      </c>
      <c r="U1352" s="2">
        <v>23417.97</v>
      </c>
      <c r="V1352" s="2">
        <v>13268.19</v>
      </c>
      <c r="W1352" s="2">
        <v>10149.780000000001</v>
      </c>
      <c r="X1352" s="2">
        <v>43.34</v>
      </c>
      <c r="Y1352" s="2">
        <v>199</v>
      </c>
      <c r="Z1352" s="2" t="s">
        <v>43</v>
      </c>
      <c r="AA1352" s="2" t="s">
        <v>100</v>
      </c>
      <c r="AB1352" s="2" t="s">
        <v>101</v>
      </c>
      <c r="AC1352" s="2">
        <v>3</v>
      </c>
    </row>
    <row r="1353" spans="1:29" x14ac:dyDescent="0.3">
      <c r="A1353" s="3" t="s">
        <v>6574</v>
      </c>
      <c r="B1353" s="3" t="s">
        <v>6575</v>
      </c>
      <c r="C1353" s="3" t="s">
        <v>450</v>
      </c>
      <c r="D1353" s="3" t="s">
        <v>6576</v>
      </c>
      <c r="E1353" s="3" t="s">
        <v>42</v>
      </c>
      <c r="F1353" s="3" t="s">
        <v>2955</v>
      </c>
      <c r="G1353" s="3" t="s">
        <v>2455</v>
      </c>
      <c r="H1353" s="3" t="s">
        <v>2243</v>
      </c>
      <c r="I1353" s="3">
        <v>6</v>
      </c>
      <c r="J1353" s="3" t="s">
        <v>22</v>
      </c>
      <c r="K1353" s="3" t="s">
        <v>443</v>
      </c>
      <c r="L1353" s="3" t="s">
        <v>567</v>
      </c>
      <c r="M1353" s="3" t="s">
        <v>6577</v>
      </c>
      <c r="N1353" s="3" t="s">
        <v>765</v>
      </c>
      <c r="O1353" s="3" t="s">
        <v>27</v>
      </c>
      <c r="P1353" s="3" t="s">
        <v>113</v>
      </c>
      <c r="Q1353" s="3" t="s">
        <v>400</v>
      </c>
      <c r="R1353" s="3">
        <v>2</v>
      </c>
      <c r="S1353" s="3">
        <v>34818.980000000003</v>
      </c>
      <c r="T1353" s="3">
        <v>20</v>
      </c>
      <c r="U1353" s="3">
        <v>55710.37</v>
      </c>
      <c r="V1353" s="3">
        <v>35122.78</v>
      </c>
      <c r="W1353" s="3">
        <v>20587.59</v>
      </c>
      <c r="X1353" s="3">
        <v>36.950000000000003</v>
      </c>
      <c r="Y1353" s="3">
        <v>29</v>
      </c>
      <c r="Z1353" s="3" t="s">
        <v>15</v>
      </c>
      <c r="AA1353" s="3" t="s">
        <v>275</v>
      </c>
      <c r="AB1353" s="3" t="s">
        <v>101</v>
      </c>
      <c r="AC1353" s="3"/>
    </row>
    <row r="1354" spans="1:29" x14ac:dyDescent="0.3">
      <c r="A1354" s="2" t="s">
        <v>6578</v>
      </c>
      <c r="B1354" s="2" t="s">
        <v>6579</v>
      </c>
      <c r="C1354" s="2" t="s">
        <v>1861</v>
      </c>
      <c r="D1354" s="2" t="s">
        <v>6580</v>
      </c>
      <c r="E1354" s="2" t="s">
        <v>42</v>
      </c>
      <c r="F1354" s="2" t="s">
        <v>1615</v>
      </c>
      <c r="G1354" s="2" t="s">
        <v>3511</v>
      </c>
      <c r="H1354" s="2" t="s">
        <v>1079</v>
      </c>
      <c r="I1354" s="2">
        <v>8</v>
      </c>
      <c r="J1354" s="2" t="s">
        <v>39</v>
      </c>
      <c r="K1354" s="2" t="s">
        <v>225</v>
      </c>
      <c r="L1354" s="2" t="s">
        <v>225</v>
      </c>
      <c r="M1354" s="2" t="s">
        <v>6581</v>
      </c>
      <c r="N1354" s="2" t="s">
        <v>274</v>
      </c>
      <c r="O1354" s="2" t="s">
        <v>21</v>
      </c>
      <c r="P1354" s="2" t="s">
        <v>126</v>
      </c>
      <c r="Q1354" s="2" t="s">
        <v>509</v>
      </c>
      <c r="R1354" s="2">
        <v>1</v>
      </c>
      <c r="S1354" s="2">
        <v>33987.1</v>
      </c>
      <c r="T1354" s="2">
        <v>25</v>
      </c>
      <c r="U1354" s="2">
        <v>25490.32</v>
      </c>
      <c r="V1354" s="2">
        <v>14343.56</v>
      </c>
      <c r="W1354" s="2">
        <v>11146.76</v>
      </c>
      <c r="X1354" s="2">
        <v>43.73</v>
      </c>
      <c r="Y1354" s="2">
        <v>99</v>
      </c>
      <c r="Z1354" s="2" t="s">
        <v>47</v>
      </c>
      <c r="AA1354" s="2" t="s">
        <v>100</v>
      </c>
      <c r="AB1354" s="2" t="s">
        <v>140</v>
      </c>
      <c r="AC1354" s="2">
        <v>3</v>
      </c>
    </row>
    <row r="1355" spans="1:29" x14ac:dyDescent="0.3">
      <c r="A1355" s="3" t="s">
        <v>6582</v>
      </c>
      <c r="B1355" s="3" t="s">
        <v>6583</v>
      </c>
      <c r="C1355" s="3" t="s">
        <v>1183</v>
      </c>
      <c r="D1355" s="3" t="s">
        <v>6584</v>
      </c>
      <c r="E1355" s="3" t="s">
        <v>18</v>
      </c>
      <c r="F1355" s="3" t="s">
        <v>2684</v>
      </c>
      <c r="G1355" s="3" t="s">
        <v>2841</v>
      </c>
      <c r="H1355" s="3" t="s">
        <v>2842</v>
      </c>
      <c r="I1355" s="3">
        <v>8</v>
      </c>
      <c r="J1355" s="3" t="s">
        <v>22</v>
      </c>
      <c r="K1355" s="3" t="s">
        <v>443</v>
      </c>
      <c r="L1355" s="3" t="s">
        <v>567</v>
      </c>
      <c r="M1355" s="3" t="s">
        <v>6200</v>
      </c>
      <c r="N1355" s="3" t="s">
        <v>639</v>
      </c>
      <c r="O1355" s="3" t="s">
        <v>27</v>
      </c>
      <c r="P1355" s="3" t="s">
        <v>175</v>
      </c>
      <c r="Q1355" s="3" t="s">
        <v>197</v>
      </c>
      <c r="R1355" s="3">
        <v>4</v>
      </c>
      <c r="S1355" s="3">
        <v>49879.68</v>
      </c>
      <c r="T1355" s="3">
        <v>10</v>
      </c>
      <c r="U1355" s="3">
        <v>179566.85</v>
      </c>
      <c r="V1355" s="3">
        <v>83689.36</v>
      </c>
      <c r="W1355" s="3">
        <v>95877.49</v>
      </c>
      <c r="X1355" s="3">
        <v>53.39</v>
      </c>
      <c r="Y1355" s="3">
        <v>49</v>
      </c>
      <c r="Z1355" s="3" t="s">
        <v>40</v>
      </c>
      <c r="AA1355" s="3" t="s">
        <v>672</v>
      </c>
      <c r="AB1355" s="3" t="s">
        <v>101</v>
      </c>
      <c r="AC1355" s="3"/>
    </row>
    <row r="1356" spans="1:29" x14ac:dyDescent="0.3">
      <c r="A1356" s="2" t="s">
        <v>6585</v>
      </c>
      <c r="B1356" s="2" t="s">
        <v>6586</v>
      </c>
      <c r="C1356" s="2" t="s">
        <v>2231</v>
      </c>
      <c r="D1356" s="2" t="s">
        <v>6587</v>
      </c>
      <c r="E1356" s="2" t="s">
        <v>42</v>
      </c>
      <c r="F1356" s="2" t="s">
        <v>1578</v>
      </c>
      <c r="G1356" s="2" t="s">
        <v>849</v>
      </c>
      <c r="H1356" s="2" t="s">
        <v>4487</v>
      </c>
      <c r="I1356" s="2">
        <v>6</v>
      </c>
      <c r="J1356" s="2" t="s">
        <v>14</v>
      </c>
      <c r="K1356" s="2" t="s">
        <v>95</v>
      </c>
      <c r="L1356" s="2" t="s">
        <v>95</v>
      </c>
      <c r="M1356" s="2" t="s">
        <v>6588</v>
      </c>
      <c r="N1356" s="2" t="s">
        <v>150</v>
      </c>
      <c r="O1356" s="2" t="s">
        <v>28</v>
      </c>
      <c r="P1356" s="2" t="s">
        <v>151</v>
      </c>
      <c r="Q1356" s="2" t="s">
        <v>287</v>
      </c>
      <c r="R1356" s="2">
        <v>4</v>
      </c>
      <c r="S1356" s="2">
        <v>29323.46</v>
      </c>
      <c r="T1356" s="2">
        <v>20</v>
      </c>
      <c r="U1356" s="2">
        <v>93835.07</v>
      </c>
      <c r="V1356" s="2">
        <v>50291.35</v>
      </c>
      <c r="W1356" s="2">
        <v>43543.72</v>
      </c>
      <c r="X1356" s="2">
        <v>46.4</v>
      </c>
      <c r="Y1356" s="2">
        <v>0</v>
      </c>
      <c r="Z1356" s="2" t="s">
        <v>30</v>
      </c>
      <c r="AA1356" s="2" t="s">
        <v>100</v>
      </c>
      <c r="AB1356" s="2" t="s">
        <v>101</v>
      </c>
      <c r="AC1356" s="2">
        <v>5</v>
      </c>
    </row>
    <row r="1357" spans="1:29" x14ac:dyDescent="0.3">
      <c r="A1357" s="3" t="s">
        <v>6589</v>
      </c>
      <c r="B1357" s="3" t="s">
        <v>2516</v>
      </c>
      <c r="C1357" s="3" t="s">
        <v>4171</v>
      </c>
      <c r="D1357" s="3" t="s">
        <v>6590</v>
      </c>
      <c r="E1357" s="3" t="s">
        <v>18</v>
      </c>
      <c r="F1357" s="3" t="s">
        <v>1799</v>
      </c>
      <c r="G1357" s="3" t="s">
        <v>2594</v>
      </c>
      <c r="H1357" s="3" t="s">
        <v>990</v>
      </c>
      <c r="I1357" s="3">
        <v>6</v>
      </c>
      <c r="J1357" s="3" t="s">
        <v>22</v>
      </c>
      <c r="K1357" s="3" t="s">
        <v>283</v>
      </c>
      <c r="L1357" s="3" t="s">
        <v>748</v>
      </c>
      <c r="M1357" s="3" t="s">
        <v>6591</v>
      </c>
      <c r="N1357" s="3" t="s">
        <v>1611</v>
      </c>
      <c r="O1357" s="3" t="s">
        <v>19</v>
      </c>
      <c r="P1357" s="3" t="s">
        <v>365</v>
      </c>
      <c r="Q1357" s="3" t="s">
        <v>114</v>
      </c>
      <c r="R1357" s="3">
        <v>1</v>
      </c>
      <c r="S1357" s="3">
        <v>22357.86</v>
      </c>
      <c r="T1357" s="3">
        <v>10</v>
      </c>
      <c r="U1357" s="3">
        <v>20122.07</v>
      </c>
      <c r="V1357" s="3">
        <v>9680.64</v>
      </c>
      <c r="W1357" s="3">
        <v>10441.43</v>
      </c>
      <c r="X1357" s="3">
        <v>51.89</v>
      </c>
      <c r="Y1357" s="3">
        <v>29</v>
      </c>
      <c r="Z1357" s="3" t="s">
        <v>23</v>
      </c>
      <c r="AA1357" s="3" t="s">
        <v>100</v>
      </c>
      <c r="AB1357" s="3" t="s">
        <v>101</v>
      </c>
      <c r="AC1357" s="3">
        <v>5</v>
      </c>
    </row>
    <row r="1358" spans="1:29" x14ac:dyDescent="0.3">
      <c r="A1358" s="2" t="s">
        <v>6592</v>
      </c>
      <c r="B1358" s="2" t="s">
        <v>6593</v>
      </c>
      <c r="C1358" s="2" t="s">
        <v>1782</v>
      </c>
      <c r="D1358" s="2" t="s">
        <v>6594</v>
      </c>
      <c r="E1358" s="2" t="s">
        <v>33</v>
      </c>
      <c r="F1358" s="2" t="s">
        <v>4453</v>
      </c>
      <c r="G1358" s="2" t="s">
        <v>1064</v>
      </c>
      <c r="H1358" s="2" t="s">
        <v>2758</v>
      </c>
      <c r="I1358" s="2">
        <v>6</v>
      </c>
      <c r="J1358" s="2" t="s">
        <v>39</v>
      </c>
      <c r="K1358" s="2" t="s">
        <v>324</v>
      </c>
      <c r="L1358" s="2" t="s">
        <v>1028</v>
      </c>
      <c r="M1358" s="2" t="s">
        <v>6595</v>
      </c>
      <c r="N1358" s="2" t="s">
        <v>533</v>
      </c>
      <c r="O1358" s="2" t="s">
        <v>19</v>
      </c>
      <c r="P1358" s="2" t="s">
        <v>297</v>
      </c>
      <c r="Q1358" s="2" t="s">
        <v>99</v>
      </c>
      <c r="R1358" s="2">
        <v>3</v>
      </c>
      <c r="S1358" s="2">
        <v>29277.47</v>
      </c>
      <c r="T1358" s="2">
        <v>15</v>
      </c>
      <c r="U1358" s="2">
        <v>74657.55</v>
      </c>
      <c r="V1358" s="2">
        <v>34108.86</v>
      </c>
      <c r="W1358" s="2">
        <v>40548.69</v>
      </c>
      <c r="X1358" s="2">
        <v>54.31</v>
      </c>
      <c r="Y1358" s="2">
        <v>149</v>
      </c>
      <c r="Z1358" s="2" t="s">
        <v>23</v>
      </c>
      <c r="AA1358" s="2" t="s">
        <v>100</v>
      </c>
      <c r="AB1358" s="2" t="s">
        <v>101</v>
      </c>
      <c r="AC1358" s="2">
        <v>4</v>
      </c>
    </row>
    <row r="1359" spans="1:29" x14ac:dyDescent="0.3">
      <c r="A1359" s="3" t="s">
        <v>6596</v>
      </c>
      <c r="B1359" s="3" t="s">
        <v>6597</v>
      </c>
      <c r="C1359" s="3" t="s">
        <v>4342</v>
      </c>
      <c r="D1359" s="3" t="s">
        <v>6598</v>
      </c>
      <c r="E1359" s="3" t="s">
        <v>26</v>
      </c>
      <c r="F1359" s="3" t="s">
        <v>770</v>
      </c>
      <c r="G1359" s="3" t="s">
        <v>2712</v>
      </c>
      <c r="H1359" s="3" t="s">
        <v>1295</v>
      </c>
      <c r="I1359" s="3">
        <v>7</v>
      </c>
      <c r="J1359" s="3" t="s">
        <v>29</v>
      </c>
      <c r="K1359" s="3" t="s">
        <v>148</v>
      </c>
      <c r="L1359" s="3" t="s">
        <v>148</v>
      </c>
      <c r="M1359" s="3" t="s">
        <v>6599</v>
      </c>
      <c r="N1359" s="3" t="s">
        <v>616</v>
      </c>
      <c r="O1359" s="3" t="s">
        <v>21</v>
      </c>
      <c r="P1359" s="3" t="s">
        <v>206</v>
      </c>
      <c r="Q1359" s="3" t="s">
        <v>218</v>
      </c>
      <c r="R1359" s="3">
        <v>2</v>
      </c>
      <c r="S1359" s="3">
        <v>42432.02</v>
      </c>
      <c r="T1359" s="3">
        <v>0</v>
      </c>
      <c r="U1359" s="3">
        <v>84864.04</v>
      </c>
      <c r="V1359" s="3">
        <v>39871.56</v>
      </c>
      <c r="W1359" s="3">
        <v>44992.480000000003</v>
      </c>
      <c r="X1359" s="3">
        <v>53.02</v>
      </c>
      <c r="Y1359" s="3">
        <v>49</v>
      </c>
      <c r="Z1359" s="3" t="s">
        <v>40</v>
      </c>
      <c r="AA1359" s="3" t="s">
        <v>100</v>
      </c>
      <c r="AB1359" s="3" t="s">
        <v>101</v>
      </c>
      <c r="AC1359" s="3">
        <v>4</v>
      </c>
    </row>
    <row r="1360" spans="1:29" x14ac:dyDescent="0.3">
      <c r="A1360" s="2" t="s">
        <v>6600</v>
      </c>
      <c r="B1360" s="2" t="s">
        <v>4913</v>
      </c>
      <c r="C1360" s="2" t="s">
        <v>2305</v>
      </c>
      <c r="D1360" s="2" t="s">
        <v>6601</v>
      </c>
      <c r="E1360" s="2" t="s">
        <v>42</v>
      </c>
      <c r="F1360" s="2" t="s">
        <v>1460</v>
      </c>
      <c r="G1360" s="2" t="s">
        <v>645</v>
      </c>
      <c r="H1360" s="2" t="s">
        <v>646</v>
      </c>
      <c r="I1360" s="2">
        <v>4</v>
      </c>
      <c r="J1360" s="2" t="s">
        <v>29</v>
      </c>
      <c r="K1360" s="2" t="s">
        <v>334</v>
      </c>
      <c r="L1360" s="2" t="s">
        <v>335</v>
      </c>
      <c r="M1360" s="2" t="s">
        <v>5619</v>
      </c>
      <c r="N1360" s="2" t="s">
        <v>195</v>
      </c>
      <c r="O1360" s="2" t="s">
        <v>21</v>
      </c>
      <c r="P1360" s="2" t="s">
        <v>196</v>
      </c>
      <c r="Q1360" s="2" t="s">
        <v>114</v>
      </c>
      <c r="R1360" s="2">
        <v>3</v>
      </c>
      <c r="S1360" s="2">
        <v>43608.31</v>
      </c>
      <c r="T1360" s="2">
        <v>10</v>
      </c>
      <c r="U1360" s="2">
        <v>117742.44</v>
      </c>
      <c r="V1360" s="2">
        <v>60181.01</v>
      </c>
      <c r="W1360" s="2">
        <v>57561.43</v>
      </c>
      <c r="X1360" s="2">
        <v>48.89</v>
      </c>
      <c r="Y1360" s="2">
        <v>199</v>
      </c>
      <c r="Z1360" s="2" t="s">
        <v>15</v>
      </c>
      <c r="AA1360" s="2" t="s">
        <v>100</v>
      </c>
      <c r="AB1360" s="2" t="s">
        <v>101</v>
      </c>
      <c r="AC1360" s="2">
        <v>5</v>
      </c>
    </row>
    <row r="1361" spans="1:29" x14ac:dyDescent="0.3">
      <c r="A1361" s="3" t="s">
        <v>6602</v>
      </c>
      <c r="B1361" s="3" t="s">
        <v>6603</v>
      </c>
      <c r="C1361" s="3" t="s">
        <v>2877</v>
      </c>
      <c r="D1361" s="3" t="s">
        <v>6604</v>
      </c>
      <c r="E1361" s="3" t="s">
        <v>42</v>
      </c>
      <c r="F1361" s="3" t="s">
        <v>1313</v>
      </c>
      <c r="G1361" s="3" t="s">
        <v>2894</v>
      </c>
      <c r="H1361" s="3" t="s">
        <v>1397</v>
      </c>
      <c r="I1361" s="3">
        <v>3</v>
      </c>
      <c r="J1361" s="3" t="s">
        <v>14</v>
      </c>
      <c r="K1361" s="3" t="s">
        <v>95</v>
      </c>
      <c r="L1361" s="3" t="s">
        <v>95</v>
      </c>
      <c r="M1361" s="3" t="s">
        <v>6605</v>
      </c>
      <c r="N1361" s="3" t="s">
        <v>409</v>
      </c>
      <c r="O1361" s="3" t="s">
        <v>21</v>
      </c>
      <c r="P1361" s="3" t="s">
        <v>196</v>
      </c>
      <c r="Q1361" s="3" t="s">
        <v>114</v>
      </c>
      <c r="R1361" s="3">
        <v>1</v>
      </c>
      <c r="S1361" s="3">
        <v>13174.91</v>
      </c>
      <c r="T1361" s="3">
        <v>20</v>
      </c>
      <c r="U1361" s="3">
        <v>10539.93</v>
      </c>
      <c r="V1361" s="3">
        <v>5931.77</v>
      </c>
      <c r="W1361" s="3">
        <v>4608.16</v>
      </c>
      <c r="X1361" s="3">
        <v>43.72</v>
      </c>
      <c r="Y1361" s="3">
        <v>49</v>
      </c>
      <c r="Z1361" s="3" t="s">
        <v>40</v>
      </c>
      <c r="AA1361" s="3" t="s">
        <v>100</v>
      </c>
      <c r="AB1361" s="3" t="s">
        <v>140</v>
      </c>
      <c r="AC1361" s="3"/>
    </row>
    <row r="1362" spans="1:29" x14ac:dyDescent="0.3">
      <c r="A1362" s="2" t="s">
        <v>6606</v>
      </c>
      <c r="B1362" s="2" t="s">
        <v>6607</v>
      </c>
      <c r="C1362" s="2" t="s">
        <v>1293</v>
      </c>
      <c r="D1362" s="2" t="s">
        <v>6608</v>
      </c>
      <c r="E1362" s="2" t="s">
        <v>42</v>
      </c>
      <c r="F1362" s="2" t="s">
        <v>2048</v>
      </c>
      <c r="G1362" s="2" t="s">
        <v>1437</v>
      </c>
      <c r="H1362" s="2" t="s">
        <v>2300</v>
      </c>
      <c r="I1362" s="2">
        <v>8</v>
      </c>
      <c r="J1362" s="2" t="s">
        <v>39</v>
      </c>
      <c r="K1362" s="2" t="s">
        <v>193</v>
      </c>
      <c r="L1362" s="2" t="s">
        <v>193</v>
      </c>
      <c r="M1362" s="2" t="s">
        <v>6609</v>
      </c>
      <c r="N1362" s="2" t="s">
        <v>465</v>
      </c>
      <c r="O1362" s="2" t="s">
        <v>19</v>
      </c>
      <c r="P1362" s="2" t="s">
        <v>447</v>
      </c>
      <c r="Q1362" s="2" t="s">
        <v>127</v>
      </c>
      <c r="R1362" s="2">
        <v>3</v>
      </c>
      <c r="S1362" s="2">
        <v>2842.55</v>
      </c>
      <c r="T1362" s="2">
        <v>0</v>
      </c>
      <c r="U1362" s="2">
        <v>8527.65</v>
      </c>
      <c r="V1362" s="2">
        <v>4642.04</v>
      </c>
      <c r="W1362" s="2">
        <v>3885.61</v>
      </c>
      <c r="X1362" s="2">
        <v>45.56</v>
      </c>
      <c r="Y1362" s="2">
        <v>149</v>
      </c>
      <c r="Z1362" s="2" t="s">
        <v>30</v>
      </c>
      <c r="AA1362" s="2" t="s">
        <v>100</v>
      </c>
      <c r="AB1362" s="2" t="s">
        <v>101</v>
      </c>
      <c r="AC1362" s="2">
        <v>1</v>
      </c>
    </row>
    <row r="1363" spans="1:29" x14ac:dyDescent="0.3">
      <c r="A1363" s="3" t="s">
        <v>6610</v>
      </c>
      <c r="B1363" s="3" t="s">
        <v>6611</v>
      </c>
      <c r="C1363" s="3" t="s">
        <v>695</v>
      </c>
      <c r="D1363" s="3" t="s">
        <v>6612</v>
      </c>
      <c r="E1363" s="3" t="s">
        <v>26</v>
      </c>
      <c r="F1363" s="3" t="s">
        <v>1147</v>
      </c>
      <c r="G1363" s="3" t="s">
        <v>1353</v>
      </c>
      <c r="H1363" s="3" t="s">
        <v>1148</v>
      </c>
      <c r="I1363" s="3">
        <v>4</v>
      </c>
      <c r="J1363" s="3" t="s">
        <v>22</v>
      </c>
      <c r="K1363" s="3" t="s">
        <v>254</v>
      </c>
      <c r="L1363" s="3" t="s">
        <v>254</v>
      </c>
      <c r="M1363" s="3" t="s">
        <v>6613</v>
      </c>
      <c r="N1363" s="3" t="s">
        <v>296</v>
      </c>
      <c r="O1363" s="3" t="s">
        <v>19</v>
      </c>
      <c r="P1363" s="3" t="s">
        <v>297</v>
      </c>
      <c r="Q1363" s="3" t="s">
        <v>218</v>
      </c>
      <c r="R1363" s="3">
        <v>5</v>
      </c>
      <c r="S1363" s="3">
        <v>31065</v>
      </c>
      <c r="T1363" s="3">
        <v>0</v>
      </c>
      <c r="U1363" s="3">
        <v>155325</v>
      </c>
      <c r="V1363" s="3">
        <v>86626.68</v>
      </c>
      <c r="W1363" s="3">
        <v>68698.320000000007</v>
      </c>
      <c r="X1363" s="3">
        <v>44.23</v>
      </c>
      <c r="Y1363" s="3">
        <v>49</v>
      </c>
      <c r="Z1363" s="3" t="s">
        <v>43</v>
      </c>
      <c r="AA1363" s="3" t="s">
        <v>100</v>
      </c>
      <c r="AB1363" s="3" t="s">
        <v>101</v>
      </c>
      <c r="AC1363" s="3"/>
    </row>
    <row r="1364" spans="1:29" x14ac:dyDescent="0.3">
      <c r="A1364" s="2" t="s">
        <v>6614</v>
      </c>
      <c r="B1364" s="2" t="s">
        <v>6615</v>
      </c>
      <c r="C1364" s="2" t="s">
        <v>393</v>
      </c>
      <c r="D1364" s="2" t="s">
        <v>6616</v>
      </c>
      <c r="E1364" s="2" t="s">
        <v>18</v>
      </c>
      <c r="F1364" s="2" t="s">
        <v>2198</v>
      </c>
      <c r="G1364" s="2" t="s">
        <v>2320</v>
      </c>
      <c r="H1364" s="2" t="s">
        <v>2321</v>
      </c>
      <c r="I1364" s="2">
        <v>3</v>
      </c>
      <c r="J1364" s="2" t="s">
        <v>39</v>
      </c>
      <c r="K1364" s="2" t="s">
        <v>109</v>
      </c>
      <c r="L1364" s="2" t="s">
        <v>134</v>
      </c>
      <c r="M1364" s="2" t="s">
        <v>6617</v>
      </c>
      <c r="N1364" s="2" t="s">
        <v>195</v>
      </c>
      <c r="O1364" s="2" t="s">
        <v>21</v>
      </c>
      <c r="P1364" s="2" t="s">
        <v>196</v>
      </c>
      <c r="Q1364" s="2" t="s">
        <v>355</v>
      </c>
      <c r="R1364" s="2">
        <v>4</v>
      </c>
      <c r="S1364" s="2">
        <v>22277.13</v>
      </c>
      <c r="T1364" s="2">
        <v>5</v>
      </c>
      <c r="U1364" s="2">
        <v>84653.09</v>
      </c>
      <c r="V1364" s="2">
        <v>52383.53</v>
      </c>
      <c r="W1364" s="2">
        <v>32269.56</v>
      </c>
      <c r="X1364" s="2">
        <v>38.119999999999997</v>
      </c>
      <c r="Y1364" s="2">
        <v>149</v>
      </c>
      <c r="Z1364" s="2" t="s">
        <v>30</v>
      </c>
      <c r="AA1364" s="2" t="s">
        <v>100</v>
      </c>
      <c r="AB1364" s="2" t="s">
        <v>101</v>
      </c>
      <c r="AC1364" s="2"/>
    </row>
    <row r="1365" spans="1:29" x14ac:dyDescent="0.3">
      <c r="A1365" s="3" t="s">
        <v>6618</v>
      </c>
      <c r="B1365" s="3" t="s">
        <v>6619</v>
      </c>
      <c r="C1365" s="3" t="s">
        <v>2291</v>
      </c>
      <c r="D1365" s="3" t="s">
        <v>6620</v>
      </c>
      <c r="E1365" s="3" t="s">
        <v>18</v>
      </c>
      <c r="F1365" s="3" t="s">
        <v>2660</v>
      </c>
      <c r="G1365" s="3" t="s">
        <v>3286</v>
      </c>
      <c r="H1365" s="3" t="s">
        <v>461</v>
      </c>
      <c r="I1365" s="3">
        <v>3</v>
      </c>
      <c r="J1365" s="3" t="s">
        <v>29</v>
      </c>
      <c r="K1365" s="3" t="s">
        <v>334</v>
      </c>
      <c r="L1365" s="3" t="s">
        <v>614</v>
      </c>
      <c r="M1365" s="3" t="s">
        <v>6621</v>
      </c>
      <c r="N1365" s="3" t="s">
        <v>551</v>
      </c>
      <c r="O1365" s="3" t="s">
        <v>13</v>
      </c>
      <c r="P1365" s="3" t="s">
        <v>98</v>
      </c>
      <c r="Q1365" s="3" t="s">
        <v>114</v>
      </c>
      <c r="R1365" s="3">
        <v>2</v>
      </c>
      <c r="S1365" s="3">
        <v>2624.74</v>
      </c>
      <c r="T1365" s="3">
        <v>0</v>
      </c>
      <c r="U1365" s="3">
        <v>5249.48</v>
      </c>
      <c r="V1365" s="3">
        <v>3515.72</v>
      </c>
      <c r="W1365" s="3">
        <v>1733.76</v>
      </c>
      <c r="X1365" s="3">
        <v>33.03</v>
      </c>
      <c r="Y1365" s="3">
        <v>199</v>
      </c>
      <c r="Z1365" s="3" t="s">
        <v>40</v>
      </c>
      <c r="AA1365" s="3" t="s">
        <v>100</v>
      </c>
      <c r="AB1365" s="3" t="s">
        <v>101</v>
      </c>
      <c r="AC1365" s="3">
        <v>4</v>
      </c>
    </row>
    <row r="1366" spans="1:29" x14ac:dyDescent="0.3">
      <c r="A1366" s="2" t="s">
        <v>6622</v>
      </c>
      <c r="B1366" s="2" t="s">
        <v>6623</v>
      </c>
      <c r="C1366" s="2" t="s">
        <v>240</v>
      </c>
      <c r="D1366" s="2" t="s">
        <v>6624</v>
      </c>
      <c r="E1366" s="2" t="s">
        <v>42</v>
      </c>
      <c r="F1366" s="2" t="s">
        <v>6141</v>
      </c>
      <c r="G1366" s="2" t="s">
        <v>5286</v>
      </c>
      <c r="H1366" s="2" t="s">
        <v>3388</v>
      </c>
      <c r="I1366" s="2">
        <v>3</v>
      </c>
      <c r="J1366" s="2" t="s">
        <v>39</v>
      </c>
      <c r="K1366" s="2" t="s">
        <v>109</v>
      </c>
      <c r="L1366" s="2" t="s">
        <v>110</v>
      </c>
      <c r="M1366" s="2" t="s">
        <v>1489</v>
      </c>
      <c r="N1366" s="2" t="s">
        <v>150</v>
      </c>
      <c r="O1366" s="2" t="s">
        <v>28</v>
      </c>
      <c r="P1366" s="2" t="s">
        <v>151</v>
      </c>
      <c r="Q1366" s="2" t="s">
        <v>400</v>
      </c>
      <c r="R1366" s="2">
        <v>1</v>
      </c>
      <c r="S1366" s="2">
        <v>4722.29</v>
      </c>
      <c r="T1366" s="2">
        <v>0</v>
      </c>
      <c r="U1366" s="2">
        <v>4722.29</v>
      </c>
      <c r="V1366" s="2">
        <v>3124.68</v>
      </c>
      <c r="W1366" s="2">
        <v>1597.61</v>
      </c>
      <c r="X1366" s="2">
        <v>33.83</v>
      </c>
      <c r="Y1366" s="2">
        <v>29</v>
      </c>
      <c r="Z1366" s="2" t="s">
        <v>48</v>
      </c>
      <c r="AA1366" s="2" t="s">
        <v>100</v>
      </c>
      <c r="AB1366" s="2" t="s">
        <v>101</v>
      </c>
      <c r="AC1366" s="2">
        <v>2</v>
      </c>
    </row>
    <row r="1367" spans="1:29" x14ac:dyDescent="0.3">
      <c r="A1367" s="3" t="s">
        <v>6625</v>
      </c>
      <c r="B1367" s="3" t="s">
        <v>6626</v>
      </c>
      <c r="C1367" s="3" t="s">
        <v>3903</v>
      </c>
      <c r="D1367" s="3" t="s">
        <v>6627</v>
      </c>
      <c r="E1367" s="3" t="s">
        <v>42</v>
      </c>
      <c r="F1367" s="3" t="s">
        <v>2757</v>
      </c>
      <c r="G1367" s="3" t="s">
        <v>5596</v>
      </c>
      <c r="H1367" s="3" t="s">
        <v>2987</v>
      </c>
      <c r="I1367" s="3">
        <v>5</v>
      </c>
      <c r="J1367" s="3" t="s">
        <v>14</v>
      </c>
      <c r="K1367" s="3" t="s">
        <v>183</v>
      </c>
      <c r="L1367" s="3" t="s">
        <v>183</v>
      </c>
      <c r="M1367" s="3" t="s">
        <v>6628</v>
      </c>
      <c r="N1367" s="3" t="s">
        <v>583</v>
      </c>
      <c r="O1367" s="3" t="s">
        <v>19</v>
      </c>
      <c r="P1367" s="3" t="s">
        <v>447</v>
      </c>
      <c r="Q1367" s="3" t="s">
        <v>138</v>
      </c>
      <c r="R1367" s="3">
        <v>3</v>
      </c>
      <c r="S1367" s="3">
        <v>3506.06</v>
      </c>
      <c r="T1367" s="3">
        <v>5</v>
      </c>
      <c r="U1367" s="3">
        <v>9992.27</v>
      </c>
      <c r="V1367" s="3">
        <v>5861.48</v>
      </c>
      <c r="W1367" s="3">
        <v>4130.79</v>
      </c>
      <c r="X1367" s="3">
        <v>41.34</v>
      </c>
      <c r="Y1367" s="3">
        <v>49</v>
      </c>
      <c r="Z1367" s="3" t="s">
        <v>30</v>
      </c>
      <c r="AA1367" s="3" t="s">
        <v>139</v>
      </c>
      <c r="AB1367" s="3" t="s">
        <v>140</v>
      </c>
      <c r="AC1367" s="3"/>
    </row>
    <row r="1368" spans="1:29" x14ac:dyDescent="0.3">
      <c r="A1368" s="2" t="s">
        <v>6629</v>
      </c>
      <c r="B1368" s="2" t="s">
        <v>5873</v>
      </c>
      <c r="C1368" s="2" t="s">
        <v>1899</v>
      </c>
      <c r="D1368" s="2" t="s">
        <v>6630</v>
      </c>
      <c r="E1368" s="2" t="s">
        <v>33</v>
      </c>
      <c r="F1368" s="2" t="s">
        <v>2204</v>
      </c>
      <c r="G1368" s="2" t="s">
        <v>2725</v>
      </c>
      <c r="H1368" s="2" t="s">
        <v>2001</v>
      </c>
      <c r="I1368" s="2">
        <v>6</v>
      </c>
      <c r="J1368" s="2" t="s">
        <v>22</v>
      </c>
      <c r="K1368" s="2" t="s">
        <v>254</v>
      </c>
      <c r="L1368" s="2" t="s">
        <v>254</v>
      </c>
      <c r="M1368" s="2" t="s">
        <v>6631</v>
      </c>
      <c r="N1368" s="2" t="s">
        <v>551</v>
      </c>
      <c r="O1368" s="2" t="s">
        <v>13</v>
      </c>
      <c r="P1368" s="2" t="s">
        <v>98</v>
      </c>
      <c r="Q1368" s="2" t="s">
        <v>466</v>
      </c>
      <c r="R1368" s="2">
        <v>2</v>
      </c>
      <c r="S1368" s="2">
        <v>38602.42</v>
      </c>
      <c r="T1368" s="2">
        <v>25</v>
      </c>
      <c r="U1368" s="2">
        <v>57903.63</v>
      </c>
      <c r="V1368" s="2">
        <v>31265.73</v>
      </c>
      <c r="W1368" s="2">
        <v>26637.9</v>
      </c>
      <c r="X1368" s="2">
        <v>46</v>
      </c>
      <c r="Y1368" s="2">
        <v>199</v>
      </c>
      <c r="Z1368" s="2" t="s">
        <v>47</v>
      </c>
      <c r="AA1368" s="2" t="s">
        <v>100</v>
      </c>
      <c r="AB1368" s="2" t="s">
        <v>101</v>
      </c>
      <c r="AC1368" s="2">
        <v>4</v>
      </c>
    </row>
    <row r="1369" spans="1:29" x14ac:dyDescent="0.3">
      <c r="A1369" s="3" t="s">
        <v>6632</v>
      </c>
      <c r="B1369" s="3" t="s">
        <v>6633</v>
      </c>
      <c r="C1369" s="3" t="s">
        <v>3325</v>
      </c>
      <c r="D1369" s="3" t="s">
        <v>6634</v>
      </c>
      <c r="E1369" s="3" t="s">
        <v>42</v>
      </c>
      <c r="F1369" s="3" t="s">
        <v>1869</v>
      </c>
      <c r="G1369" s="3" t="s">
        <v>395</v>
      </c>
      <c r="H1369" s="3" t="s">
        <v>1870</v>
      </c>
      <c r="I1369" s="3">
        <v>6</v>
      </c>
      <c r="J1369" s="3" t="s">
        <v>22</v>
      </c>
      <c r="K1369" s="3" t="s">
        <v>443</v>
      </c>
      <c r="L1369" s="3" t="s">
        <v>498</v>
      </c>
      <c r="M1369" s="3" t="s">
        <v>6256</v>
      </c>
      <c r="N1369" s="3" t="s">
        <v>205</v>
      </c>
      <c r="O1369" s="3" t="s">
        <v>21</v>
      </c>
      <c r="P1369" s="3" t="s">
        <v>206</v>
      </c>
      <c r="Q1369" s="3" t="s">
        <v>138</v>
      </c>
      <c r="R1369" s="3">
        <v>3</v>
      </c>
      <c r="S1369" s="3">
        <v>45418.3</v>
      </c>
      <c r="T1369" s="3">
        <v>0</v>
      </c>
      <c r="U1369" s="3">
        <v>136254.9</v>
      </c>
      <c r="V1369" s="3">
        <v>76799.75</v>
      </c>
      <c r="W1369" s="3">
        <v>59455.15</v>
      </c>
      <c r="X1369" s="3">
        <v>43.64</v>
      </c>
      <c r="Y1369" s="3">
        <v>199</v>
      </c>
      <c r="Z1369" s="3" t="s">
        <v>30</v>
      </c>
      <c r="AA1369" s="3" t="s">
        <v>100</v>
      </c>
      <c r="AB1369" s="3" t="s">
        <v>101</v>
      </c>
      <c r="AC1369" s="3">
        <v>5</v>
      </c>
    </row>
    <row r="1370" spans="1:29" x14ac:dyDescent="0.3">
      <c r="A1370" s="2" t="s">
        <v>6635</v>
      </c>
      <c r="B1370" s="2" t="s">
        <v>6636</v>
      </c>
      <c r="C1370" s="2" t="s">
        <v>422</v>
      </c>
      <c r="D1370" s="2" t="s">
        <v>6637</v>
      </c>
      <c r="E1370" s="2" t="s">
        <v>42</v>
      </c>
      <c r="F1370" s="2" t="s">
        <v>1338</v>
      </c>
      <c r="G1370" s="2" t="s">
        <v>936</v>
      </c>
      <c r="H1370" s="2" t="s">
        <v>3675</v>
      </c>
      <c r="I1370" s="2">
        <v>3</v>
      </c>
      <c r="J1370" s="2" t="s">
        <v>39</v>
      </c>
      <c r="K1370" s="2" t="s">
        <v>324</v>
      </c>
      <c r="L1370" s="2" t="s">
        <v>325</v>
      </c>
      <c r="M1370" s="2" t="s">
        <v>6638</v>
      </c>
      <c r="N1370" s="2" t="s">
        <v>704</v>
      </c>
      <c r="O1370" s="2" t="s">
        <v>13</v>
      </c>
      <c r="P1370" s="2" t="s">
        <v>419</v>
      </c>
      <c r="Q1370" s="2" t="s">
        <v>197</v>
      </c>
      <c r="R1370" s="2">
        <v>3</v>
      </c>
      <c r="S1370" s="2">
        <v>43095.65</v>
      </c>
      <c r="T1370" s="2">
        <v>20</v>
      </c>
      <c r="U1370" s="2">
        <v>103429.56</v>
      </c>
      <c r="V1370" s="2">
        <v>70551.12</v>
      </c>
      <c r="W1370" s="2">
        <v>32878.44</v>
      </c>
      <c r="X1370" s="2">
        <v>31.79</v>
      </c>
      <c r="Y1370" s="2">
        <v>149</v>
      </c>
      <c r="Z1370" s="2" t="s">
        <v>47</v>
      </c>
      <c r="AA1370" s="2" t="s">
        <v>672</v>
      </c>
      <c r="AB1370" s="2" t="s">
        <v>101</v>
      </c>
      <c r="AC1370" s="2"/>
    </row>
    <row r="1371" spans="1:29" x14ac:dyDescent="0.3">
      <c r="A1371" s="3" t="s">
        <v>6639</v>
      </c>
      <c r="B1371" s="3" t="s">
        <v>6640</v>
      </c>
      <c r="C1371" s="3" t="s">
        <v>2779</v>
      </c>
      <c r="D1371" s="3" t="s">
        <v>6641</v>
      </c>
      <c r="E1371" s="3" t="s">
        <v>26</v>
      </c>
      <c r="F1371" s="3" t="s">
        <v>5004</v>
      </c>
      <c r="G1371" s="3" t="s">
        <v>2494</v>
      </c>
      <c r="H1371" s="3" t="s">
        <v>1435</v>
      </c>
      <c r="I1371" s="3">
        <v>8</v>
      </c>
      <c r="J1371" s="3" t="s">
        <v>29</v>
      </c>
      <c r="K1371" s="3" t="s">
        <v>160</v>
      </c>
      <c r="L1371" s="3" t="s">
        <v>976</v>
      </c>
      <c r="M1371" s="3" t="s">
        <v>6642</v>
      </c>
      <c r="N1371" s="3" t="s">
        <v>750</v>
      </c>
      <c r="O1371" s="3" t="s">
        <v>13</v>
      </c>
      <c r="P1371" s="3" t="s">
        <v>419</v>
      </c>
      <c r="Q1371" s="3" t="s">
        <v>207</v>
      </c>
      <c r="R1371" s="3">
        <v>1</v>
      </c>
      <c r="S1371" s="3">
        <v>16594.52</v>
      </c>
      <c r="T1371" s="3">
        <v>25</v>
      </c>
      <c r="U1371" s="3">
        <v>12445.89</v>
      </c>
      <c r="V1371" s="3">
        <v>7274.95</v>
      </c>
      <c r="W1371" s="3">
        <v>5170.9399999999996</v>
      </c>
      <c r="X1371" s="3">
        <v>41.55</v>
      </c>
      <c r="Y1371" s="3">
        <v>199</v>
      </c>
      <c r="Z1371" s="3" t="s">
        <v>48</v>
      </c>
      <c r="AA1371" s="3" t="s">
        <v>100</v>
      </c>
      <c r="AB1371" s="3" t="s">
        <v>101</v>
      </c>
      <c r="AC1371" s="3">
        <v>1</v>
      </c>
    </row>
    <row r="1372" spans="1:29" x14ac:dyDescent="0.3">
      <c r="A1372" s="2" t="s">
        <v>6643</v>
      </c>
      <c r="B1372" s="2" t="s">
        <v>6644</v>
      </c>
      <c r="C1372" s="2" t="s">
        <v>725</v>
      </c>
      <c r="D1372" s="2" t="s">
        <v>6645</v>
      </c>
      <c r="E1372" s="2" t="s">
        <v>42</v>
      </c>
      <c r="F1372" s="2" t="s">
        <v>497</v>
      </c>
      <c r="G1372" s="2" t="s">
        <v>3227</v>
      </c>
      <c r="H1372" s="2" t="s">
        <v>3957</v>
      </c>
      <c r="I1372" s="2">
        <v>8</v>
      </c>
      <c r="J1372" s="2" t="s">
        <v>14</v>
      </c>
      <c r="K1372" s="2" t="s">
        <v>183</v>
      </c>
      <c r="L1372" s="2" t="s">
        <v>183</v>
      </c>
      <c r="M1372" s="2" t="s">
        <v>6646</v>
      </c>
      <c r="N1372" s="2" t="s">
        <v>418</v>
      </c>
      <c r="O1372" s="2" t="s">
        <v>13</v>
      </c>
      <c r="P1372" s="2" t="s">
        <v>419</v>
      </c>
      <c r="Q1372" s="2" t="s">
        <v>152</v>
      </c>
      <c r="R1372" s="2">
        <v>3</v>
      </c>
      <c r="S1372" s="2">
        <v>44623.56</v>
      </c>
      <c r="T1372" s="2">
        <v>0</v>
      </c>
      <c r="U1372" s="2">
        <v>133870.68</v>
      </c>
      <c r="V1372" s="2">
        <v>62303.63</v>
      </c>
      <c r="W1372" s="2">
        <v>71567.05</v>
      </c>
      <c r="X1372" s="2">
        <v>53.46</v>
      </c>
      <c r="Y1372" s="2">
        <v>0</v>
      </c>
      <c r="Z1372" s="2" t="s">
        <v>48</v>
      </c>
      <c r="AA1372" s="2" t="s">
        <v>100</v>
      </c>
      <c r="AB1372" s="2" t="s">
        <v>101</v>
      </c>
      <c r="AC1372" s="2">
        <v>1</v>
      </c>
    </row>
    <row r="1373" spans="1:29" x14ac:dyDescent="0.3">
      <c r="A1373" s="3" t="s">
        <v>6647</v>
      </c>
      <c r="B1373" s="3" t="s">
        <v>6648</v>
      </c>
      <c r="C1373" s="3" t="s">
        <v>2651</v>
      </c>
      <c r="D1373" s="3" t="s">
        <v>6649</v>
      </c>
      <c r="E1373" s="3" t="s">
        <v>42</v>
      </c>
      <c r="F1373" s="3" t="s">
        <v>778</v>
      </c>
      <c r="G1373" s="3" t="s">
        <v>947</v>
      </c>
      <c r="H1373" s="3" t="s">
        <v>311</v>
      </c>
      <c r="I1373" s="3">
        <v>4</v>
      </c>
      <c r="J1373" s="3" t="s">
        <v>14</v>
      </c>
      <c r="K1373" s="3" t="s">
        <v>215</v>
      </c>
      <c r="L1373" s="3" t="s">
        <v>215</v>
      </c>
      <c r="M1373" s="3" t="s">
        <v>2538</v>
      </c>
      <c r="N1373" s="3" t="s">
        <v>1603</v>
      </c>
      <c r="O1373" s="3" t="s">
        <v>19</v>
      </c>
      <c r="P1373" s="3" t="s">
        <v>365</v>
      </c>
      <c r="Q1373" s="3" t="s">
        <v>509</v>
      </c>
      <c r="R1373" s="3">
        <v>5</v>
      </c>
      <c r="S1373" s="3">
        <v>4930.41</v>
      </c>
      <c r="T1373" s="3">
        <v>15</v>
      </c>
      <c r="U1373" s="3">
        <v>20954.240000000002</v>
      </c>
      <c r="V1373" s="3">
        <v>11237.22</v>
      </c>
      <c r="W1373" s="3">
        <v>9717.02</v>
      </c>
      <c r="X1373" s="3">
        <v>46.37</v>
      </c>
      <c r="Y1373" s="3">
        <v>149</v>
      </c>
      <c r="Z1373" s="3" t="s">
        <v>40</v>
      </c>
      <c r="AA1373" s="3" t="s">
        <v>100</v>
      </c>
      <c r="AB1373" s="3" t="s">
        <v>101</v>
      </c>
      <c r="AC1373" s="3">
        <v>4</v>
      </c>
    </row>
    <row r="1374" spans="1:29" x14ac:dyDescent="0.3">
      <c r="A1374" s="2" t="s">
        <v>6650</v>
      </c>
      <c r="B1374" s="2" t="s">
        <v>6651</v>
      </c>
      <c r="C1374" s="2" t="s">
        <v>2097</v>
      </c>
      <c r="D1374" s="2" t="s">
        <v>6652</v>
      </c>
      <c r="E1374" s="2" t="s">
        <v>26</v>
      </c>
      <c r="F1374" s="2" t="s">
        <v>386</v>
      </c>
      <c r="G1374" s="2" t="s">
        <v>3047</v>
      </c>
      <c r="H1374" s="2" t="s">
        <v>180</v>
      </c>
      <c r="I1374" s="2">
        <v>2</v>
      </c>
      <c r="J1374" s="2" t="s">
        <v>14</v>
      </c>
      <c r="K1374" s="2" t="s">
        <v>215</v>
      </c>
      <c r="L1374" s="2" t="s">
        <v>215</v>
      </c>
      <c r="M1374" s="2" t="s">
        <v>6653</v>
      </c>
      <c r="N1374" s="2" t="s">
        <v>112</v>
      </c>
      <c r="O1374" s="2" t="s">
        <v>27</v>
      </c>
      <c r="P1374" s="2" t="s">
        <v>113</v>
      </c>
      <c r="Q1374" s="2" t="s">
        <v>287</v>
      </c>
      <c r="R1374" s="2">
        <v>3</v>
      </c>
      <c r="S1374" s="2">
        <v>42395.69</v>
      </c>
      <c r="T1374" s="2">
        <v>5</v>
      </c>
      <c r="U1374" s="2">
        <v>120827.72</v>
      </c>
      <c r="V1374" s="2">
        <v>80711.759999999995</v>
      </c>
      <c r="W1374" s="2">
        <v>40115.96</v>
      </c>
      <c r="X1374" s="2">
        <v>33.200000000000003</v>
      </c>
      <c r="Y1374" s="2">
        <v>29</v>
      </c>
      <c r="Z1374" s="2" t="s">
        <v>43</v>
      </c>
      <c r="AA1374" s="2" t="s">
        <v>672</v>
      </c>
      <c r="AB1374" s="2" t="s">
        <v>101</v>
      </c>
      <c r="AC1374" s="2"/>
    </row>
    <row r="1375" spans="1:29" x14ac:dyDescent="0.3">
      <c r="A1375" s="3" t="s">
        <v>6654</v>
      </c>
      <c r="B1375" s="3" t="s">
        <v>6655</v>
      </c>
      <c r="C1375" s="3" t="s">
        <v>2590</v>
      </c>
      <c r="D1375" s="3" t="s">
        <v>6656</v>
      </c>
      <c r="E1375" s="3" t="s">
        <v>18</v>
      </c>
      <c r="F1375" s="3" t="s">
        <v>629</v>
      </c>
      <c r="G1375" s="3" t="s">
        <v>3660</v>
      </c>
      <c r="H1375" s="3" t="s">
        <v>3782</v>
      </c>
      <c r="I1375" s="3">
        <v>4</v>
      </c>
      <c r="J1375" s="3" t="s">
        <v>14</v>
      </c>
      <c r="K1375" s="3" t="s">
        <v>95</v>
      </c>
      <c r="L1375" s="3" t="s">
        <v>95</v>
      </c>
      <c r="M1375" s="3" t="s">
        <v>6657</v>
      </c>
      <c r="N1375" s="3" t="s">
        <v>740</v>
      </c>
      <c r="O1375" s="3" t="s">
        <v>21</v>
      </c>
      <c r="P1375" s="3" t="s">
        <v>126</v>
      </c>
      <c r="Q1375" s="3" t="s">
        <v>400</v>
      </c>
      <c r="R1375" s="3">
        <v>1</v>
      </c>
      <c r="S1375" s="3">
        <v>2434.04</v>
      </c>
      <c r="T1375" s="3">
        <v>30</v>
      </c>
      <c r="U1375" s="3">
        <v>1703.83</v>
      </c>
      <c r="V1375" s="3">
        <v>1144.01</v>
      </c>
      <c r="W1375" s="3">
        <v>559.82000000000005</v>
      </c>
      <c r="X1375" s="3">
        <v>32.86</v>
      </c>
      <c r="Y1375" s="3">
        <v>29</v>
      </c>
      <c r="Z1375" s="3" t="s">
        <v>40</v>
      </c>
      <c r="AA1375" s="3" t="s">
        <v>100</v>
      </c>
      <c r="AB1375" s="3" t="s">
        <v>101</v>
      </c>
      <c r="AC1375" s="3"/>
    </row>
    <row r="1376" spans="1:29" x14ac:dyDescent="0.3">
      <c r="A1376" s="2" t="s">
        <v>6658</v>
      </c>
      <c r="B1376" s="2" t="s">
        <v>6659</v>
      </c>
      <c r="C1376" s="2" t="s">
        <v>952</v>
      </c>
      <c r="D1376" s="2" t="s">
        <v>6660</v>
      </c>
      <c r="E1376" s="2" t="s">
        <v>33</v>
      </c>
      <c r="F1376" s="2" t="s">
        <v>1647</v>
      </c>
      <c r="G1376" s="2" t="s">
        <v>2440</v>
      </c>
      <c r="H1376" s="2" t="s">
        <v>5402</v>
      </c>
      <c r="I1376" s="2">
        <v>7</v>
      </c>
      <c r="J1376" s="2" t="s">
        <v>39</v>
      </c>
      <c r="K1376" s="2" t="s">
        <v>225</v>
      </c>
      <c r="L1376" s="2" t="s">
        <v>225</v>
      </c>
      <c r="M1376" s="2" t="s">
        <v>2874</v>
      </c>
      <c r="N1376" s="2" t="s">
        <v>1802</v>
      </c>
      <c r="O1376" s="2" t="s">
        <v>28</v>
      </c>
      <c r="P1376" s="2" t="s">
        <v>137</v>
      </c>
      <c r="Q1376" s="2" t="s">
        <v>138</v>
      </c>
      <c r="R1376" s="2">
        <v>2</v>
      </c>
      <c r="S1376" s="2">
        <v>14822.35</v>
      </c>
      <c r="T1376" s="2">
        <v>10</v>
      </c>
      <c r="U1376" s="2">
        <v>26680.23</v>
      </c>
      <c r="V1376" s="2">
        <v>17463.5</v>
      </c>
      <c r="W1376" s="2">
        <v>9216.73</v>
      </c>
      <c r="X1376" s="2">
        <v>34.549999999999997</v>
      </c>
      <c r="Y1376" s="2">
        <v>0</v>
      </c>
      <c r="Z1376" s="2" t="s">
        <v>48</v>
      </c>
      <c r="AA1376" s="2" t="s">
        <v>100</v>
      </c>
      <c r="AB1376" s="2" t="s">
        <v>101</v>
      </c>
      <c r="AC1376" s="2">
        <v>5</v>
      </c>
    </row>
    <row r="1377" spans="1:29" x14ac:dyDescent="0.3">
      <c r="A1377" s="3" t="s">
        <v>6661</v>
      </c>
      <c r="B1377" s="3" t="s">
        <v>6662</v>
      </c>
      <c r="C1377" s="3" t="s">
        <v>2090</v>
      </c>
      <c r="D1377" s="3" t="s">
        <v>6663</v>
      </c>
      <c r="E1377" s="3" t="s">
        <v>18</v>
      </c>
      <c r="F1377" s="3" t="s">
        <v>720</v>
      </c>
      <c r="G1377" s="3" t="s">
        <v>1211</v>
      </c>
      <c r="H1377" s="3" t="s">
        <v>131</v>
      </c>
      <c r="I1377" s="3">
        <v>7</v>
      </c>
      <c r="J1377" s="3" t="s">
        <v>22</v>
      </c>
      <c r="K1377" s="3" t="s">
        <v>254</v>
      </c>
      <c r="L1377" s="3" t="s">
        <v>254</v>
      </c>
      <c r="M1377" s="3" t="s">
        <v>6646</v>
      </c>
      <c r="N1377" s="3" t="s">
        <v>97</v>
      </c>
      <c r="O1377" s="3" t="s">
        <v>13</v>
      </c>
      <c r="P1377" s="3" t="s">
        <v>98</v>
      </c>
      <c r="Q1377" s="3" t="s">
        <v>608</v>
      </c>
      <c r="R1377" s="3">
        <v>5</v>
      </c>
      <c r="S1377" s="3">
        <v>38384.76</v>
      </c>
      <c r="T1377" s="3">
        <v>15</v>
      </c>
      <c r="U1377" s="3">
        <v>163135.23000000001</v>
      </c>
      <c r="V1377" s="3">
        <v>90304.11</v>
      </c>
      <c r="W1377" s="3">
        <v>72831.12</v>
      </c>
      <c r="X1377" s="3">
        <v>44.64</v>
      </c>
      <c r="Y1377" s="3">
        <v>149</v>
      </c>
      <c r="Z1377" s="3" t="s">
        <v>40</v>
      </c>
      <c r="AA1377" s="3" t="s">
        <v>275</v>
      </c>
      <c r="AB1377" s="3" t="s">
        <v>101</v>
      </c>
      <c r="AC1377" s="3"/>
    </row>
    <row r="1378" spans="1:29" x14ac:dyDescent="0.3">
      <c r="A1378" s="2" t="s">
        <v>6664</v>
      </c>
      <c r="B1378" s="2" t="s">
        <v>6665</v>
      </c>
      <c r="C1378" s="2" t="s">
        <v>2572</v>
      </c>
      <c r="D1378" s="2" t="s">
        <v>6666</v>
      </c>
      <c r="E1378" s="2" t="s">
        <v>26</v>
      </c>
      <c r="F1378" s="2" t="s">
        <v>6667</v>
      </c>
      <c r="G1378" s="2" t="s">
        <v>3877</v>
      </c>
      <c r="H1378" s="2" t="s">
        <v>224</v>
      </c>
      <c r="I1378" s="2">
        <v>6</v>
      </c>
      <c r="J1378" s="2" t="s">
        <v>39</v>
      </c>
      <c r="K1378" s="2" t="s">
        <v>193</v>
      </c>
      <c r="L1378" s="2" t="s">
        <v>193</v>
      </c>
      <c r="M1378" s="2" t="s">
        <v>5252</v>
      </c>
      <c r="N1378" s="2" t="s">
        <v>125</v>
      </c>
      <c r="O1378" s="2" t="s">
        <v>21</v>
      </c>
      <c r="P1378" s="2" t="s">
        <v>126</v>
      </c>
      <c r="Q1378" s="2" t="s">
        <v>99</v>
      </c>
      <c r="R1378" s="2">
        <v>2</v>
      </c>
      <c r="S1378" s="2">
        <v>24213.84</v>
      </c>
      <c r="T1378" s="2">
        <v>30</v>
      </c>
      <c r="U1378" s="2">
        <v>33899.379999999997</v>
      </c>
      <c r="V1378" s="2">
        <v>15491.46</v>
      </c>
      <c r="W1378" s="2">
        <v>18407.919999999998</v>
      </c>
      <c r="X1378" s="2">
        <v>54.3</v>
      </c>
      <c r="Y1378" s="2">
        <v>0</v>
      </c>
      <c r="Z1378" s="2" t="s">
        <v>30</v>
      </c>
      <c r="AA1378" s="2" t="s">
        <v>100</v>
      </c>
      <c r="AB1378" s="2" t="s">
        <v>101</v>
      </c>
      <c r="AC1378" s="2">
        <v>1</v>
      </c>
    </row>
    <row r="1379" spans="1:29" x14ac:dyDescent="0.3">
      <c r="A1379" s="3" t="s">
        <v>6668</v>
      </c>
      <c r="B1379" s="3" t="s">
        <v>6669</v>
      </c>
      <c r="C1379" s="3" t="s">
        <v>1742</v>
      </c>
      <c r="D1379" s="3" t="s">
        <v>6670</v>
      </c>
      <c r="E1379" s="3" t="s">
        <v>26</v>
      </c>
      <c r="F1379" s="3" t="s">
        <v>825</v>
      </c>
      <c r="G1379" s="3" t="s">
        <v>3575</v>
      </c>
      <c r="H1379" s="3" t="s">
        <v>504</v>
      </c>
      <c r="I1379" s="3">
        <v>6</v>
      </c>
      <c r="J1379" s="3" t="s">
        <v>39</v>
      </c>
      <c r="K1379" s="3" t="s">
        <v>314</v>
      </c>
      <c r="L1379" s="3" t="s">
        <v>314</v>
      </c>
      <c r="M1379" s="3" t="s">
        <v>4297</v>
      </c>
      <c r="N1379" s="3" t="s">
        <v>97</v>
      </c>
      <c r="O1379" s="3" t="s">
        <v>13</v>
      </c>
      <c r="P1379" s="3" t="s">
        <v>98</v>
      </c>
      <c r="Q1379" s="3" t="s">
        <v>138</v>
      </c>
      <c r="R1379" s="3">
        <v>1</v>
      </c>
      <c r="S1379" s="3">
        <v>4410.05</v>
      </c>
      <c r="T1379" s="3">
        <v>30</v>
      </c>
      <c r="U1379" s="3">
        <v>3087.03</v>
      </c>
      <c r="V1379" s="3">
        <v>1555.16</v>
      </c>
      <c r="W1379" s="3">
        <v>1531.87</v>
      </c>
      <c r="X1379" s="3">
        <v>49.62</v>
      </c>
      <c r="Y1379" s="3">
        <v>49</v>
      </c>
      <c r="Z1379" s="3" t="s">
        <v>15</v>
      </c>
      <c r="AA1379" s="3" t="s">
        <v>100</v>
      </c>
      <c r="AB1379" s="3" t="s">
        <v>101</v>
      </c>
      <c r="AC1379" s="3">
        <v>2</v>
      </c>
    </row>
    <row r="1380" spans="1:29" x14ac:dyDescent="0.3">
      <c r="A1380" s="2" t="s">
        <v>6671</v>
      </c>
      <c r="B1380" s="2" t="s">
        <v>6672</v>
      </c>
      <c r="C1380" s="2" t="s">
        <v>1085</v>
      </c>
      <c r="D1380" s="2" t="s">
        <v>6673</v>
      </c>
      <c r="E1380" s="2" t="s">
        <v>42</v>
      </c>
      <c r="F1380" s="2" t="s">
        <v>3503</v>
      </c>
      <c r="G1380" s="2" t="s">
        <v>2707</v>
      </c>
      <c r="H1380" s="2" t="s">
        <v>3047</v>
      </c>
      <c r="I1380" s="2">
        <v>7</v>
      </c>
      <c r="J1380" s="2" t="s">
        <v>22</v>
      </c>
      <c r="K1380" s="2" t="s">
        <v>738</v>
      </c>
      <c r="L1380" s="2" t="s">
        <v>738</v>
      </c>
      <c r="M1380" s="2" t="s">
        <v>6674</v>
      </c>
      <c r="N1380" s="2" t="s">
        <v>456</v>
      </c>
      <c r="O1380" s="2" t="s">
        <v>21</v>
      </c>
      <c r="P1380" s="2" t="s">
        <v>206</v>
      </c>
      <c r="Q1380" s="2" t="s">
        <v>207</v>
      </c>
      <c r="R1380" s="2">
        <v>2</v>
      </c>
      <c r="S1380" s="2">
        <v>11003.49</v>
      </c>
      <c r="T1380" s="2">
        <v>5</v>
      </c>
      <c r="U1380" s="2">
        <v>20906.63</v>
      </c>
      <c r="V1380" s="2">
        <v>14519.83</v>
      </c>
      <c r="W1380" s="2">
        <v>6386.8</v>
      </c>
      <c r="X1380" s="2">
        <v>30.55</v>
      </c>
      <c r="Y1380" s="2">
        <v>199</v>
      </c>
      <c r="Z1380" s="2" t="s">
        <v>30</v>
      </c>
      <c r="AA1380" s="2" t="s">
        <v>100</v>
      </c>
      <c r="AB1380" s="2" t="s">
        <v>101</v>
      </c>
      <c r="AC1380" s="2">
        <v>4</v>
      </c>
    </row>
    <row r="1381" spans="1:29" x14ac:dyDescent="0.3">
      <c r="A1381" s="3" t="s">
        <v>6675</v>
      </c>
      <c r="B1381" s="3" t="s">
        <v>6676</v>
      </c>
      <c r="C1381" s="3" t="s">
        <v>689</v>
      </c>
      <c r="D1381" s="3" t="s">
        <v>6677</v>
      </c>
      <c r="E1381" s="3" t="s">
        <v>26</v>
      </c>
      <c r="F1381" s="3" t="s">
        <v>1703</v>
      </c>
      <c r="G1381" s="3" t="s">
        <v>5512</v>
      </c>
      <c r="H1381" s="3" t="s">
        <v>2593</v>
      </c>
      <c r="I1381" s="3">
        <v>6</v>
      </c>
      <c r="J1381" s="3" t="s">
        <v>22</v>
      </c>
      <c r="K1381" s="3" t="s">
        <v>254</v>
      </c>
      <c r="L1381" s="3" t="s">
        <v>254</v>
      </c>
      <c r="M1381" s="3" t="s">
        <v>6678</v>
      </c>
      <c r="N1381" s="3" t="s">
        <v>1535</v>
      </c>
      <c r="O1381" s="3" t="s">
        <v>13</v>
      </c>
      <c r="P1381" s="3" t="s">
        <v>98</v>
      </c>
      <c r="Q1381" s="3" t="s">
        <v>355</v>
      </c>
      <c r="R1381" s="3">
        <v>1</v>
      </c>
      <c r="S1381" s="3">
        <v>25712.11</v>
      </c>
      <c r="T1381" s="3">
        <v>20</v>
      </c>
      <c r="U1381" s="3">
        <v>20569.689999999999</v>
      </c>
      <c r="V1381" s="3">
        <v>12451.77</v>
      </c>
      <c r="W1381" s="3">
        <v>8117.92</v>
      </c>
      <c r="X1381" s="3">
        <v>39.47</v>
      </c>
      <c r="Y1381" s="3">
        <v>99</v>
      </c>
      <c r="Z1381" s="3" t="s">
        <v>47</v>
      </c>
      <c r="AA1381" s="3" t="s">
        <v>275</v>
      </c>
      <c r="AB1381" s="3" t="s">
        <v>101</v>
      </c>
      <c r="AC1381" s="3"/>
    </row>
    <row r="1382" spans="1:29" x14ac:dyDescent="0.3">
      <c r="A1382" s="2" t="s">
        <v>6679</v>
      </c>
      <c r="B1382" s="2" t="s">
        <v>6680</v>
      </c>
      <c r="C1382" s="2" t="s">
        <v>2136</v>
      </c>
      <c r="D1382" s="2" t="s">
        <v>6681</v>
      </c>
      <c r="E1382" s="2" t="s">
        <v>42</v>
      </c>
      <c r="F1382" s="2" t="s">
        <v>900</v>
      </c>
      <c r="G1382" s="2" t="s">
        <v>874</v>
      </c>
      <c r="H1382" s="2" t="s">
        <v>1868</v>
      </c>
      <c r="I1382" s="2">
        <v>3</v>
      </c>
      <c r="J1382" s="2" t="s">
        <v>22</v>
      </c>
      <c r="K1382" s="2" t="s">
        <v>283</v>
      </c>
      <c r="L1382" s="2" t="s">
        <v>284</v>
      </c>
      <c r="M1382" s="2" t="s">
        <v>6682</v>
      </c>
      <c r="N1382" s="2" t="s">
        <v>1603</v>
      </c>
      <c r="O1382" s="2" t="s">
        <v>19</v>
      </c>
      <c r="P1382" s="2" t="s">
        <v>365</v>
      </c>
      <c r="Q1382" s="2" t="s">
        <v>99</v>
      </c>
      <c r="R1382" s="2">
        <v>1</v>
      </c>
      <c r="S1382" s="2">
        <v>23315.57</v>
      </c>
      <c r="T1382" s="2">
        <v>25</v>
      </c>
      <c r="U1382" s="2">
        <v>17486.68</v>
      </c>
      <c r="V1382" s="2">
        <v>12056.93</v>
      </c>
      <c r="W1382" s="2">
        <v>5429.75</v>
      </c>
      <c r="X1382" s="2">
        <v>31.05</v>
      </c>
      <c r="Y1382" s="2">
        <v>99</v>
      </c>
      <c r="Z1382" s="2" t="s">
        <v>43</v>
      </c>
      <c r="AA1382" s="2" t="s">
        <v>100</v>
      </c>
      <c r="AB1382" s="2" t="s">
        <v>101</v>
      </c>
      <c r="AC1382" s="2">
        <v>1</v>
      </c>
    </row>
    <row r="1383" spans="1:29" x14ac:dyDescent="0.3">
      <c r="A1383" s="3" t="s">
        <v>6683</v>
      </c>
      <c r="B1383" s="3" t="s">
        <v>6684</v>
      </c>
      <c r="C1383" s="3" t="s">
        <v>1700</v>
      </c>
      <c r="D1383" s="3" t="s">
        <v>6685</v>
      </c>
      <c r="E1383" s="3" t="s">
        <v>42</v>
      </c>
      <c r="F1383" s="3" t="s">
        <v>2101</v>
      </c>
      <c r="G1383" s="3" t="s">
        <v>1688</v>
      </c>
      <c r="H1383" s="3" t="s">
        <v>581</v>
      </c>
      <c r="I1383" s="3">
        <v>8</v>
      </c>
      <c r="J1383" s="3" t="s">
        <v>22</v>
      </c>
      <c r="K1383" s="3" t="s">
        <v>122</v>
      </c>
      <c r="L1383" s="3" t="s">
        <v>123</v>
      </c>
      <c r="M1383" s="3" t="s">
        <v>2526</v>
      </c>
      <c r="N1383" s="3" t="s">
        <v>136</v>
      </c>
      <c r="O1383" s="3" t="s">
        <v>28</v>
      </c>
      <c r="P1383" s="3" t="s">
        <v>137</v>
      </c>
      <c r="Q1383" s="3" t="s">
        <v>355</v>
      </c>
      <c r="R1383" s="3">
        <v>1</v>
      </c>
      <c r="S1383" s="3">
        <v>10646</v>
      </c>
      <c r="T1383" s="3">
        <v>15</v>
      </c>
      <c r="U1383" s="3">
        <v>9049.1</v>
      </c>
      <c r="V1383" s="3">
        <v>4590.17</v>
      </c>
      <c r="W1383" s="3">
        <v>4458.93</v>
      </c>
      <c r="X1383" s="3">
        <v>49.27</v>
      </c>
      <c r="Y1383" s="3">
        <v>99</v>
      </c>
      <c r="Z1383" s="3" t="s">
        <v>47</v>
      </c>
      <c r="AA1383" s="3" t="s">
        <v>186</v>
      </c>
      <c r="AB1383" s="3" t="s">
        <v>101</v>
      </c>
      <c r="AC1383" s="3"/>
    </row>
    <row r="1384" spans="1:29" x14ac:dyDescent="0.3">
      <c r="A1384" s="2" t="s">
        <v>6686</v>
      </c>
      <c r="B1384" s="2" t="s">
        <v>6687</v>
      </c>
      <c r="C1384" s="2" t="s">
        <v>422</v>
      </c>
      <c r="D1384" s="2" t="s">
        <v>6688</v>
      </c>
      <c r="E1384" s="2" t="s">
        <v>26</v>
      </c>
      <c r="F1384" s="2" t="s">
        <v>2181</v>
      </c>
      <c r="G1384" s="2" t="s">
        <v>761</v>
      </c>
      <c r="H1384" s="2" t="s">
        <v>2893</v>
      </c>
      <c r="I1384" s="2">
        <v>7</v>
      </c>
      <c r="J1384" s="2" t="s">
        <v>39</v>
      </c>
      <c r="K1384" s="2" t="s">
        <v>193</v>
      </c>
      <c r="L1384" s="2" t="s">
        <v>193</v>
      </c>
      <c r="M1384" s="2" t="s">
        <v>6689</v>
      </c>
      <c r="N1384" s="2" t="s">
        <v>765</v>
      </c>
      <c r="O1384" s="2" t="s">
        <v>27</v>
      </c>
      <c r="P1384" s="2" t="s">
        <v>113</v>
      </c>
      <c r="Q1384" s="2" t="s">
        <v>246</v>
      </c>
      <c r="R1384" s="2">
        <v>4</v>
      </c>
      <c r="S1384" s="2">
        <v>4774.55</v>
      </c>
      <c r="T1384" s="2">
        <v>10</v>
      </c>
      <c r="U1384" s="2">
        <v>17188.38</v>
      </c>
      <c r="V1384" s="2">
        <v>8010.27</v>
      </c>
      <c r="W1384" s="2">
        <v>9178.11</v>
      </c>
      <c r="X1384" s="2">
        <v>53.4</v>
      </c>
      <c r="Y1384" s="2">
        <v>149</v>
      </c>
      <c r="Z1384" s="2" t="s">
        <v>48</v>
      </c>
      <c r="AA1384" s="2" t="s">
        <v>100</v>
      </c>
      <c r="AB1384" s="2" t="s">
        <v>101</v>
      </c>
      <c r="AC1384" s="2">
        <v>3</v>
      </c>
    </row>
    <row r="1385" spans="1:29" x14ac:dyDescent="0.3">
      <c r="A1385" s="3" t="s">
        <v>6690</v>
      </c>
      <c r="B1385" s="3" t="s">
        <v>6691</v>
      </c>
      <c r="C1385" s="3" t="s">
        <v>571</v>
      </c>
      <c r="D1385" s="3" t="s">
        <v>6692</v>
      </c>
      <c r="E1385" s="3" t="s">
        <v>33</v>
      </c>
      <c r="F1385" s="3" t="s">
        <v>2387</v>
      </c>
      <c r="G1385" s="3" t="s">
        <v>1996</v>
      </c>
      <c r="H1385" s="3" t="s">
        <v>3877</v>
      </c>
      <c r="I1385" s="3">
        <v>5</v>
      </c>
      <c r="J1385" s="3" t="s">
        <v>29</v>
      </c>
      <c r="K1385" s="3" t="s">
        <v>160</v>
      </c>
      <c r="L1385" s="3" t="s">
        <v>161</v>
      </c>
      <c r="M1385" s="3" t="s">
        <v>3699</v>
      </c>
      <c r="N1385" s="3" t="s">
        <v>390</v>
      </c>
      <c r="O1385" s="3" t="s">
        <v>19</v>
      </c>
      <c r="P1385" s="3" t="s">
        <v>297</v>
      </c>
      <c r="Q1385" s="3" t="s">
        <v>466</v>
      </c>
      <c r="R1385" s="3">
        <v>5</v>
      </c>
      <c r="S1385" s="3">
        <v>40031.31</v>
      </c>
      <c r="T1385" s="3">
        <v>25</v>
      </c>
      <c r="U1385" s="3">
        <v>150117.41</v>
      </c>
      <c r="V1385" s="3">
        <v>103502.03</v>
      </c>
      <c r="W1385" s="3">
        <v>46615.38</v>
      </c>
      <c r="X1385" s="3">
        <v>31.05</v>
      </c>
      <c r="Y1385" s="3">
        <v>149</v>
      </c>
      <c r="Z1385" s="3" t="s">
        <v>47</v>
      </c>
      <c r="AA1385" s="3" t="s">
        <v>100</v>
      </c>
      <c r="AB1385" s="3" t="s">
        <v>101</v>
      </c>
      <c r="AC1385" s="3">
        <v>2</v>
      </c>
    </row>
    <row r="1386" spans="1:29" x14ac:dyDescent="0.3">
      <c r="A1386" s="2" t="s">
        <v>6693</v>
      </c>
      <c r="B1386" s="2" t="s">
        <v>6694</v>
      </c>
      <c r="C1386" s="2" t="s">
        <v>348</v>
      </c>
      <c r="D1386" s="2" t="s">
        <v>6695</v>
      </c>
      <c r="E1386" s="2" t="s">
        <v>18</v>
      </c>
      <c r="F1386" s="2" t="s">
        <v>955</v>
      </c>
      <c r="G1386" s="2" t="s">
        <v>3399</v>
      </c>
      <c r="H1386" s="2" t="s">
        <v>6696</v>
      </c>
      <c r="I1386" s="2">
        <v>2</v>
      </c>
      <c r="J1386" s="2" t="s">
        <v>39</v>
      </c>
      <c r="K1386" s="2" t="s">
        <v>193</v>
      </c>
      <c r="L1386" s="2" t="s">
        <v>193</v>
      </c>
      <c r="M1386" s="2" t="s">
        <v>5345</v>
      </c>
      <c r="N1386" s="2" t="s">
        <v>374</v>
      </c>
      <c r="O1386" s="2" t="s">
        <v>21</v>
      </c>
      <c r="P1386" s="2" t="s">
        <v>196</v>
      </c>
      <c r="Q1386" s="2" t="s">
        <v>127</v>
      </c>
      <c r="R1386" s="2">
        <v>3</v>
      </c>
      <c r="S1386" s="2">
        <v>516.66999999999996</v>
      </c>
      <c r="T1386" s="2">
        <v>10</v>
      </c>
      <c r="U1386" s="2">
        <v>1395.01</v>
      </c>
      <c r="V1386" s="2">
        <v>816.74</v>
      </c>
      <c r="W1386" s="2">
        <v>578.27</v>
      </c>
      <c r="X1386" s="2">
        <v>41.45</v>
      </c>
      <c r="Y1386" s="2">
        <v>199</v>
      </c>
      <c r="Z1386" s="2" t="s">
        <v>30</v>
      </c>
      <c r="AA1386" s="2" t="s">
        <v>100</v>
      </c>
      <c r="AB1386" s="2" t="s">
        <v>101</v>
      </c>
      <c r="AC1386" s="2">
        <v>3</v>
      </c>
    </row>
    <row r="1387" spans="1:29" x14ac:dyDescent="0.3">
      <c r="A1387" s="3" t="s">
        <v>6697</v>
      </c>
      <c r="B1387" s="3" t="s">
        <v>6698</v>
      </c>
      <c r="C1387" s="3" t="s">
        <v>4068</v>
      </c>
      <c r="D1387" s="3" t="s">
        <v>6699</v>
      </c>
      <c r="E1387" s="3" t="s">
        <v>42</v>
      </c>
      <c r="F1387" s="3" t="s">
        <v>1548</v>
      </c>
      <c r="G1387" s="3" t="s">
        <v>4711</v>
      </c>
      <c r="H1387" s="3" t="s">
        <v>1702</v>
      </c>
      <c r="I1387" s="3">
        <v>3</v>
      </c>
      <c r="J1387" s="3" t="s">
        <v>14</v>
      </c>
      <c r="K1387" s="3" t="s">
        <v>215</v>
      </c>
      <c r="L1387" s="3" t="s">
        <v>215</v>
      </c>
      <c r="M1387" s="3" t="s">
        <v>3990</v>
      </c>
      <c r="N1387" s="3" t="s">
        <v>112</v>
      </c>
      <c r="O1387" s="3" t="s">
        <v>27</v>
      </c>
      <c r="P1387" s="3" t="s">
        <v>113</v>
      </c>
      <c r="Q1387" s="3" t="s">
        <v>207</v>
      </c>
      <c r="R1387" s="3">
        <v>5</v>
      </c>
      <c r="S1387" s="3">
        <v>37275.32</v>
      </c>
      <c r="T1387" s="3">
        <v>5</v>
      </c>
      <c r="U1387" s="3">
        <v>177057.77</v>
      </c>
      <c r="V1387" s="3">
        <v>113288.5</v>
      </c>
      <c r="W1387" s="3">
        <v>63769.27</v>
      </c>
      <c r="X1387" s="3">
        <v>36.020000000000003</v>
      </c>
      <c r="Y1387" s="3">
        <v>99</v>
      </c>
      <c r="Z1387" s="3" t="s">
        <v>43</v>
      </c>
      <c r="AA1387" s="3" t="s">
        <v>100</v>
      </c>
      <c r="AB1387" s="3" t="s">
        <v>101</v>
      </c>
      <c r="AC1387" s="3">
        <v>5</v>
      </c>
    </row>
    <row r="1388" spans="1:29" x14ac:dyDescent="0.3">
      <c r="A1388" s="2" t="s">
        <v>6700</v>
      </c>
      <c r="B1388" s="2" t="s">
        <v>6701</v>
      </c>
      <c r="C1388" s="2" t="s">
        <v>4617</v>
      </c>
      <c r="D1388" s="2" t="s">
        <v>6702</v>
      </c>
      <c r="E1388" s="2" t="s">
        <v>33</v>
      </c>
      <c r="F1388" s="2" t="s">
        <v>2684</v>
      </c>
      <c r="G1388" s="2" t="s">
        <v>1063</v>
      </c>
      <c r="H1388" s="2" t="s">
        <v>3394</v>
      </c>
      <c r="I1388" s="2">
        <v>6</v>
      </c>
      <c r="J1388" s="2" t="s">
        <v>29</v>
      </c>
      <c r="K1388" s="2" t="s">
        <v>160</v>
      </c>
      <c r="L1388" s="2" t="s">
        <v>976</v>
      </c>
      <c r="M1388" s="2" t="s">
        <v>6271</v>
      </c>
      <c r="N1388" s="2" t="s">
        <v>639</v>
      </c>
      <c r="O1388" s="2" t="s">
        <v>27</v>
      </c>
      <c r="P1388" s="2" t="s">
        <v>175</v>
      </c>
      <c r="Q1388" s="2" t="s">
        <v>466</v>
      </c>
      <c r="R1388" s="2">
        <v>3</v>
      </c>
      <c r="S1388" s="2">
        <v>3430.67</v>
      </c>
      <c r="T1388" s="2">
        <v>25</v>
      </c>
      <c r="U1388" s="2">
        <v>7719.01</v>
      </c>
      <c r="V1388" s="2">
        <v>3731.42</v>
      </c>
      <c r="W1388" s="2">
        <v>3987.59</v>
      </c>
      <c r="X1388" s="2">
        <v>51.66</v>
      </c>
      <c r="Y1388" s="2">
        <v>99</v>
      </c>
      <c r="Z1388" s="2" t="s">
        <v>43</v>
      </c>
      <c r="AA1388" s="2" t="s">
        <v>186</v>
      </c>
      <c r="AB1388" s="2" t="s">
        <v>101</v>
      </c>
      <c r="AC1388" s="2"/>
    </row>
    <row r="1389" spans="1:29" x14ac:dyDescent="0.3">
      <c r="A1389" s="3" t="s">
        <v>6703</v>
      </c>
      <c r="B1389" s="3" t="s">
        <v>6704</v>
      </c>
      <c r="C1389" s="3" t="s">
        <v>666</v>
      </c>
      <c r="D1389" s="3" t="s">
        <v>6705</v>
      </c>
      <c r="E1389" s="3" t="s">
        <v>26</v>
      </c>
      <c r="F1389" s="3" t="s">
        <v>1563</v>
      </c>
      <c r="G1389" s="3" t="s">
        <v>5360</v>
      </c>
      <c r="H1389" s="3" t="s">
        <v>801</v>
      </c>
      <c r="I1389" s="3">
        <v>5</v>
      </c>
      <c r="J1389" s="3" t="s">
        <v>14</v>
      </c>
      <c r="K1389" s="3" t="s">
        <v>95</v>
      </c>
      <c r="L1389" s="3" t="s">
        <v>95</v>
      </c>
      <c r="M1389" s="3" t="s">
        <v>6706</v>
      </c>
      <c r="N1389" s="3" t="s">
        <v>722</v>
      </c>
      <c r="O1389" s="3" t="s">
        <v>27</v>
      </c>
      <c r="P1389" s="3" t="s">
        <v>175</v>
      </c>
      <c r="Q1389" s="3" t="s">
        <v>138</v>
      </c>
      <c r="R1389" s="3">
        <v>2</v>
      </c>
      <c r="S1389" s="3">
        <v>21106.68</v>
      </c>
      <c r="T1389" s="3">
        <v>30</v>
      </c>
      <c r="U1389" s="3">
        <v>29549.35</v>
      </c>
      <c r="V1389" s="3">
        <v>19315.810000000001</v>
      </c>
      <c r="W1389" s="3">
        <v>10233.540000000001</v>
      </c>
      <c r="X1389" s="3">
        <v>34.630000000000003</v>
      </c>
      <c r="Y1389" s="3">
        <v>29</v>
      </c>
      <c r="Z1389" s="3" t="s">
        <v>23</v>
      </c>
      <c r="AA1389" s="3" t="s">
        <v>186</v>
      </c>
      <c r="AB1389" s="3" t="s">
        <v>101</v>
      </c>
      <c r="AC1389" s="3"/>
    </row>
    <row r="1390" spans="1:29" x14ac:dyDescent="0.3">
      <c r="A1390" s="2" t="s">
        <v>6707</v>
      </c>
      <c r="B1390" s="2" t="s">
        <v>535</v>
      </c>
      <c r="C1390" s="2" t="s">
        <v>918</v>
      </c>
      <c r="D1390" s="2" t="s">
        <v>6708</v>
      </c>
      <c r="E1390" s="2" t="s">
        <v>33</v>
      </c>
      <c r="F1390" s="2" t="s">
        <v>3877</v>
      </c>
      <c r="G1390" s="2" t="s">
        <v>1306</v>
      </c>
      <c r="H1390" s="2" t="s">
        <v>190</v>
      </c>
      <c r="I1390" s="2">
        <v>8</v>
      </c>
      <c r="J1390" s="2" t="s">
        <v>14</v>
      </c>
      <c r="K1390" s="2" t="s">
        <v>95</v>
      </c>
      <c r="L1390" s="2" t="s">
        <v>95</v>
      </c>
      <c r="M1390" s="2" t="s">
        <v>6709</v>
      </c>
      <c r="N1390" s="2" t="s">
        <v>805</v>
      </c>
      <c r="O1390" s="2" t="s">
        <v>28</v>
      </c>
      <c r="P1390" s="2" t="s">
        <v>151</v>
      </c>
      <c r="Q1390" s="2" t="s">
        <v>287</v>
      </c>
      <c r="R1390" s="2">
        <v>1</v>
      </c>
      <c r="S1390" s="2">
        <v>49889.53</v>
      </c>
      <c r="T1390" s="2">
        <v>15</v>
      </c>
      <c r="U1390" s="2">
        <v>42406.1</v>
      </c>
      <c r="V1390" s="2">
        <v>19850.330000000002</v>
      </c>
      <c r="W1390" s="2">
        <v>22555.77</v>
      </c>
      <c r="X1390" s="2">
        <v>53.19</v>
      </c>
      <c r="Y1390" s="2">
        <v>199</v>
      </c>
      <c r="Z1390" s="2" t="s">
        <v>47</v>
      </c>
      <c r="AA1390" s="2" t="s">
        <v>186</v>
      </c>
      <c r="AB1390" s="2" t="s">
        <v>101</v>
      </c>
      <c r="AC1390" s="2"/>
    </row>
    <row r="1391" spans="1:29" x14ac:dyDescent="0.3">
      <c r="A1391" s="3" t="s">
        <v>6710</v>
      </c>
      <c r="B1391" s="3" t="s">
        <v>6711</v>
      </c>
      <c r="C1391" s="3" t="s">
        <v>1737</v>
      </c>
      <c r="D1391" s="3" t="s">
        <v>5065</v>
      </c>
      <c r="E1391" s="3" t="s">
        <v>33</v>
      </c>
      <c r="F1391" s="3" t="s">
        <v>2259</v>
      </c>
      <c r="G1391" s="3" t="s">
        <v>6712</v>
      </c>
      <c r="H1391" s="3" t="s">
        <v>524</v>
      </c>
      <c r="I1391" s="3">
        <v>7</v>
      </c>
      <c r="J1391" s="3" t="s">
        <v>22</v>
      </c>
      <c r="K1391" s="3" t="s">
        <v>738</v>
      </c>
      <c r="L1391" s="3" t="s">
        <v>738</v>
      </c>
      <c r="M1391" s="3" t="s">
        <v>5287</v>
      </c>
      <c r="N1391" s="3" t="s">
        <v>227</v>
      </c>
      <c r="O1391" s="3" t="s">
        <v>13</v>
      </c>
      <c r="P1391" s="3" t="s">
        <v>228</v>
      </c>
      <c r="Q1391" s="3" t="s">
        <v>466</v>
      </c>
      <c r="R1391" s="3">
        <v>1</v>
      </c>
      <c r="S1391" s="3">
        <v>20071.849999999999</v>
      </c>
      <c r="T1391" s="3">
        <v>15</v>
      </c>
      <c r="U1391" s="3">
        <v>17061.07</v>
      </c>
      <c r="V1391" s="3">
        <v>11565.61</v>
      </c>
      <c r="W1391" s="3">
        <v>5495.46</v>
      </c>
      <c r="X1391" s="3">
        <v>32.21</v>
      </c>
      <c r="Y1391" s="3">
        <v>0</v>
      </c>
      <c r="Z1391" s="3" t="s">
        <v>47</v>
      </c>
      <c r="AA1391" s="3" t="s">
        <v>275</v>
      </c>
      <c r="AB1391" s="3" t="s">
        <v>101</v>
      </c>
      <c r="AC1391" s="3"/>
    </row>
    <row r="1392" spans="1:29" x14ac:dyDescent="0.3">
      <c r="A1392" s="2" t="s">
        <v>6713</v>
      </c>
      <c r="B1392" s="2" t="s">
        <v>6714</v>
      </c>
      <c r="C1392" s="2" t="s">
        <v>2729</v>
      </c>
      <c r="D1392" s="2" t="s">
        <v>6715</v>
      </c>
      <c r="E1392" s="2" t="s">
        <v>26</v>
      </c>
      <c r="F1392" s="2" t="s">
        <v>1496</v>
      </c>
      <c r="G1392" s="2" t="s">
        <v>1632</v>
      </c>
      <c r="H1392" s="2" t="s">
        <v>1345</v>
      </c>
      <c r="I1392" s="2">
        <v>8</v>
      </c>
      <c r="J1392" s="2" t="s">
        <v>22</v>
      </c>
      <c r="K1392" s="2" t="s">
        <v>122</v>
      </c>
      <c r="L1392" s="2" t="s">
        <v>812</v>
      </c>
      <c r="M1392" s="2" t="s">
        <v>6716</v>
      </c>
      <c r="N1392" s="2" t="s">
        <v>616</v>
      </c>
      <c r="O1392" s="2" t="s">
        <v>21</v>
      </c>
      <c r="P1392" s="2" t="s">
        <v>206</v>
      </c>
      <c r="Q1392" s="2" t="s">
        <v>355</v>
      </c>
      <c r="R1392" s="2">
        <v>5</v>
      </c>
      <c r="S1392" s="2">
        <v>757.84</v>
      </c>
      <c r="T1392" s="2">
        <v>20</v>
      </c>
      <c r="U1392" s="2">
        <v>3031.36</v>
      </c>
      <c r="V1392" s="2">
        <v>1418.47</v>
      </c>
      <c r="W1392" s="2">
        <v>1612.89</v>
      </c>
      <c r="X1392" s="2">
        <v>53.21</v>
      </c>
      <c r="Y1392" s="2">
        <v>99</v>
      </c>
      <c r="Z1392" s="2" t="s">
        <v>23</v>
      </c>
      <c r="AA1392" s="2" t="s">
        <v>186</v>
      </c>
      <c r="AB1392" s="2" t="s">
        <v>101</v>
      </c>
      <c r="AC1392" s="2"/>
    </row>
    <row r="1393" spans="1:29" x14ac:dyDescent="0.3">
      <c r="A1393" s="3" t="s">
        <v>6717</v>
      </c>
      <c r="B1393" s="3" t="s">
        <v>6718</v>
      </c>
      <c r="C1393" s="3" t="s">
        <v>478</v>
      </c>
      <c r="D1393" s="3" t="s">
        <v>6719</v>
      </c>
      <c r="E1393" s="3" t="s">
        <v>26</v>
      </c>
      <c r="F1393" s="3" t="s">
        <v>2327</v>
      </c>
      <c r="G1393" s="3" t="s">
        <v>770</v>
      </c>
      <c r="H1393" s="3" t="s">
        <v>4808</v>
      </c>
      <c r="I1393" s="3">
        <v>4</v>
      </c>
      <c r="J1393" s="3" t="s">
        <v>29</v>
      </c>
      <c r="K1393" s="3" t="s">
        <v>160</v>
      </c>
      <c r="L1393" s="3" t="s">
        <v>559</v>
      </c>
      <c r="M1393" s="3" t="s">
        <v>6720</v>
      </c>
      <c r="N1393" s="3" t="s">
        <v>409</v>
      </c>
      <c r="O1393" s="3" t="s">
        <v>21</v>
      </c>
      <c r="P1393" s="3" t="s">
        <v>196</v>
      </c>
      <c r="Q1393" s="3" t="s">
        <v>138</v>
      </c>
      <c r="R1393" s="3">
        <v>2</v>
      </c>
      <c r="S1393" s="3">
        <v>47740.07</v>
      </c>
      <c r="T1393" s="3">
        <v>25</v>
      </c>
      <c r="U1393" s="3">
        <v>71610.100000000006</v>
      </c>
      <c r="V1393" s="3">
        <v>39732.36</v>
      </c>
      <c r="W1393" s="3">
        <v>31877.74</v>
      </c>
      <c r="X1393" s="3">
        <v>44.52</v>
      </c>
      <c r="Y1393" s="3">
        <v>29</v>
      </c>
      <c r="Z1393" s="3" t="s">
        <v>47</v>
      </c>
      <c r="AA1393" s="3" t="s">
        <v>275</v>
      </c>
      <c r="AB1393" s="3" t="s">
        <v>101</v>
      </c>
      <c r="AC1393" s="3"/>
    </row>
    <row r="1394" spans="1:29" x14ac:dyDescent="0.3">
      <c r="A1394" s="2" t="s">
        <v>6721</v>
      </c>
      <c r="B1394" s="2" t="s">
        <v>6722</v>
      </c>
      <c r="C1394" s="2" t="s">
        <v>545</v>
      </c>
      <c r="D1394" s="2" t="s">
        <v>6723</v>
      </c>
      <c r="E1394" s="2" t="s">
        <v>33</v>
      </c>
      <c r="F1394" s="2" t="s">
        <v>4863</v>
      </c>
      <c r="G1394" s="2" t="s">
        <v>121</v>
      </c>
      <c r="H1394" s="2" t="s">
        <v>4453</v>
      </c>
      <c r="I1394" s="2">
        <v>7</v>
      </c>
      <c r="J1394" s="2" t="s">
        <v>14</v>
      </c>
      <c r="K1394" s="2" t="s">
        <v>215</v>
      </c>
      <c r="L1394" s="2" t="s">
        <v>215</v>
      </c>
      <c r="M1394" s="2" t="s">
        <v>5324</v>
      </c>
      <c r="N1394" s="2" t="s">
        <v>97</v>
      </c>
      <c r="O1394" s="2" t="s">
        <v>13</v>
      </c>
      <c r="P1394" s="2" t="s">
        <v>98</v>
      </c>
      <c r="Q1394" s="2" t="s">
        <v>127</v>
      </c>
      <c r="R1394" s="2">
        <v>1</v>
      </c>
      <c r="S1394" s="2">
        <v>39877.9</v>
      </c>
      <c r="T1394" s="2">
        <v>5</v>
      </c>
      <c r="U1394" s="2">
        <v>37884</v>
      </c>
      <c r="V1394" s="2">
        <v>24168.9</v>
      </c>
      <c r="W1394" s="2">
        <v>13715.1</v>
      </c>
      <c r="X1394" s="2">
        <v>36.200000000000003</v>
      </c>
      <c r="Y1394" s="2">
        <v>99</v>
      </c>
      <c r="Z1394" s="2" t="s">
        <v>47</v>
      </c>
      <c r="AA1394" s="2" t="s">
        <v>100</v>
      </c>
      <c r="AB1394" s="2" t="s">
        <v>101</v>
      </c>
      <c r="AC1394" s="2">
        <v>3</v>
      </c>
    </row>
    <row r="1395" spans="1:29" x14ac:dyDescent="0.3">
      <c r="A1395" s="3" t="s">
        <v>6724</v>
      </c>
      <c r="B1395" s="3" t="s">
        <v>3095</v>
      </c>
      <c r="C1395" s="3" t="s">
        <v>459</v>
      </c>
      <c r="D1395" s="3" t="s">
        <v>6725</v>
      </c>
      <c r="E1395" s="3" t="s">
        <v>26</v>
      </c>
      <c r="F1395" s="3" t="s">
        <v>1197</v>
      </c>
      <c r="G1395" s="3" t="s">
        <v>1198</v>
      </c>
      <c r="H1395" s="3" t="s">
        <v>1328</v>
      </c>
      <c r="I1395" s="3">
        <v>5</v>
      </c>
      <c r="J1395" s="3" t="s">
        <v>39</v>
      </c>
      <c r="K1395" s="3" t="s">
        <v>193</v>
      </c>
      <c r="L1395" s="3" t="s">
        <v>193</v>
      </c>
      <c r="M1395" s="3" t="s">
        <v>6726</v>
      </c>
      <c r="N1395" s="3" t="s">
        <v>508</v>
      </c>
      <c r="O1395" s="3" t="s">
        <v>19</v>
      </c>
      <c r="P1395" s="3" t="s">
        <v>365</v>
      </c>
      <c r="Q1395" s="3" t="s">
        <v>608</v>
      </c>
      <c r="R1395" s="3">
        <v>5</v>
      </c>
      <c r="S1395" s="3">
        <v>24796.82</v>
      </c>
      <c r="T1395" s="3">
        <v>10</v>
      </c>
      <c r="U1395" s="3">
        <v>111585.69</v>
      </c>
      <c r="V1395" s="3">
        <v>73544.75</v>
      </c>
      <c r="W1395" s="3">
        <v>38040.94</v>
      </c>
      <c r="X1395" s="3">
        <v>34.090000000000003</v>
      </c>
      <c r="Y1395" s="3">
        <v>49</v>
      </c>
      <c r="Z1395" s="3" t="s">
        <v>40</v>
      </c>
      <c r="AA1395" s="3" t="s">
        <v>100</v>
      </c>
      <c r="AB1395" s="3" t="s">
        <v>101</v>
      </c>
      <c r="AC1395" s="3">
        <v>4</v>
      </c>
    </row>
    <row r="1396" spans="1:29" x14ac:dyDescent="0.3">
      <c r="A1396" s="2" t="s">
        <v>6727</v>
      </c>
      <c r="B1396" s="2" t="s">
        <v>6728</v>
      </c>
      <c r="C1396" s="2" t="s">
        <v>768</v>
      </c>
      <c r="D1396" s="2" t="s">
        <v>6729</v>
      </c>
      <c r="E1396" s="2" t="s">
        <v>18</v>
      </c>
      <c r="F1396" s="2" t="s">
        <v>1384</v>
      </c>
      <c r="G1396" s="2" t="s">
        <v>4961</v>
      </c>
      <c r="H1396" s="2" t="s">
        <v>1950</v>
      </c>
      <c r="I1396" s="2">
        <v>5</v>
      </c>
      <c r="J1396" s="2" t="s">
        <v>29</v>
      </c>
      <c r="K1396" s="2" t="s">
        <v>334</v>
      </c>
      <c r="L1396" s="2" t="s">
        <v>335</v>
      </c>
      <c r="M1396" s="2" t="s">
        <v>6730</v>
      </c>
      <c r="N1396" s="2" t="s">
        <v>1802</v>
      </c>
      <c r="O1396" s="2" t="s">
        <v>28</v>
      </c>
      <c r="P1396" s="2" t="s">
        <v>137</v>
      </c>
      <c r="Q1396" s="2" t="s">
        <v>246</v>
      </c>
      <c r="R1396" s="2">
        <v>3</v>
      </c>
      <c r="S1396" s="2">
        <v>8350.68</v>
      </c>
      <c r="T1396" s="2">
        <v>10</v>
      </c>
      <c r="U1396" s="2">
        <v>22546.84</v>
      </c>
      <c r="V1396" s="2">
        <v>14181.16</v>
      </c>
      <c r="W1396" s="2">
        <v>8365.68</v>
      </c>
      <c r="X1396" s="2">
        <v>37.1</v>
      </c>
      <c r="Y1396" s="2">
        <v>0</v>
      </c>
      <c r="Z1396" s="2" t="s">
        <v>23</v>
      </c>
      <c r="AA1396" s="2" t="s">
        <v>100</v>
      </c>
      <c r="AB1396" s="2" t="s">
        <v>101</v>
      </c>
      <c r="AC1396" s="2"/>
    </row>
    <row r="1397" spans="1:29" x14ac:dyDescent="0.3">
      <c r="A1397" s="3" t="s">
        <v>6731</v>
      </c>
      <c r="B1397" s="3" t="s">
        <v>6732</v>
      </c>
      <c r="C1397" s="3" t="s">
        <v>934</v>
      </c>
      <c r="D1397" s="3" t="s">
        <v>6733</v>
      </c>
      <c r="E1397" s="3" t="s">
        <v>33</v>
      </c>
      <c r="F1397" s="3" t="s">
        <v>3074</v>
      </c>
      <c r="G1397" s="3" t="s">
        <v>2489</v>
      </c>
      <c r="H1397" s="3" t="s">
        <v>1140</v>
      </c>
      <c r="I1397" s="3">
        <v>7</v>
      </c>
      <c r="J1397" s="3" t="s">
        <v>29</v>
      </c>
      <c r="K1397" s="3" t="s">
        <v>427</v>
      </c>
      <c r="L1397" s="3" t="s">
        <v>428</v>
      </c>
      <c r="M1397" s="3" t="s">
        <v>6631</v>
      </c>
      <c r="N1397" s="3" t="s">
        <v>97</v>
      </c>
      <c r="O1397" s="3" t="s">
        <v>13</v>
      </c>
      <c r="P1397" s="3" t="s">
        <v>98</v>
      </c>
      <c r="Q1397" s="3" t="s">
        <v>152</v>
      </c>
      <c r="R1397" s="3">
        <v>5</v>
      </c>
      <c r="S1397" s="3">
        <v>30951.87</v>
      </c>
      <c r="T1397" s="3">
        <v>15</v>
      </c>
      <c r="U1397" s="3">
        <v>131545.45000000001</v>
      </c>
      <c r="V1397" s="3">
        <v>71542.06</v>
      </c>
      <c r="W1397" s="3">
        <v>60003.39</v>
      </c>
      <c r="X1397" s="3">
        <v>45.61</v>
      </c>
      <c r="Y1397" s="3">
        <v>49</v>
      </c>
      <c r="Z1397" s="3" t="s">
        <v>43</v>
      </c>
      <c r="AA1397" s="3" t="s">
        <v>186</v>
      </c>
      <c r="AB1397" s="3" t="s">
        <v>101</v>
      </c>
      <c r="AC1397" s="3"/>
    </row>
    <row r="1398" spans="1:29" x14ac:dyDescent="0.3">
      <c r="A1398" s="2" t="s">
        <v>6734</v>
      </c>
      <c r="B1398" s="2" t="s">
        <v>6735</v>
      </c>
      <c r="C1398" s="2" t="s">
        <v>104</v>
      </c>
      <c r="D1398" s="2" t="s">
        <v>6736</v>
      </c>
      <c r="E1398" s="2" t="s">
        <v>18</v>
      </c>
      <c r="F1398" s="2" t="s">
        <v>1661</v>
      </c>
      <c r="G1398" s="2" t="s">
        <v>4503</v>
      </c>
      <c r="H1398" s="2" t="s">
        <v>899</v>
      </c>
      <c r="I1398" s="2">
        <v>3</v>
      </c>
      <c r="J1398" s="2" t="s">
        <v>22</v>
      </c>
      <c r="K1398" s="2" t="s">
        <v>122</v>
      </c>
      <c r="L1398" s="2" t="s">
        <v>812</v>
      </c>
      <c r="M1398" s="2" t="s">
        <v>6737</v>
      </c>
      <c r="N1398" s="2" t="s">
        <v>852</v>
      </c>
      <c r="O1398" s="2" t="s">
        <v>27</v>
      </c>
      <c r="P1398" s="2" t="s">
        <v>175</v>
      </c>
      <c r="Q1398" s="2" t="s">
        <v>246</v>
      </c>
      <c r="R1398" s="2">
        <v>1</v>
      </c>
      <c r="S1398" s="2">
        <v>14975.57</v>
      </c>
      <c r="T1398" s="2">
        <v>20</v>
      </c>
      <c r="U1398" s="2">
        <v>11980.46</v>
      </c>
      <c r="V1398" s="2">
        <v>5846.55</v>
      </c>
      <c r="W1398" s="2">
        <v>6133.91</v>
      </c>
      <c r="X1398" s="2">
        <v>51.2</v>
      </c>
      <c r="Y1398" s="2">
        <v>0</v>
      </c>
      <c r="Z1398" s="2" t="s">
        <v>23</v>
      </c>
      <c r="AA1398" s="2" t="s">
        <v>672</v>
      </c>
      <c r="AB1398" s="2" t="s">
        <v>101</v>
      </c>
      <c r="AC1398" s="2"/>
    </row>
    <row r="1399" spans="1:29" x14ac:dyDescent="0.3">
      <c r="A1399" s="3" t="s">
        <v>6738</v>
      </c>
      <c r="B1399" s="3" t="s">
        <v>6739</v>
      </c>
      <c r="C1399" s="3" t="s">
        <v>1955</v>
      </c>
      <c r="D1399" s="3" t="s">
        <v>6740</v>
      </c>
      <c r="E1399" s="3" t="s">
        <v>42</v>
      </c>
      <c r="F1399" s="3" t="s">
        <v>3042</v>
      </c>
      <c r="G1399" s="3" t="s">
        <v>662</v>
      </c>
      <c r="H1399" s="3" t="s">
        <v>3660</v>
      </c>
      <c r="I1399" s="3">
        <v>2</v>
      </c>
      <c r="J1399" s="3" t="s">
        <v>39</v>
      </c>
      <c r="K1399" s="3" t="s">
        <v>314</v>
      </c>
      <c r="L1399" s="3" t="s">
        <v>314</v>
      </c>
      <c r="M1399" s="3" t="s">
        <v>3028</v>
      </c>
      <c r="N1399" s="3" t="s">
        <v>740</v>
      </c>
      <c r="O1399" s="3" t="s">
        <v>21</v>
      </c>
      <c r="P1399" s="3" t="s">
        <v>126</v>
      </c>
      <c r="Q1399" s="3" t="s">
        <v>287</v>
      </c>
      <c r="R1399" s="3">
        <v>3</v>
      </c>
      <c r="S1399" s="3">
        <v>46348.05</v>
      </c>
      <c r="T1399" s="3">
        <v>30</v>
      </c>
      <c r="U1399" s="3">
        <v>97330.91</v>
      </c>
      <c r="V1399" s="3">
        <v>45527.38</v>
      </c>
      <c r="W1399" s="3">
        <v>51803.53</v>
      </c>
      <c r="X1399" s="3">
        <v>53.22</v>
      </c>
      <c r="Y1399" s="3">
        <v>99</v>
      </c>
      <c r="Z1399" s="3" t="s">
        <v>43</v>
      </c>
      <c r="AA1399" s="3" t="s">
        <v>100</v>
      </c>
      <c r="AB1399" s="3" t="s">
        <v>101</v>
      </c>
      <c r="AC1399" s="3">
        <v>4</v>
      </c>
    </row>
    <row r="1400" spans="1:29" x14ac:dyDescent="0.3">
      <c r="A1400" s="2" t="s">
        <v>6741</v>
      </c>
      <c r="B1400" s="2" t="s">
        <v>6742</v>
      </c>
      <c r="C1400" s="2" t="s">
        <v>1433</v>
      </c>
      <c r="D1400" s="2" t="s">
        <v>6743</v>
      </c>
      <c r="E1400" s="2" t="s">
        <v>33</v>
      </c>
      <c r="F1400" s="2" t="s">
        <v>874</v>
      </c>
      <c r="G1400" s="2" t="s">
        <v>1868</v>
      </c>
      <c r="H1400" s="2" t="s">
        <v>395</v>
      </c>
      <c r="I1400" s="2">
        <v>3</v>
      </c>
      <c r="J1400" s="2" t="s">
        <v>29</v>
      </c>
      <c r="K1400" s="2" t="s">
        <v>834</v>
      </c>
      <c r="L1400" s="2" t="s">
        <v>835</v>
      </c>
      <c r="M1400" s="2" t="s">
        <v>6290</v>
      </c>
      <c r="N1400" s="2" t="s">
        <v>97</v>
      </c>
      <c r="O1400" s="2" t="s">
        <v>13</v>
      </c>
      <c r="P1400" s="2" t="s">
        <v>98</v>
      </c>
      <c r="Q1400" s="2" t="s">
        <v>466</v>
      </c>
      <c r="R1400" s="2">
        <v>3</v>
      </c>
      <c r="S1400" s="2">
        <v>9242.73</v>
      </c>
      <c r="T1400" s="2">
        <v>0</v>
      </c>
      <c r="U1400" s="2">
        <v>27728.19</v>
      </c>
      <c r="V1400" s="2">
        <v>16544.62</v>
      </c>
      <c r="W1400" s="2">
        <v>11183.57</v>
      </c>
      <c r="X1400" s="2">
        <v>40.33</v>
      </c>
      <c r="Y1400" s="2">
        <v>0</v>
      </c>
      <c r="Z1400" s="2" t="s">
        <v>43</v>
      </c>
      <c r="AA1400" s="2" t="s">
        <v>275</v>
      </c>
      <c r="AB1400" s="2" t="s">
        <v>101</v>
      </c>
      <c r="AC1400" s="2"/>
    </row>
    <row r="1401" spans="1:29" x14ac:dyDescent="0.3">
      <c r="A1401" s="3" t="s">
        <v>6744</v>
      </c>
      <c r="B1401" s="3" t="s">
        <v>5443</v>
      </c>
      <c r="C1401" s="3" t="s">
        <v>2257</v>
      </c>
      <c r="D1401" s="3" t="s">
        <v>6745</v>
      </c>
      <c r="E1401" s="3" t="s">
        <v>33</v>
      </c>
      <c r="F1401" s="3" t="s">
        <v>581</v>
      </c>
      <c r="G1401" s="3" t="s">
        <v>2227</v>
      </c>
      <c r="H1401" s="3" t="s">
        <v>3698</v>
      </c>
      <c r="I1401" s="3">
        <v>8</v>
      </c>
      <c r="J1401" s="3" t="s">
        <v>29</v>
      </c>
      <c r="K1401" s="3" t="s">
        <v>834</v>
      </c>
      <c r="L1401" s="3" t="s">
        <v>1000</v>
      </c>
      <c r="M1401" s="3" t="s">
        <v>6746</v>
      </c>
      <c r="N1401" s="3" t="s">
        <v>518</v>
      </c>
      <c r="O1401" s="3" t="s">
        <v>19</v>
      </c>
      <c r="P1401" s="3" t="s">
        <v>365</v>
      </c>
      <c r="Q1401" s="3" t="s">
        <v>246</v>
      </c>
      <c r="R1401" s="3">
        <v>2</v>
      </c>
      <c r="S1401" s="3">
        <v>47802.07</v>
      </c>
      <c r="T1401" s="3">
        <v>0</v>
      </c>
      <c r="U1401" s="3">
        <v>95604.14</v>
      </c>
      <c r="V1401" s="3">
        <v>53197.19</v>
      </c>
      <c r="W1401" s="3">
        <v>42406.95</v>
      </c>
      <c r="X1401" s="3">
        <v>44.36</v>
      </c>
      <c r="Y1401" s="3">
        <v>49</v>
      </c>
      <c r="Z1401" s="3" t="s">
        <v>30</v>
      </c>
      <c r="AA1401" s="3" t="s">
        <v>186</v>
      </c>
      <c r="AB1401" s="3" t="s">
        <v>101</v>
      </c>
      <c r="AC1401" s="3"/>
    </row>
    <row r="1402" spans="1:29" x14ac:dyDescent="0.3">
      <c r="A1402" s="2" t="s">
        <v>6747</v>
      </c>
      <c r="B1402" s="2" t="s">
        <v>6748</v>
      </c>
      <c r="C1402" s="2" t="s">
        <v>2141</v>
      </c>
      <c r="D1402" s="2" t="s">
        <v>6749</v>
      </c>
      <c r="E1402" s="2" t="s">
        <v>33</v>
      </c>
      <c r="F1402" s="2" t="s">
        <v>5234</v>
      </c>
      <c r="G1402" s="2" t="s">
        <v>292</v>
      </c>
      <c r="H1402" s="2" t="s">
        <v>1632</v>
      </c>
      <c r="I1402" s="2">
        <v>8</v>
      </c>
      <c r="J1402" s="2" t="s">
        <v>22</v>
      </c>
      <c r="K1402" s="2" t="s">
        <v>283</v>
      </c>
      <c r="L1402" s="2" t="s">
        <v>1346</v>
      </c>
      <c r="M1402" s="2" t="s">
        <v>6750</v>
      </c>
      <c r="N1402" s="2" t="s">
        <v>163</v>
      </c>
      <c r="O1402" s="2" t="s">
        <v>21</v>
      </c>
      <c r="P1402" s="2" t="s">
        <v>126</v>
      </c>
      <c r="Q1402" s="2" t="s">
        <v>400</v>
      </c>
      <c r="R1402" s="2">
        <v>1</v>
      </c>
      <c r="S1402" s="2">
        <v>17969.97</v>
      </c>
      <c r="T1402" s="2">
        <v>5</v>
      </c>
      <c r="U1402" s="2">
        <v>17071.47</v>
      </c>
      <c r="V1402" s="2">
        <v>11018.19</v>
      </c>
      <c r="W1402" s="2">
        <v>6053.28</v>
      </c>
      <c r="X1402" s="2">
        <v>35.46</v>
      </c>
      <c r="Y1402" s="2">
        <v>0</v>
      </c>
      <c r="Z1402" s="2" t="s">
        <v>48</v>
      </c>
      <c r="AA1402" s="2" t="s">
        <v>186</v>
      </c>
      <c r="AB1402" s="2" t="s">
        <v>101</v>
      </c>
      <c r="AC1402" s="2"/>
    </row>
    <row r="1403" spans="1:29" x14ac:dyDescent="0.3">
      <c r="A1403" s="3" t="s">
        <v>6751</v>
      </c>
      <c r="B1403" s="3" t="s">
        <v>6752</v>
      </c>
      <c r="C1403" s="3" t="s">
        <v>2147</v>
      </c>
      <c r="D1403" s="3" t="s">
        <v>6753</v>
      </c>
      <c r="E1403" s="3" t="s">
        <v>18</v>
      </c>
      <c r="F1403" s="3" t="s">
        <v>1678</v>
      </c>
      <c r="G1403" s="3" t="s">
        <v>1679</v>
      </c>
      <c r="H1403" s="3" t="s">
        <v>2854</v>
      </c>
      <c r="I1403" s="3">
        <v>7</v>
      </c>
      <c r="J1403" s="3" t="s">
        <v>14</v>
      </c>
      <c r="K1403" s="3" t="s">
        <v>183</v>
      </c>
      <c r="L1403" s="3" t="s">
        <v>183</v>
      </c>
      <c r="M1403" s="3" t="s">
        <v>6754</v>
      </c>
      <c r="N1403" s="3" t="s">
        <v>150</v>
      </c>
      <c r="O1403" s="3" t="s">
        <v>28</v>
      </c>
      <c r="P1403" s="3" t="s">
        <v>151</v>
      </c>
      <c r="Q1403" s="3" t="s">
        <v>287</v>
      </c>
      <c r="R1403" s="3">
        <v>4</v>
      </c>
      <c r="S1403" s="3">
        <v>25373.75</v>
      </c>
      <c r="T1403" s="3">
        <v>20</v>
      </c>
      <c r="U1403" s="3">
        <v>81196</v>
      </c>
      <c r="V1403" s="3">
        <v>36972.410000000003</v>
      </c>
      <c r="W1403" s="3">
        <v>44223.59</v>
      </c>
      <c r="X1403" s="3">
        <v>54.47</v>
      </c>
      <c r="Y1403" s="3">
        <v>149</v>
      </c>
      <c r="Z1403" s="3" t="s">
        <v>43</v>
      </c>
      <c r="AA1403" s="3" t="s">
        <v>100</v>
      </c>
      <c r="AB1403" s="3" t="s">
        <v>101</v>
      </c>
      <c r="AC1403" s="3">
        <v>3</v>
      </c>
    </row>
    <row r="1404" spans="1:29" x14ac:dyDescent="0.3">
      <c r="A1404" s="2" t="s">
        <v>6755</v>
      </c>
      <c r="B1404" s="2" t="s">
        <v>6756</v>
      </c>
      <c r="C1404" s="2" t="s">
        <v>2136</v>
      </c>
      <c r="D1404" s="2" t="s">
        <v>6757</v>
      </c>
      <c r="E1404" s="2" t="s">
        <v>18</v>
      </c>
      <c r="F1404" s="2" t="s">
        <v>1761</v>
      </c>
      <c r="G1404" s="2" t="s">
        <v>644</v>
      </c>
      <c r="H1404" s="2" t="s">
        <v>2467</v>
      </c>
      <c r="I1404" s="2">
        <v>2</v>
      </c>
      <c r="J1404" s="2" t="s">
        <v>14</v>
      </c>
      <c r="K1404" s="2" t="s">
        <v>183</v>
      </c>
      <c r="L1404" s="2" t="s">
        <v>183</v>
      </c>
      <c r="M1404" s="2" t="s">
        <v>6758</v>
      </c>
      <c r="N1404" s="2" t="s">
        <v>227</v>
      </c>
      <c r="O1404" s="2" t="s">
        <v>13</v>
      </c>
      <c r="P1404" s="2" t="s">
        <v>228</v>
      </c>
      <c r="Q1404" s="2" t="s">
        <v>152</v>
      </c>
      <c r="R1404" s="2">
        <v>2</v>
      </c>
      <c r="S1404" s="2">
        <v>40762.51</v>
      </c>
      <c r="T1404" s="2">
        <v>20</v>
      </c>
      <c r="U1404" s="2">
        <v>65220.02</v>
      </c>
      <c r="V1404" s="2">
        <v>31099.43</v>
      </c>
      <c r="W1404" s="2">
        <v>34120.589999999997</v>
      </c>
      <c r="X1404" s="2">
        <v>52.32</v>
      </c>
      <c r="Y1404" s="2">
        <v>29</v>
      </c>
      <c r="Z1404" s="2" t="s">
        <v>15</v>
      </c>
      <c r="AA1404" s="2" t="s">
        <v>100</v>
      </c>
      <c r="AB1404" s="2" t="s">
        <v>101</v>
      </c>
      <c r="AC1404" s="2">
        <v>3</v>
      </c>
    </row>
    <row r="1405" spans="1:29" x14ac:dyDescent="0.3">
      <c r="A1405" s="3" t="s">
        <v>6759</v>
      </c>
      <c r="B1405" s="3" t="s">
        <v>6760</v>
      </c>
      <c r="C1405" s="3" t="s">
        <v>870</v>
      </c>
      <c r="D1405" s="3" t="s">
        <v>6761</v>
      </c>
      <c r="E1405" s="3" t="s">
        <v>33</v>
      </c>
      <c r="F1405" s="3" t="s">
        <v>191</v>
      </c>
      <c r="G1405" s="3" t="s">
        <v>1219</v>
      </c>
      <c r="H1405" s="3" t="s">
        <v>1265</v>
      </c>
      <c r="I1405" s="3">
        <v>8</v>
      </c>
      <c r="J1405" s="3" t="s">
        <v>14</v>
      </c>
      <c r="K1405" s="3" t="s">
        <v>183</v>
      </c>
      <c r="L1405" s="3" t="s">
        <v>183</v>
      </c>
      <c r="M1405" s="3" t="s">
        <v>5000</v>
      </c>
      <c r="N1405" s="3" t="s">
        <v>185</v>
      </c>
      <c r="O1405" s="3" t="s">
        <v>28</v>
      </c>
      <c r="P1405" s="3" t="s">
        <v>151</v>
      </c>
      <c r="Q1405" s="3" t="s">
        <v>99</v>
      </c>
      <c r="R1405" s="3">
        <v>5</v>
      </c>
      <c r="S1405" s="3">
        <v>22389.14</v>
      </c>
      <c r="T1405" s="3">
        <v>30</v>
      </c>
      <c r="U1405" s="3">
        <v>78361.990000000005</v>
      </c>
      <c r="V1405" s="3">
        <v>51106.42</v>
      </c>
      <c r="W1405" s="3">
        <v>27255.57</v>
      </c>
      <c r="X1405" s="3">
        <v>34.78</v>
      </c>
      <c r="Y1405" s="3">
        <v>29</v>
      </c>
      <c r="Z1405" s="3" t="s">
        <v>40</v>
      </c>
      <c r="AA1405" s="3" t="s">
        <v>672</v>
      </c>
      <c r="AB1405" s="3" t="s">
        <v>101</v>
      </c>
      <c r="AC1405" s="3"/>
    </row>
    <row r="1406" spans="1:29" x14ac:dyDescent="0.3">
      <c r="A1406" s="2" t="s">
        <v>6762</v>
      </c>
      <c r="B1406" s="2" t="s">
        <v>6763</v>
      </c>
      <c r="C1406" s="2" t="s">
        <v>393</v>
      </c>
      <c r="D1406" s="2" t="s">
        <v>3519</v>
      </c>
      <c r="E1406" s="2" t="s">
        <v>33</v>
      </c>
      <c r="F1406" s="2" t="s">
        <v>2893</v>
      </c>
      <c r="G1406" s="2" t="s">
        <v>2894</v>
      </c>
      <c r="H1406" s="2" t="s">
        <v>1315</v>
      </c>
      <c r="I1406" s="2">
        <v>7</v>
      </c>
      <c r="J1406" s="2" t="s">
        <v>29</v>
      </c>
      <c r="K1406" s="2" t="s">
        <v>427</v>
      </c>
      <c r="L1406" s="2" t="s">
        <v>1081</v>
      </c>
      <c r="M1406" s="2" t="s">
        <v>6764</v>
      </c>
      <c r="N1406" s="2" t="s">
        <v>125</v>
      </c>
      <c r="O1406" s="2" t="s">
        <v>21</v>
      </c>
      <c r="P1406" s="2" t="s">
        <v>126</v>
      </c>
      <c r="Q1406" s="2" t="s">
        <v>466</v>
      </c>
      <c r="R1406" s="2">
        <v>1</v>
      </c>
      <c r="S1406" s="2">
        <v>21333.27</v>
      </c>
      <c r="T1406" s="2">
        <v>25</v>
      </c>
      <c r="U1406" s="2">
        <v>15999.95</v>
      </c>
      <c r="V1406" s="2">
        <v>10537.87</v>
      </c>
      <c r="W1406" s="2">
        <v>5462.08</v>
      </c>
      <c r="X1406" s="2">
        <v>34.14</v>
      </c>
      <c r="Y1406" s="2">
        <v>99</v>
      </c>
      <c r="Z1406" s="2" t="s">
        <v>48</v>
      </c>
      <c r="AA1406" s="2" t="s">
        <v>100</v>
      </c>
      <c r="AB1406" s="2" t="s">
        <v>101</v>
      </c>
      <c r="AC1406" s="2">
        <v>1</v>
      </c>
    </row>
    <row r="1407" spans="1:29" x14ac:dyDescent="0.3">
      <c r="A1407" s="3" t="s">
        <v>6765</v>
      </c>
      <c r="B1407" s="3" t="s">
        <v>6766</v>
      </c>
      <c r="C1407" s="3" t="s">
        <v>603</v>
      </c>
      <c r="D1407" s="3" t="s">
        <v>6767</v>
      </c>
      <c r="E1407" s="3" t="s">
        <v>18</v>
      </c>
      <c r="F1407" s="3" t="s">
        <v>937</v>
      </c>
      <c r="G1407" s="3" t="s">
        <v>2153</v>
      </c>
      <c r="H1407" s="3" t="s">
        <v>3200</v>
      </c>
      <c r="I1407" s="3">
        <v>6</v>
      </c>
      <c r="J1407" s="3" t="s">
        <v>22</v>
      </c>
      <c r="K1407" s="3" t="s">
        <v>283</v>
      </c>
      <c r="L1407" s="3" t="s">
        <v>1346</v>
      </c>
      <c r="M1407" s="3" t="s">
        <v>6768</v>
      </c>
      <c r="N1407" s="3" t="s">
        <v>852</v>
      </c>
      <c r="O1407" s="3" t="s">
        <v>27</v>
      </c>
      <c r="P1407" s="3" t="s">
        <v>175</v>
      </c>
      <c r="Q1407" s="3" t="s">
        <v>608</v>
      </c>
      <c r="R1407" s="3">
        <v>2</v>
      </c>
      <c r="S1407" s="3">
        <v>6247.75</v>
      </c>
      <c r="T1407" s="3">
        <v>5</v>
      </c>
      <c r="U1407" s="3">
        <v>11870.72</v>
      </c>
      <c r="V1407" s="3">
        <v>8294.89</v>
      </c>
      <c r="W1407" s="3">
        <v>3575.83</v>
      </c>
      <c r="X1407" s="3">
        <v>30.12</v>
      </c>
      <c r="Y1407" s="3">
        <v>149</v>
      </c>
      <c r="Z1407" s="3" t="s">
        <v>30</v>
      </c>
      <c r="AA1407" s="3" t="s">
        <v>186</v>
      </c>
      <c r="AB1407" s="3" t="s">
        <v>140</v>
      </c>
      <c r="AC1407" s="3"/>
    </row>
    <row r="1408" spans="1:29" x14ac:dyDescent="0.3">
      <c r="A1408" s="2" t="s">
        <v>6769</v>
      </c>
      <c r="B1408" s="2" t="s">
        <v>6770</v>
      </c>
      <c r="C1408" s="2" t="s">
        <v>290</v>
      </c>
      <c r="D1408" s="2" t="s">
        <v>6771</v>
      </c>
      <c r="E1408" s="2" t="s">
        <v>33</v>
      </c>
      <c r="F1408" s="2" t="s">
        <v>6772</v>
      </c>
      <c r="G1408" s="2" t="s">
        <v>4466</v>
      </c>
      <c r="H1408" s="2" t="s">
        <v>3389</v>
      </c>
      <c r="I1408" s="2">
        <v>4</v>
      </c>
      <c r="J1408" s="2" t="s">
        <v>14</v>
      </c>
      <c r="K1408" s="2" t="s">
        <v>712</v>
      </c>
      <c r="L1408" s="2" t="s">
        <v>712</v>
      </c>
      <c r="M1408" s="2" t="s">
        <v>6773</v>
      </c>
      <c r="N1408" s="2" t="s">
        <v>1223</v>
      </c>
      <c r="O1408" s="2" t="s">
        <v>19</v>
      </c>
      <c r="P1408" s="2" t="s">
        <v>447</v>
      </c>
      <c r="Q1408" s="2" t="s">
        <v>152</v>
      </c>
      <c r="R1408" s="2">
        <v>4</v>
      </c>
      <c r="S1408" s="2">
        <v>15468.68</v>
      </c>
      <c r="T1408" s="2">
        <v>15</v>
      </c>
      <c r="U1408" s="2">
        <v>52593.51</v>
      </c>
      <c r="V1408" s="2">
        <v>34809.9</v>
      </c>
      <c r="W1408" s="2">
        <v>17783.61</v>
      </c>
      <c r="X1408" s="2">
        <v>33.81</v>
      </c>
      <c r="Y1408" s="2">
        <v>199</v>
      </c>
      <c r="Z1408" s="2" t="s">
        <v>15</v>
      </c>
      <c r="AA1408" s="2" t="s">
        <v>672</v>
      </c>
      <c r="AB1408" s="2" t="s">
        <v>101</v>
      </c>
      <c r="AC1408" s="2"/>
    </row>
    <row r="1409" spans="1:29" x14ac:dyDescent="0.3">
      <c r="A1409" s="3" t="s">
        <v>6774</v>
      </c>
      <c r="B1409" s="3" t="s">
        <v>6775</v>
      </c>
      <c r="C1409" s="3" t="s">
        <v>799</v>
      </c>
      <c r="D1409" s="3" t="s">
        <v>6776</v>
      </c>
      <c r="E1409" s="3" t="s">
        <v>42</v>
      </c>
      <c r="F1409" s="3" t="s">
        <v>406</v>
      </c>
      <c r="G1409" s="3" t="s">
        <v>962</v>
      </c>
      <c r="H1409" s="3" t="s">
        <v>3885</v>
      </c>
      <c r="I1409" s="3">
        <v>7</v>
      </c>
      <c r="J1409" s="3" t="s">
        <v>22</v>
      </c>
      <c r="K1409" s="3" t="s">
        <v>122</v>
      </c>
      <c r="L1409" s="3" t="s">
        <v>123</v>
      </c>
      <c r="M1409" s="3" t="s">
        <v>2837</v>
      </c>
      <c r="N1409" s="3" t="s">
        <v>286</v>
      </c>
      <c r="O1409" s="3" t="s">
        <v>28</v>
      </c>
      <c r="P1409" s="3" t="s">
        <v>137</v>
      </c>
      <c r="Q1409" s="3" t="s">
        <v>246</v>
      </c>
      <c r="R1409" s="3">
        <v>1</v>
      </c>
      <c r="S1409" s="3">
        <v>42655.46</v>
      </c>
      <c r="T1409" s="3">
        <v>30</v>
      </c>
      <c r="U1409" s="3">
        <v>29858.82</v>
      </c>
      <c r="V1409" s="3">
        <v>14393.15</v>
      </c>
      <c r="W1409" s="3">
        <v>15465.67</v>
      </c>
      <c r="X1409" s="3">
        <v>51.8</v>
      </c>
      <c r="Y1409" s="3">
        <v>99</v>
      </c>
      <c r="Z1409" s="3" t="s">
        <v>48</v>
      </c>
      <c r="AA1409" s="3" t="s">
        <v>100</v>
      </c>
      <c r="AB1409" s="3" t="s">
        <v>101</v>
      </c>
      <c r="AC1409" s="3">
        <v>2</v>
      </c>
    </row>
    <row r="1410" spans="1:29" x14ac:dyDescent="0.3">
      <c r="A1410" s="2" t="s">
        <v>6777</v>
      </c>
      <c r="B1410" s="2" t="s">
        <v>6778</v>
      </c>
      <c r="C1410" s="2" t="s">
        <v>2097</v>
      </c>
      <c r="D1410" s="2" t="s">
        <v>6779</v>
      </c>
      <c r="E1410" s="2" t="s">
        <v>42</v>
      </c>
      <c r="F1410" s="2" t="s">
        <v>3543</v>
      </c>
      <c r="G1410" s="2" t="s">
        <v>3670</v>
      </c>
      <c r="H1410" s="2" t="s">
        <v>5141</v>
      </c>
      <c r="I1410" s="2">
        <v>2</v>
      </c>
      <c r="J1410" s="2" t="s">
        <v>29</v>
      </c>
      <c r="K1410" s="2" t="s">
        <v>427</v>
      </c>
      <c r="L1410" s="2" t="s">
        <v>1871</v>
      </c>
      <c r="M1410" s="2" t="s">
        <v>6780</v>
      </c>
      <c r="N1410" s="2" t="s">
        <v>518</v>
      </c>
      <c r="O1410" s="2" t="s">
        <v>19</v>
      </c>
      <c r="P1410" s="2" t="s">
        <v>365</v>
      </c>
      <c r="Q1410" s="2" t="s">
        <v>152</v>
      </c>
      <c r="R1410" s="2">
        <v>4</v>
      </c>
      <c r="S1410" s="2">
        <v>20974.67</v>
      </c>
      <c r="T1410" s="2">
        <v>20</v>
      </c>
      <c r="U1410" s="2">
        <v>67118.94</v>
      </c>
      <c r="V1410" s="2">
        <v>42714.44</v>
      </c>
      <c r="W1410" s="2">
        <v>24404.5</v>
      </c>
      <c r="X1410" s="2">
        <v>36.36</v>
      </c>
      <c r="Y1410" s="2">
        <v>149</v>
      </c>
      <c r="Z1410" s="2" t="s">
        <v>23</v>
      </c>
      <c r="AA1410" s="2" t="s">
        <v>100</v>
      </c>
      <c r="AB1410" s="2" t="s">
        <v>101</v>
      </c>
      <c r="AC1410" s="2"/>
    </row>
    <row r="1411" spans="1:29" x14ac:dyDescent="0.3">
      <c r="A1411" s="3" t="s">
        <v>6781</v>
      </c>
      <c r="B1411" s="3" t="s">
        <v>6782</v>
      </c>
      <c r="C1411" s="3" t="s">
        <v>4049</v>
      </c>
      <c r="D1411" s="3" t="s">
        <v>6535</v>
      </c>
      <c r="E1411" s="3" t="s">
        <v>18</v>
      </c>
      <c r="F1411" s="3" t="s">
        <v>3554</v>
      </c>
      <c r="G1411" s="3" t="s">
        <v>5856</v>
      </c>
      <c r="H1411" s="3" t="s">
        <v>2347</v>
      </c>
      <c r="I1411" s="3">
        <v>3</v>
      </c>
      <c r="J1411" s="3" t="s">
        <v>39</v>
      </c>
      <c r="K1411" s="3" t="s">
        <v>314</v>
      </c>
      <c r="L1411" s="3" t="s">
        <v>314</v>
      </c>
      <c r="M1411" s="3" t="s">
        <v>4246</v>
      </c>
      <c r="N1411" s="3" t="s">
        <v>364</v>
      </c>
      <c r="O1411" s="3" t="s">
        <v>19</v>
      </c>
      <c r="P1411" s="3" t="s">
        <v>365</v>
      </c>
      <c r="Q1411" s="3" t="s">
        <v>197</v>
      </c>
      <c r="R1411" s="3">
        <v>3</v>
      </c>
      <c r="S1411" s="3">
        <v>5816.84</v>
      </c>
      <c r="T1411" s="3">
        <v>30</v>
      </c>
      <c r="U1411" s="3">
        <v>12215.36</v>
      </c>
      <c r="V1411" s="3">
        <v>7425.44</v>
      </c>
      <c r="W1411" s="3">
        <v>4789.92</v>
      </c>
      <c r="X1411" s="3">
        <v>39.21</v>
      </c>
      <c r="Y1411" s="3">
        <v>0</v>
      </c>
      <c r="Z1411" s="3" t="s">
        <v>48</v>
      </c>
      <c r="AA1411" s="3" t="s">
        <v>139</v>
      </c>
      <c r="AB1411" s="3" t="s">
        <v>140</v>
      </c>
      <c r="AC1411" s="3"/>
    </row>
    <row r="1412" spans="1:29" x14ac:dyDescent="0.3">
      <c r="A1412" s="2" t="s">
        <v>6783</v>
      </c>
      <c r="B1412" s="2" t="s">
        <v>6784</v>
      </c>
      <c r="C1412" s="2" t="s">
        <v>1371</v>
      </c>
      <c r="D1412" s="2" t="s">
        <v>6785</v>
      </c>
      <c r="E1412" s="2" t="s">
        <v>42</v>
      </c>
      <c r="F1412" s="2" t="s">
        <v>6786</v>
      </c>
      <c r="G1412" s="2" t="s">
        <v>820</v>
      </c>
      <c r="H1412" s="2" t="s">
        <v>1712</v>
      </c>
      <c r="I1412" s="2">
        <v>4</v>
      </c>
      <c r="J1412" s="2" t="s">
        <v>22</v>
      </c>
      <c r="K1412" s="2" t="s">
        <v>443</v>
      </c>
      <c r="L1412" s="2" t="s">
        <v>498</v>
      </c>
      <c r="M1412" s="2" t="s">
        <v>6787</v>
      </c>
      <c r="N1412" s="2" t="s">
        <v>750</v>
      </c>
      <c r="O1412" s="2" t="s">
        <v>13</v>
      </c>
      <c r="P1412" s="2" t="s">
        <v>419</v>
      </c>
      <c r="Q1412" s="2" t="s">
        <v>197</v>
      </c>
      <c r="R1412" s="2">
        <v>5</v>
      </c>
      <c r="S1412" s="2">
        <v>11385.97</v>
      </c>
      <c r="T1412" s="2">
        <v>5</v>
      </c>
      <c r="U1412" s="2">
        <v>54083.360000000001</v>
      </c>
      <c r="V1412" s="2">
        <v>37370.04</v>
      </c>
      <c r="W1412" s="2">
        <v>16713.32</v>
      </c>
      <c r="X1412" s="2">
        <v>30.9</v>
      </c>
      <c r="Y1412" s="2">
        <v>199</v>
      </c>
      <c r="Z1412" s="2" t="s">
        <v>15</v>
      </c>
      <c r="AA1412" s="2" t="s">
        <v>100</v>
      </c>
      <c r="AB1412" s="2" t="s">
        <v>101</v>
      </c>
      <c r="AC1412" s="2"/>
    </row>
    <row r="1413" spans="1:29" x14ac:dyDescent="0.3">
      <c r="A1413" s="3" t="s">
        <v>6788</v>
      </c>
      <c r="B1413" s="3" t="s">
        <v>6789</v>
      </c>
      <c r="C1413" s="3" t="s">
        <v>2882</v>
      </c>
      <c r="D1413" s="3" t="s">
        <v>6790</v>
      </c>
      <c r="E1413" s="3" t="s">
        <v>18</v>
      </c>
      <c r="F1413" s="3" t="s">
        <v>899</v>
      </c>
      <c r="G1413" s="3" t="s">
        <v>1756</v>
      </c>
      <c r="H1413" s="3" t="s">
        <v>6410</v>
      </c>
      <c r="I1413" s="3">
        <v>8</v>
      </c>
      <c r="J1413" s="3" t="s">
        <v>14</v>
      </c>
      <c r="K1413" s="3" t="s">
        <v>95</v>
      </c>
      <c r="L1413" s="3" t="s">
        <v>95</v>
      </c>
      <c r="M1413" s="3" t="s">
        <v>6791</v>
      </c>
      <c r="N1413" s="3" t="s">
        <v>805</v>
      </c>
      <c r="O1413" s="3" t="s">
        <v>28</v>
      </c>
      <c r="P1413" s="3" t="s">
        <v>151</v>
      </c>
      <c r="Q1413" s="3" t="s">
        <v>246</v>
      </c>
      <c r="R1413" s="3">
        <v>5</v>
      </c>
      <c r="S1413" s="3">
        <v>32630.12</v>
      </c>
      <c r="T1413" s="3">
        <v>5</v>
      </c>
      <c r="U1413" s="3">
        <v>154993.07</v>
      </c>
      <c r="V1413" s="3">
        <v>79503</v>
      </c>
      <c r="W1413" s="3">
        <v>75490.070000000007</v>
      </c>
      <c r="X1413" s="3">
        <v>48.71</v>
      </c>
      <c r="Y1413" s="3">
        <v>199</v>
      </c>
      <c r="Z1413" s="3" t="s">
        <v>40</v>
      </c>
      <c r="AA1413" s="3" t="s">
        <v>100</v>
      </c>
      <c r="AB1413" s="3" t="s">
        <v>101</v>
      </c>
      <c r="AC1413" s="3">
        <v>5</v>
      </c>
    </row>
    <row r="1414" spans="1:29" x14ac:dyDescent="0.3">
      <c r="A1414" s="2" t="s">
        <v>6792</v>
      </c>
      <c r="B1414" s="2" t="s">
        <v>6793</v>
      </c>
      <c r="C1414" s="2" t="s">
        <v>1152</v>
      </c>
      <c r="D1414" s="2" t="s">
        <v>6794</v>
      </c>
      <c r="E1414" s="2" t="s">
        <v>26</v>
      </c>
      <c r="F1414" s="2" t="s">
        <v>3957</v>
      </c>
      <c r="G1414" s="2" t="s">
        <v>3100</v>
      </c>
      <c r="H1414" s="2" t="s">
        <v>3101</v>
      </c>
      <c r="I1414" s="2">
        <v>8</v>
      </c>
      <c r="J1414" s="2" t="s">
        <v>14</v>
      </c>
      <c r="K1414" s="2" t="s">
        <v>95</v>
      </c>
      <c r="L1414" s="2" t="s">
        <v>95</v>
      </c>
      <c r="M1414" s="2" t="s">
        <v>2997</v>
      </c>
      <c r="N1414" s="2" t="s">
        <v>409</v>
      </c>
      <c r="O1414" s="2" t="s">
        <v>21</v>
      </c>
      <c r="P1414" s="2" t="s">
        <v>196</v>
      </c>
      <c r="Q1414" s="2" t="s">
        <v>400</v>
      </c>
      <c r="R1414" s="2">
        <v>4</v>
      </c>
      <c r="S1414" s="2">
        <v>28520.07</v>
      </c>
      <c r="T1414" s="2">
        <v>10</v>
      </c>
      <c r="U1414" s="2">
        <v>102672.25</v>
      </c>
      <c r="V1414" s="2">
        <v>48766.99</v>
      </c>
      <c r="W1414" s="2">
        <v>53905.26</v>
      </c>
      <c r="X1414" s="2">
        <v>52.5</v>
      </c>
      <c r="Y1414" s="2">
        <v>149</v>
      </c>
      <c r="Z1414" s="2" t="s">
        <v>15</v>
      </c>
      <c r="AA1414" s="2" t="s">
        <v>275</v>
      </c>
      <c r="AB1414" s="2" t="s">
        <v>101</v>
      </c>
      <c r="AC1414" s="2"/>
    </row>
    <row r="1415" spans="1:29" x14ac:dyDescent="0.3">
      <c r="A1415" s="3" t="s">
        <v>6795</v>
      </c>
      <c r="B1415" s="3" t="s">
        <v>6796</v>
      </c>
      <c r="C1415" s="3" t="s">
        <v>1019</v>
      </c>
      <c r="D1415" s="3" t="s">
        <v>6797</v>
      </c>
      <c r="E1415" s="3" t="s">
        <v>26</v>
      </c>
      <c r="F1415" s="3" t="s">
        <v>480</v>
      </c>
      <c r="G1415" s="3" t="s">
        <v>481</v>
      </c>
      <c r="H1415" s="3" t="s">
        <v>3834</v>
      </c>
      <c r="I1415" s="3">
        <v>5</v>
      </c>
      <c r="J1415" s="3" t="s">
        <v>29</v>
      </c>
      <c r="K1415" s="3" t="s">
        <v>334</v>
      </c>
      <c r="L1415" s="3" t="s">
        <v>1073</v>
      </c>
      <c r="M1415" s="3" t="s">
        <v>6510</v>
      </c>
      <c r="N1415" s="3" t="s">
        <v>1380</v>
      </c>
      <c r="O1415" s="3" t="s">
        <v>28</v>
      </c>
      <c r="P1415" s="3" t="s">
        <v>137</v>
      </c>
      <c r="Q1415" s="3" t="s">
        <v>287</v>
      </c>
      <c r="R1415" s="3">
        <v>1</v>
      </c>
      <c r="S1415" s="3">
        <v>4613.18</v>
      </c>
      <c r="T1415" s="3">
        <v>15</v>
      </c>
      <c r="U1415" s="3">
        <v>3921.2</v>
      </c>
      <c r="V1415" s="3">
        <v>1880.43</v>
      </c>
      <c r="W1415" s="3">
        <v>2040.77</v>
      </c>
      <c r="X1415" s="3">
        <v>52.04</v>
      </c>
      <c r="Y1415" s="3">
        <v>49</v>
      </c>
      <c r="Z1415" s="3" t="s">
        <v>40</v>
      </c>
      <c r="AA1415" s="3" t="s">
        <v>100</v>
      </c>
      <c r="AB1415" s="3" t="s">
        <v>101</v>
      </c>
      <c r="AC1415" s="3"/>
    </row>
    <row r="1416" spans="1:29" x14ac:dyDescent="0.3">
      <c r="A1416" s="2" t="s">
        <v>6798</v>
      </c>
      <c r="B1416" s="2" t="s">
        <v>6799</v>
      </c>
      <c r="C1416" s="2" t="s">
        <v>90</v>
      </c>
      <c r="D1416" s="2" t="s">
        <v>6800</v>
      </c>
      <c r="E1416" s="2" t="s">
        <v>42</v>
      </c>
      <c r="F1416" s="2" t="s">
        <v>2831</v>
      </c>
      <c r="G1416" s="2" t="s">
        <v>637</v>
      </c>
      <c r="H1416" s="2" t="s">
        <v>1328</v>
      </c>
      <c r="I1416" s="2">
        <v>2</v>
      </c>
      <c r="J1416" s="2" t="s">
        <v>29</v>
      </c>
      <c r="K1416" s="2" t="s">
        <v>160</v>
      </c>
      <c r="L1416" s="2" t="s">
        <v>976</v>
      </c>
      <c r="M1416" s="2" t="s">
        <v>6801</v>
      </c>
      <c r="N1416" s="2" t="s">
        <v>316</v>
      </c>
      <c r="O1416" s="2" t="s">
        <v>28</v>
      </c>
      <c r="P1416" s="2" t="s">
        <v>137</v>
      </c>
      <c r="Q1416" s="2" t="s">
        <v>400</v>
      </c>
      <c r="R1416" s="2">
        <v>5</v>
      </c>
      <c r="S1416" s="2">
        <v>29401.33</v>
      </c>
      <c r="T1416" s="2">
        <v>0</v>
      </c>
      <c r="U1416" s="2">
        <v>147006.65</v>
      </c>
      <c r="V1416" s="2">
        <v>83428.69</v>
      </c>
      <c r="W1416" s="2">
        <v>63577.96</v>
      </c>
      <c r="X1416" s="2">
        <v>43.25</v>
      </c>
      <c r="Y1416" s="2">
        <v>149</v>
      </c>
      <c r="Z1416" s="2" t="s">
        <v>30</v>
      </c>
      <c r="AA1416" s="2" t="s">
        <v>100</v>
      </c>
      <c r="AB1416" s="2" t="s">
        <v>140</v>
      </c>
      <c r="AC1416" s="2">
        <v>4</v>
      </c>
    </row>
    <row r="1417" spans="1:29" x14ac:dyDescent="0.3">
      <c r="A1417" s="3" t="s">
        <v>6802</v>
      </c>
      <c r="B1417" s="3" t="s">
        <v>6803</v>
      </c>
      <c r="C1417" s="3" t="s">
        <v>412</v>
      </c>
      <c r="D1417" s="3" t="s">
        <v>6804</v>
      </c>
      <c r="E1417" s="3" t="s">
        <v>33</v>
      </c>
      <c r="F1417" s="3" t="s">
        <v>5082</v>
      </c>
      <c r="G1417" s="3" t="s">
        <v>3559</v>
      </c>
      <c r="H1417" s="3" t="s">
        <v>719</v>
      </c>
      <c r="I1417" s="3">
        <v>5</v>
      </c>
      <c r="J1417" s="3" t="s">
        <v>14</v>
      </c>
      <c r="K1417" s="3" t="s">
        <v>171</v>
      </c>
      <c r="L1417" s="3" t="s">
        <v>407</v>
      </c>
      <c r="M1417" s="3" t="s">
        <v>4586</v>
      </c>
      <c r="N1417" s="3" t="s">
        <v>623</v>
      </c>
      <c r="O1417" s="3" t="s">
        <v>19</v>
      </c>
      <c r="P1417" s="3" t="s">
        <v>297</v>
      </c>
      <c r="Q1417" s="3" t="s">
        <v>127</v>
      </c>
      <c r="R1417" s="3">
        <v>3</v>
      </c>
      <c r="S1417" s="3">
        <v>18972.25</v>
      </c>
      <c r="T1417" s="3">
        <v>15</v>
      </c>
      <c r="U1417" s="3">
        <v>48379.24</v>
      </c>
      <c r="V1417" s="3">
        <v>25419.91</v>
      </c>
      <c r="W1417" s="3">
        <v>22959.33</v>
      </c>
      <c r="X1417" s="3">
        <v>47.46</v>
      </c>
      <c r="Y1417" s="3">
        <v>29</v>
      </c>
      <c r="Z1417" s="3" t="s">
        <v>47</v>
      </c>
      <c r="AA1417" s="3" t="s">
        <v>100</v>
      </c>
      <c r="AB1417" s="3" t="s">
        <v>101</v>
      </c>
      <c r="AC1417" s="3">
        <v>2</v>
      </c>
    </row>
    <row r="1418" spans="1:29" x14ac:dyDescent="0.3">
      <c r="A1418" s="2" t="s">
        <v>6805</v>
      </c>
      <c r="B1418" s="2" t="s">
        <v>6806</v>
      </c>
      <c r="C1418" s="2" t="s">
        <v>1981</v>
      </c>
      <c r="D1418" s="2" t="s">
        <v>6807</v>
      </c>
      <c r="E1418" s="2" t="s">
        <v>42</v>
      </c>
      <c r="F1418" s="2" t="s">
        <v>557</v>
      </c>
      <c r="G1418" s="2" t="s">
        <v>1126</v>
      </c>
      <c r="H1418" s="2" t="s">
        <v>4830</v>
      </c>
      <c r="I1418" s="2">
        <v>8</v>
      </c>
      <c r="J1418" s="2" t="s">
        <v>22</v>
      </c>
      <c r="K1418" s="2" t="s">
        <v>443</v>
      </c>
      <c r="L1418" s="2" t="s">
        <v>444</v>
      </c>
      <c r="M1418" s="2" t="s">
        <v>6808</v>
      </c>
      <c r="N1418" s="2" t="s">
        <v>296</v>
      </c>
      <c r="O1418" s="2" t="s">
        <v>19</v>
      </c>
      <c r="P1418" s="2" t="s">
        <v>297</v>
      </c>
      <c r="Q1418" s="2" t="s">
        <v>466</v>
      </c>
      <c r="R1418" s="2">
        <v>3</v>
      </c>
      <c r="S1418" s="2">
        <v>13276.77</v>
      </c>
      <c r="T1418" s="2">
        <v>25</v>
      </c>
      <c r="U1418" s="2">
        <v>29872.73</v>
      </c>
      <c r="V1418" s="2">
        <v>14875.39</v>
      </c>
      <c r="W1418" s="2">
        <v>14997.34</v>
      </c>
      <c r="X1418" s="2">
        <v>50.2</v>
      </c>
      <c r="Y1418" s="2">
        <v>0</v>
      </c>
      <c r="Z1418" s="2" t="s">
        <v>23</v>
      </c>
      <c r="AA1418" s="2" t="s">
        <v>100</v>
      </c>
      <c r="AB1418" s="2" t="s">
        <v>101</v>
      </c>
      <c r="AC1418" s="2"/>
    </row>
    <row r="1419" spans="1:29" x14ac:dyDescent="0.3">
      <c r="A1419" s="3" t="s">
        <v>6809</v>
      </c>
      <c r="B1419" s="3" t="s">
        <v>5877</v>
      </c>
      <c r="C1419" s="3" t="s">
        <v>1644</v>
      </c>
      <c r="D1419" s="3" t="s">
        <v>6810</v>
      </c>
      <c r="E1419" s="3" t="s">
        <v>26</v>
      </c>
      <c r="F1419" s="3" t="s">
        <v>1186</v>
      </c>
      <c r="G1419" s="3" t="s">
        <v>3561</v>
      </c>
      <c r="H1419" s="3" t="s">
        <v>1507</v>
      </c>
      <c r="I1419" s="3">
        <v>4</v>
      </c>
      <c r="J1419" s="3" t="s">
        <v>29</v>
      </c>
      <c r="K1419" s="3" t="s">
        <v>834</v>
      </c>
      <c r="L1419" s="3" t="s">
        <v>901</v>
      </c>
      <c r="M1419" s="3" t="s">
        <v>6811</v>
      </c>
      <c r="N1419" s="3" t="s">
        <v>1380</v>
      </c>
      <c r="O1419" s="3" t="s">
        <v>28</v>
      </c>
      <c r="P1419" s="3" t="s">
        <v>137</v>
      </c>
      <c r="Q1419" s="3" t="s">
        <v>152</v>
      </c>
      <c r="R1419" s="3">
        <v>1</v>
      </c>
      <c r="S1419" s="3">
        <v>45042.16</v>
      </c>
      <c r="T1419" s="3">
        <v>5</v>
      </c>
      <c r="U1419" s="3">
        <v>42790.05</v>
      </c>
      <c r="V1419" s="3">
        <v>29684.19</v>
      </c>
      <c r="W1419" s="3">
        <v>13105.86</v>
      </c>
      <c r="X1419" s="3">
        <v>30.63</v>
      </c>
      <c r="Y1419" s="3">
        <v>0</v>
      </c>
      <c r="Z1419" s="3" t="s">
        <v>43</v>
      </c>
      <c r="AA1419" s="3" t="s">
        <v>100</v>
      </c>
      <c r="AB1419" s="3" t="s">
        <v>101</v>
      </c>
      <c r="AC1419" s="3">
        <v>1</v>
      </c>
    </row>
    <row r="1420" spans="1:29" x14ac:dyDescent="0.3">
      <c r="A1420" s="2" t="s">
        <v>6812</v>
      </c>
      <c r="B1420" s="2" t="s">
        <v>6813</v>
      </c>
      <c r="C1420" s="2" t="s">
        <v>840</v>
      </c>
      <c r="D1420" s="2" t="s">
        <v>6814</v>
      </c>
      <c r="E1420" s="2" t="s">
        <v>42</v>
      </c>
      <c r="F1420" s="2" t="s">
        <v>597</v>
      </c>
      <c r="G1420" s="2" t="s">
        <v>1206</v>
      </c>
      <c r="H1420" s="2" t="s">
        <v>1825</v>
      </c>
      <c r="I1420" s="2">
        <v>2</v>
      </c>
      <c r="J1420" s="2" t="s">
        <v>14</v>
      </c>
      <c r="K1420" s="2" t="s">
        <v>183</v>
      </c>
      <c r="L1420" s="2" t="s">
        <v>183</v>
      </c>
      <c r="M1420" s="2" t="s">
        <v>6815</v>
      </c>
      <c r="N1420" s="2" t="s">
        <v>1380</v>
      </c>
      <c r="O1420" s="2" t="s">
        <v>28</v>
      </c>
      <c r="P1420" s="2" t="s">
        <v>137</v>
      </c>
      <c r="Q1420" s="2" t="s">
        <v>355</v>
      </c>
      <c r="R1420" s="2">
        <v>5</v>
      </c>
      <c r="S1420" s="2">
        <v>36983.15</v>
      </c>
      <c r="T1420" s="2">
        <v>25</v>
      </c>
      <c r="U1420" s="2">
        <v>138686.81</v>
      </c>
      <c r="V1420" s="2">
        <v>77457.570000000007</v>
      </c>
      <c r="W1420" s="2">
        <v>61229.24</v>
      </c>
      <c r="X1420" s="2">
        <v>44.15</v>
      </c>
      <c r="Y1420" s="2">
        <v>0</v>
      </c>
      <c r="Z1420" s="2" t="s">
        <v>43</v>
      </c>
      <c r="AA1420" s="2" t="s">
        <v>275</v>
      </c>
      <c r="AB1420" s="2" t="s">
        <v>101</v>
      </c>
      <c r="AC1420" s="2"/>
    </row>
    <row r="1421" spans="1:29" x14ac:dyDescent="0.3">
      <c r="A1421" s="3" t="s">
        <v>6816</v>
      </c>
      <c r="B1421" s="3" t="s">
        <v>6817</v>
      </c>
      <c r="C1421" s="3" t="s">
        <v>2460</v>
      </c>
      <c r="D1421" s="3" t="s">
        <v>6818</v>
      </c>
      <c r="E1421" s="3" t="s">
        <v>26</v>
      </c>
      <c r="F1421" s="3" t="s">
        <v>4961</v>
      </c>
      <c r="G1421" s="3" t="s">
        <v>1385</v>
      </c>
      <c r="H1421" s="3" t="s">
        <v>1966</v>
      </c>
      <c r="I1421" s="3">
        <v>8</v>
      </c>
      <c r="J1421" s="3" t="s">
        <v>39</v>
      </c>
      <c r="K1421" s="3" t="s">
        <v>109</v>
      </c>
      <c r="L1421" s="3" t="s">
        <v>110</v>
      </c>
      <c r="M1421" s="3" t="s">
        <v>6819</v>
      </c>
      <c r="N1421" s="3" t="s">
        <v>648</v>
      </c>
      <c r="O1421" s="3" t="s">
        <v>27</v>
      </c>
      <c r="P1421" s="3" t="s">
        <v>113</v>
      </c>
      <c r="Q1421" s="3" t="s">
        <v>197</v>
      </c>
      <c r="R1421" s="3">
        <v>1</v>
      </c>
      <c r="S1421" s="3">
        <v>26680.76</v>
      </c>
      <c r="T1421" s="3">
        <v>10</v>
      </c>
      <c r="U1421" s="3">
        <v>24012.68</v>
      </c>
      <c r="V1421" s="3">
        <v>14685.59</v>
      </c>
      <c r="W1421" s="3">
        <v>9327.09</v>
      </c>
      <c r="X1421" s="3">
        <v>38.840000000000003</v>
      </c>
      <c r="Y1421" s="3">
        <v>99</v>
      </c>
      <c r="Z1421" s="3" t="s">
        <v>23</v>
      </c>
      <c r="AA1421" s="3" t="s">
        <v>100</v>
      </c>
      <c r="AB1421" s="3" t="s">
        <v>101</v>
      </c>
      <c r="AC1421" s="3">
        <v>5</v>
      </c>
    </row>
    <row r="1422" spans="1:29" x14ac:dyDescent="0.3">
      <c r="A1422" s="2" t="s">
        <v>6820</v>
      </c>
      <c r="B1422" s="2" t="s">
        <v>6821</v>
      </c>
      <c r="C1422" s="2" t="s">
        <v>450</v>
      </c>
      <c r="D1422" s="2" t="s">
        <v>6822</v>
      </c>
      <c r="E1422" s="2" t="s">
        <v>33</v>
      </c>
      <c r="F1422" s="2" t="s">
        <v>2450</v>
      </c>
      <c r="G1422" s="2" t="s">
        <v>454</v>
      </c>
      <c r="H1422" s="2" t="s">
        <v>2542</v>
      </c>
      <c r="I1422" s="2">
        <v>3</v>
      </c>
      <c r="J1422" s="2" t="s">
        <v>39</v>
      </c>
      <c r="K1422" s="2" t="s">
        <v>225</v>
      </c>
      <c r="L1422" s="2" t="s">
        <v>225</v>
      </c>
      <c r="M1422" s="2" t="s">
        <v>6823</v>
      </c>
      <c r="N1422" s="2" t="s">
        <v>623</v>
      </c>
      <c r="O1422" s="2" t="s">
        <v>19</v>
      </c>
      <c r="P1422" s="2" t="s">
        <v>297</v>
      </c>
      <c r="Q1422" s="2" t="s">
        <v>509</v>
      </c>
      <c r="R1422" s="2">
        <v>3</v>
      </c>
      <c r="S1422" s="2">
        <v>31733.07</v>
      </c>
      <c r="T1422" s="2">
        <v>30</v>
      </c>
      <c r="U1422" s="2">
        <v>66639.45</v>
      </c>
      <c r="V1422" s="2">
        <v>41415.14</v>
      </c>
      <c r="W1422" s="2">
        <v>25224.31</v>
      </c>
      <c r="X1422" s="2">
        <v>37.85</v>
      </c>
      <c r="Y1422" s="2">
        <v>199</v>
      </c>
      <c r="Z1422" s="2" t="s">
        <v>43</v>
      </c>
      <c r="AA1422" s="2" t="s">
        <v>100</v>
      </c>
      <c r="AB1422" s="2" t="s">
        <v>101</v>
      </c>
      <c r="AC1422" s="2">
        <v>3</v>
      </c>
    </row>
    <row r="1423" spans="1:29" x14ac:dyDescent="0.3">
      <c r="A1423" s="3" t="s">
        <v>6824</v>
      </c>
      <c r="B1423" s="3" t="s">
        <v>6825</v>
      </c>
      <c r="C1423" s="3" t="s">
        <v>1717</v>
      </c>
      <c r="D1423" s="3" t="s">
        <v>6826</v>
      </c>
      <c r="E1423" s="3" t="s">
        <v>33</v>
      </c>
      <c r="F1423" s="3" t="s">
        <v>120</v>
      </c>
      <c r="G1423" s="3" t="s">
        <v>4466</v>
      </c>
      <c r="H1423" s="3" t="s">
        <v>3389</v>
      </c>
      <c r="I1423" s="3">
        <v>4</v>
      </c>
      <c r="J1423" s="3" t="s">
        <v>29</v>
      </c>
      <c r="K1423" s="3" t="s">
        <v>427</v>
      </c>
      <c r="L1423" s="3" t="s">
        <v>428</v>
      </c>
      <c r="M1423" s="3" t="s">
        <v>6827</v>
      </c>
      <c r="N1423" s="3" t="s">
        <v>1332</v>
      </c>
      <c r="O1423" s="3" t="s">
        <v>19</v>
      </c>
      <c r="P1423" s="3" t="s">
        <v>447</v>
      </c>
      <c r="Q1423" s="3" t="s">
        <v>152</v>
      </c>
      <c r="R1423" s="3">
        <v>3</v>
      </c>
      <c r="S1423" s="3">
        <v>38791.69</v>
      </c>
      <c r="T1423" s="3">
        <v>5</v>
      </c>
      <c r="U1423" s="3">
        <v>110556.32</v>
      </c>
      <c r="V1423" s="3">
        <v>67453.42</v>
      </c>
      <c r="W1423" s="3">
        <v>43102.9</v>
      </c>
      <c r="X1423" s="3">
        <v>38.99</v>
      </c>
      <c r="Y1423" s="3">
        <v>99</v>
      </c>
      <c r="Z1423" s="3" t="s">
        <v>43</v>
      </c>
      <c r="AA1423" s="3" t="s">
        <v>100</v>
      </c>
      <c r="AB1423" s="3" t="s">
        <v>101</v>
      </c>
      <c r="AC1423" s="3">
        <v>2</v>
      </c>
    </row>
    <row r="1424" spans="1:29" x14ac:dyDescent="0.3">
      <c r="A1424" s="2" t="s">
        <v>6828</v>
      </c>
      <c r="B1424" s="2" t="s">
        <v>6829</v>
      </c>
      <c r="C1424" s="2" t="s">
        <v>1246</v>
      </c>
      <c r="D1424" s="2" t="s">
        <v>6830</v>
      </c>
      <c r="E1424" s="2" t="s">
        <v>33</v>
      </c>
      <c r="F1424" s="2" t="s">
        <v>294</v>
      </c>
      <c r="G1424" s="2" t="s">
        <v>1343</v>
      </c>
      <c r="H1424" s="2" t="s">
        <v>1887</v>
      </c>
      <c r="I1424" s="2">
        <v>6</v>
      </c>
      <c r="J1424" s="2" t="s">
        <v>39</v>
      </c>
      <c r="K1424" s="2" t="s">
        <v>324</v>
      </c>
      <c r="L1424" s="2" t="s">
        <v>1028</v>
      </c>
      <c r="M1424" s="2" t="s">
        <v>6831</v>
      </c>
      <c r="N1424" s="2" t="s">
        <v>409</v>
      </c>
      <c r="O1424" s="2" t="s">
        <v>21</v>
      </c>
      <c r="P1424" s="2" t="s">
        <v>196</v>
      </c>
      <c r="Q1424" s="2" t="s">
        <v>138</v>
      </c>
      <c r="R1424" s="2">
        <v>5</v>
      </c>
      <c r="S1424" s="2">
        <v>47510.52</v>
      </c>
      <c r="T1424" s="2">
        <v>10</v>
      </c>
      <c r="U1424" s="2">
        <v>213797.34</v>
      </c>
      <c r="V1424" s="2">
        <v>114905.45</v>
      </c>
      <c r="W1424" s="2">
        <v>98891.89</v>
      </c>
      <c r="X1424" s="2">
        <v>46.25</v>
      </c>
      <c r="Y1424" s="2">
        <v>149</v>
      </c>
      <c r="Z1424" s="2" t="s">
        <v>47</v>
      </c>
      <c r="AA1424" s="2" t="s">
        <v>100</v>
      </c>
      <c r="AB1424" s="2" t="s">
        <v>101</v>
      </c>
      <c r="AC1424" s="2"/>
    </row>
    <row r="1425" spans="1:29" x14ac:dyDescent="0.3">
      <c r="A1425" s="3" t="s">
        <v>6832</v>
      </c>
      <c r="B1425" s="3" t="s">
        <v>6640</v>
      </c>
      <c r="C1425" s="3" t="s">
        <v>1011</v>
      </c>
      <c r="D1425" s="3" t="s">
        <v>6833</v>
      </c>
      <c r="E1425" s="3" t="s">
        <v>42</v>
      </c>
      <c r="F1425" s="3" t="s">
        <v>1057</v>
      </c>
      <c r="G1425" s="3" t="s">
        <v>1708</v>
      </c>
      <c r="H1425" s="3" t="s">
        <v>6834</v>
      </c>
      <c r="I1425" s="3">
        <v>8</v>
      </c>
      <c r="J1425" s="3" t="s">
        <v>14</v>
      </c>
      <c r="K1425" s="3" t="s">
        <v>183</v>
      </c>
      <c r="L1425" s="3" t="s">
        <v>183</v>
      </c>
      <c r="M1425" s="3" t="s">
        <v>6835</v>
      </c>
      <c r="N1425" s="3" t="s">
        <v>805</v>
      </c>
      <c r="O1425" s="3" t="s">
        <v>28</v>
      </c>
      <c r="P1425" s="3" t="s">
        <v>151</v>
      </c>
      <c r="Q1425" s="3" t="s">
        <v>99</v>
      </c>
      <c r="R1425" s="3">
        <v>5</v>
      </c>
      <c r="S1425" s="3">
        <v>37956.239999999998</v>
      </c>
      <c r="T1425" s="3">
        <v>30</v>
      </c>
      <c r="U1425" s="3">
        <v>132846.84</v>
      </c>
      <c r="V1425" s="3">
        <v>63265.52</v>
      </c>
      <c r="W1425" s="3">
        <v>69581.320000000007</v>
      </c>
      <c r="X1425" s="3">
        <v>52.38</v>
      </c>
      <c r="Y1425" s="3">
        <v>0</v>
      </c>
      <c r="Z1425" s="3" t="s">
        <v>23</v>
      </c>
      <c r="AA1425" s="3" t="s">
        <v>100</v>
      </c>
      <c r="AB1425" s="3" t="s">
        <v>101</v>
      </c>
      <c r="AC1425" s="3"/>
    </row>
    <row r="1426" spans="1:29" x14ac:dyDescent="0.3">
      <c r="A1426" s="2" t="s">
        <v>6836</v>
      </c>
      <c r="B1426" s="2" t="s">
        <v>4000</v>
      </c>
      <c r="C1426" s="2" t="s">
        <v>1866</v>
      </c>
      <c r="D1426" s="2" t="s">
        <v>6837</v>
      </c>
      <c r="E1426" s="2" t="s">
        <v>42</v>
      </c>
      <c r="F1426" s="2" t="s">
        <v>2092</v>
      </c>
      <c r="G1426" s="2" t="s">
        <v>6838</v>
      </c>
      <c r="H1426" s="2" t="s">
        <v>2307</v>
      </c>
      <c r="I1426" s="2">
        <v>2</v>
      </c>
      <c r="J1426" s="2" t="s">
        <v>14</v>
      </c>
      <c r="K1426" s="2" t="s">
        <v>171</v>
      </c>
      <c r="L1426" s="2" t="s">
        <v>541</v>
      </c>
      <c r="M1426" s="2" t="s">
        <v>6839</v>
      </c>
      <c r="N1426" s="2" t="s">
        <v>648</v>
      </c>
      <c r="O1426" s="2" t="s">
        <v>27</v>
      </c>
      <c r="P1426" s="2" t="s">
        <v>113</v>
      </c>
      <c r="Q1426" s="2" t="s">
        <v>608</v>
      </c>
      <c r="R1426" s="2">
        <v>1</v>
      </c>
      <c r="S1426" s="2">
        <v>7442.82</v>
      </c>
      <c r="T1426" s="2">
        <v>25</v>
      </c>
      <c r="U1426" s="2">
        <v>5582.11</v>
      </c>
      <c r="V1426" s="2">
        <v>3436.14</v>
      </c>
      <c r="W1426" s="2">
        <v>2145.9699999999998</v>
      </c>
      <c r="X1426" s="2">
        <v>38.44</v>
      </c>
      <c r="Y1426" s="2">
        <v>149</v>
      </c>
      <c r="Z1426" s="2" t="s">
        <v>40</v>
      </c>
      <c r="AA1426" s="2" t="s">
        <v>100</v>
      </c>
      <c r="AB1426" s="2" t="s">
        <v>101</v>
      </c>
      <c r="AC1426" s="2"/>
    </row>
    <row r="1427" spans="1:29" x14ac:dyDescent="0.3">
      <c r="A1427" s="3" t="s">
        <v>6840</v>
      </c>
      <c r="B1427" s="3" t="s">
        <v>116</v>
      </c>
      <c r="C1427" s="3" t="s">
        <v>651</v>
      </c>
      <c r="D1427" s="3" t="s">
        <v>6841</v>
      </c>
      <c r="E1427" s="3" t="s">
        <v>26</v>
      </c>
      <c r="F1427" s="3" t="s">
        <v>1414</v>
      </c>
      <c r="G1427" s="3" t="s">
        <v>2002</v>
      </c>
      <c r="H1427" s="3" t="s">
        <v>1352</v>
      </c>
      <c r="I1427" s="3">
        <v>6</v>
      </c>
      <c r="J1427" s="3" t="s">
        <v>39</v>
      </c>
      <c r="K1427" s="3" t="s">
        <v>109</v>
      </c>
      <c r="L1427" s="3" t="s">
        <v>110</v>
      </c>
      <c r="M1427" s="3" t="s">
        <v>6842</v>
      </c>
      <c r="N1427" s="3" t="s">
        <v>931</v>
      </c>
      <c r="O1427" s="3" t="s">
        <v>13</v>
      </c>
      <c r="P1427" s="3" t="s">
        <v>419</v>
      </c>
      <c r="Q1427" s="3" t="s">
        <v>287</v>
      </c>
      <c r="R1427" s="3">
        <v>1</v>
      </c>
      <c r="S1427" s="3">
        <v>13734.94</v>
      </c>
      <c r="T1427" s="3">
        <v>5</v>
      </c>
      <c r="U1427" s="3">
        <v>13048.19</v>
      </c>
      <c r="V1427" s="3">
        <v>8717.7199999999993</v>
      </c>
      <c r="W1427" s="3">
        <v>4330.47</v>
      </c>
      <c r="X1427" s="3">
        <v>33.19</v>
      </c>
      <c r="Y1427" s="3">
        <v>149</v>
      </c>
      <c r="Z1427" s="3" t="s">
        <v>23</v>
      </c>
      <c r="AA1427" s="3" t="s">
        <v>275</v>
      </c>
      <c r="AB1427" s="3" t="s">
        <v>101</v>
      </c>
      <c r="AC1427" s="3"/>
    </row>
    <row r="1428" spans="1:29" x14ac:dyDescent="0.3">
      <c r="A1428" s="2" t="s">
        <v>6843</v>
      </c>
      <c r="B1428" s="2" t="s">
        <v>6844</v>
      </c>
      <c r="C1428" s="2" t="s">
        <v>847</v>
      </c>
      <c r="D1428" s="2" t="s">
        <v>6845</v>
      </c>
      <c r="E1428" s="2" t="s">
        <v>33</v>
      </c>
      <c r="F1428" s="2" t="s">
        <v>556</v>
      </c>
      <c r="G1428" s="2" t="s">
        <v>557</v>
      </c>
      <c r="H1428" s="2" t="s">
        <v>1127</v>
      </c>
      <c r="I1428" s="2">
        <v>4</v>
      </c>
      <c r="J1428" s="2" t="s">
        <v>39</v>
      </c>
      <c r="K1428" s="2" t="s">
        <v>324</v>
      </c>
      <c r="L1428" s="2" t="s">
        <v>1422</v>
      </c>
      <c r="M1428" s="2" t="s">
        <v>3906</v>
      </c>
      <c r="N1428" s="2" t="s">
        <v>296</v>
      </c>
      <c r="O1428" s="2" t="s">
        <v>19</v>
      </c>
      <c r="P1428" s="2" t="s">
        <v>297</v>
      </c>
      <c r="Q1428" s="2" t="s">
        <v>138</v>
      </c>
      <c r="R1428" s="2">
        <v>4</v>
      </c>
      <c r="S1428" s="2">
        <v>13836.51</v>
      </c>
      <c r="T1428" s="2">
        <v>15</v>
      </c>
      <c r="U1428" s="2">
        <v>47044.13</v>
      </c>
      <c r="V1428" s="2">
        <v>27909.05</v>
      </c>
      <c r="W1428" s="2">
        <v>19135.080000000002</v>
      </c>
      <c r="X1428" s="2">
        <v>40.67</v>
      </c>
      <c r="Y1428" s="2">
        <v>49</v>
      </c>
      <c r="Z1428" s="2" t="s">
        <v>47</v>
      </c>
      <c r="AA1428" s="2" t="s">
        <v>100</v>
      </c>
      <c r="AB1428" s="2" t="s">
        <v>101</v>
      </c>
      <c r="AC1428" s="2">
        <v>2</v>
      </c>
    </row>
    <row r="1429" spans="1:29" x14ac:dyDescent="0.3">
      <c r="A1429" s="3" t="s">
        <v>6846</v>
      </c>
      <c r="B1429" s="3" t="s">
        <v>6847</v>
      </c>
      <c r="C1429" s="3" t="s">
        <v>1606</v>
      </c>
      <c r="D1429" s="3" t="s">
        <v>1930</v>
      </c>
      <c r="E1429" s="3" t="s">
        <v>26</v>
      </c>
      <c r="F1429" s="3" t="s">
        <v>3765</v>
      </c>
      <c r="G1429" s="3" t="s">
        <v>1213</v>
      </c>
      <c r="H1429" s="3" t="s">
        <v>263</v>
      </c>
      <c r="I1429" s="3">
        <v>5</v>
      </c>
      <c r="J1429" s="3" t="s">
        <v>29</v>
      </c>
      <c r="K1429" s="3" t="s">
        <v>427</v>
      </c>
      <c r="L1429" s="3" t="s">
        <v>428</v>
      </c>
      <c r="M1429" s="3" t="s">
        <v>6848</v>
      </c>
      <c r="N1429" s="3" t="s">
        <v>1188</v>
      </c>
      <c r="O1429" s="3" t="s">
        <v>27</v>
      </c>
      <c r="P1429" s="3" t="s">
        <v>257</v>
      </c>
      <c r="Q1429" s="3" t="s">
        <v>246</v>
      </c>
      <c r="R1429" s="3">
        <v>2</v>
      </c>
      <c r="S1429" s="3">
        <v>33076.61</v>
      </c>
      <c r="T1429" s="3">
        <v>20</v>
      </c>
      <c r="U1429" s="3">
        <v>52922.58</v>
      </c>
      <c r="V1429" s="3">
        <v>32837.699999999997</v>
      </c>
      <c r="W1429" s="3">
        <v>20084.88</v>
      </c>
      <c r="X1429" s="3">
        <v>37.950000000000003</v>
      </c>
      <c r="Y1429" s="3">
        <v>99</v>
      </c>
      <c r="Z1429" s="3" t="s">
        <v>23</v>
      </c>
      <c r="AA1429" s="3" t="s">
        <v>100</v>
      </c>
      <c r="AB1429" s="3" t="s">
        <v>101</v>
      </c>
      <c r="AC1429" s="3"/>
    </row>
    <row r="1430" spans="1:29" x14ac:dyDescent="0.3">
      <c r="A1430" s="2" t="s">
        <v>6849</v>
      </c>
      <c r="B1430" s="2" t="s">
        <v>6850</v>
      </c>
      <c r="C1430" s="2" t="s">
        <v>1217</v>
      </c>
      <c r="D1430" s="2" t="s">
        <v>6851</v>
      </c>
      <c r="E1430" s="2" t="s">
        <v>26</v>
      </c>
      <c r="F1430" s="2" t="s">
        <v>281</v>
      </c>
      <c r="G1430" s="2" t="s">
        <v>1913</v>
      </c>
      <c r="H1430" s="2" t="s">
        <v>1197</v>
      </c>
      <c r="I1430" s="2">
        <v>6</v>
      </c>
      <c r="J1430" s="2" t="s">
        <v>14</v>
      </c>
      <c r="K1430" s="2" t="s">
        <v>171</v>
      </c>
      <c r="L1430" s="2" t="s">
        <v>172</v>
      </c>
      <c r="M1430" s="2" t="s">
        <v>6852</v>
      </c>
      <c r="N1430" s="2" t="s">
        <v>592</v>
      </c>
      <c r="O1430" s="2" t="s">
        <v>21</v>
      </c>
      <c r="P1430" s="2" t="s">
        <v>206</v>
      </c>
      <c r="Q1430" s="2" t="s">
        <v>355</v>
      </c>
      <c r="R1430" s="2">
        <v>1</v>
      </c>
      <c r="S1430" s="2">
        <v>674.43</v>
      </c>
      <c r="T1430" s="2">
        <v>20</v>
      </c>
      <c r="U1430" s="2">
        <v>539.54</v>
      </c>
      <c r="V1430" s="2">
        <v>281.13</v>
      </c>
      <c r="W1430" s="2">
        <v>258.41000000000003</v>
      </c>
      <c r="X1430" s="2">
        <v>47.89</v>
      </c>
      <c r="Y1430" s="2">
        <v>99</v>
      </c>
      <c r="Z1430" s="2" t="s">
        <v>48</v>
      </c>
      <c r="AA1430" s="2" t="s">
        <v>100</v>
      </c>
      <c r="AB1430" s="2" t="s">
        <v>101</v>
      </c>
      <c r="AC1430" s="2">
        <v>4</v>
      </c>
    </row>
    <row r="1431" spans="1:29" x14ac:dyDescent="0.3">
      <c r="A1431" s="3" t="s">
        <v>6853</v>
      </c>
      <c r="B1431" s="3" t="s">
        <v>6854</v>
      </c>
      <c r="C1431" s="3" t="s">
        <v>1286</v>
      </c>
      <c r="D1431" s="3" t="s">
        <v>6855</v>
      </c>
      <c r="E1431" s="3" t="s">
        <v>42</v>
      </c>
      <c r="F1431" s="3" t="s">
        <v>1480</v>
      </c>
      <c r="G1431" s="3" t="s">
        <v>3698</v>
      </c>
      <c r="H1431" s="3" t="s">
        <v>2899</v>
      </c>
      <c r="I1431" s="3">
        <v>7</v>
      </c>
      <c r="J1431" s="3" t="s">
        <v>39</v>
      </c>
      <c r="K1431" s="3" t="s">
        <v>193</v>
      </c>
      <c r="L1431" s="3" t="s">
        <v>193</v>
      </c>
      <c r="M1431" s="3" t="s">
        <v>6856</v>
      </c>
      <c r="N1431" s="3" t="s">
        <v>185</v>
      </c>
      <c r="O1431" s="3" t="s">
        <v>28</v>
      </c>
      <c r="P1431" s="3" t="s">
        <v>151</v>
      </c>
      <c r="Q1431" s="3" t="s">
        <v>127</v>
      </c>
      <c r="R1431" s="3">
        <v>4</v>
      </c>
      <c r="S1431" s="3">
        <v>10302.11</v>
      </c>
      <c r="T1431" s="3">
        <v>0</v>
      </c>
      <c r="U1431" s="3">
        <v>41208.44</v>
      </c>
      <c r="V1431" s="3">
        <v>28828.55</v>
      </c>
      <c r="W1431" s="3">
        <v>12379.89</v>
      </c>
      <c r="X1431" s="3">
        <v>30.04</v>
      </c>
      <c r="Y1431" s="3">
        <v>29</v>
      </c>
      <c r="Z1431" s="3" t="s">
        <v>47</v>
      </c>
      <c r="AA1431" s="3" t="s">
        <v>100</v>
      </c>
      <c r="AB1431" s="3" t="s">
        <v>101</v>
      </c>
      <c r="AC1431" s="3">
        <v>3</v>
      </c>
    </row>
    <row r="1432" spans="1:29" x14ac:dyDescent="0.3">
      <c r="A1432" s="2" t="s">
        <v>6857</v>
      </c>
      <c r="B1432" s="2" t="s">
        <v>6858</v>
      </c>
      <c r="C1432" s="2" t="s">
        <v>1011</v>
      </c>
      <c r="D1432" s="2" t="s">
        <v>167</v>
      </c>
      <c r="E1432" s="2" t="s">
        <v>42</v>
      </c>
      <c r="F1432" s="2" t="s">
        <v>1134</v>
      </c>
      <c r="G1432" s="2" t="s">
        <v>2074</v>
      </c>
      <c r="H1432" s="2" t="s">
        <v>2973</v>
      </c>
      <c r="I1432" s="2">
        <v>5</v>
      </c>
      <c r="J1432" s="2" t="s">
        <v>29</v>
      </c>
      <c r="K1432" s="2" t="s">
        <v>148</v>
      </c>
      <c r="L1432" s="2" t="s">
        <v>148</v>
      </c>
      <c r="M1432" s="2" t="s">
        <v>2538</v>
      </c>
      <c r="N1432" s="2" t="s">
        <v>518</v>
      </c>
      <c r="O1432" s="2" t="s">
        <v>19</v>
      </c>
      <c r="P1432" s="2" t="s">
        <v>365</v>
      </c>
      <c r="Q1432" s="2" t="s">
        <v>218</v>
      </c>
      <c r="R1432" s="2">
        <v>1</v>
      </c>
      <c r="S1432" s="2">
        <v>35476.1</v>
      </c>
      <c r="T1432" s="2">
        <v>20</v>
      </c>
      <c r="U1432" s="2">
        <v>28380.880000000001</v>
      </c>
      <c r="V1432" s="2">
        <v>19335.439999999999</v>
      </c>
      <c r="W1432" s="2">
        <v>9045.44</v>
      </c>
      <c r="X1432" s="2">
        <v>31.87</v>
      </c>
      <c r="Y1432" s="2">
        <v>149</v>
      </c>
      <c r="Z1432" s="2" t="s">
        <v>23</v>
      </c>
      <c r="AA1432" s="2" t="s">
        <v>186</v>
      </c>
      <c r="AB1432" s="2" t="s">
        <v>101</v>
      </c>
      <c r="AC1432" s="2"/>
    </row>
    <row r="1433" spans="1:29" x14ac:dyDescent="0.3">
      <c r="A1433" s="3" t="s">
        <v>6859</v>
      </c>
      <c r="B1433" s="3" t="s">
        <v>6860</v>
      </c>
      <c r="C1433" s="3" t="s">
        <v>774</v>
      </c>
      <c r="D1433" s="3" t="s">
        <v>6861</v>
      </c>
      <c r="E1433" s="3" t="s">
        <v>33</v>
      </c>
      <c r="F1433" s="3" t="s">
        <v>859</v>
      </c>
      <c r="G1433" s="3" t="s">
        <v>1428</v>
      </c>
      <c r="H1433" s="3" t="s">
        <v>1429</v>
      </c>
      <c r="I1433" s="3">
        <v>5</v>
      </c>
      <c r="J1433" s="3" t="s">
        <v>29</v>
      </c>
      <c r="K1433" s="3" t="s">
        <v>427</v>
      </c>
      <c r="L1433" s="3" t="s">
        <v>1081</v>
      </c>
      <c r="M1433" s="3" t="s">
        <v>6862</v>
      </c>
      <c r="N1433" s="3" t="s">
        <v>185</v>
      </c>
      <c r="O1433" s="3" t="s">
        <v>28</v>
      </c>
      <c r="P1433" s="3" t="s">
        <v>151</v>
      </c>
      <c r="Q1433" s="3" t="s">
        <v>99</v>
      </c>
      <c r="R1433" s="3">
        <v>4</v>
      </c>
      <c r="S1433" s="3">
        <v>46765.82</v>
      </c>
      <c r="T1433" s="3">
        <v>20</v>
      </c>
      <c r="U1433" s="3">
        <v>149650.62</v>
      </c>
      <c r="V1433" s="3">
        <v>75579.67</v>
      </c>
      <c r="W1433" s="3">
        <v>74070.95</v>
      </c>
      <c r="X1433" s="3">
        <v>49.5</v>
      </c>
      <c r="Y1433" s="3">
        <v>0</v>
      </c>
      <c r="Z1433" s="3" t="s">
        <v>40</v>
      </c>
      <c r="AA1433" s="3" t="s">
        <v>100</v>
      </c>
      <c r="AB1433" s="3" t="s">
        <v>101</v>
      </c>
      <c r="AC1433" s="3">
        <v>2</v>
      </c>
    </row>
    <row r="1434" spans="1:29" x14ac:dyDescent="0.3">
      <c r="A1434" s="2" t="s">
        <v>6863</v>
      </c>
      <c r="B1434" s="2" t="s">
        <v>6864</v>
      </c>
      <c r="C1434" s="2" t="s">
        <v>2325</v>
      </c>
      <c r="D1434" s="2" t="s">
        <v>6865</v>
      </c>
      <c r="E1434" s="2" t="s">
        <v>18</v>
      </c>
      <c r="F1434" s="2" t="s">
        <v>3615</v>
      </c>
      <c r="G1434" s="2" t="s">
        <v>2270</v>
      </c>
      <c r="H1434" s="2" t="s">
        <v>2271</v>
      </c>
      <c r="I1434" s="2">
        <v>2</v>
      </c>
      <c r="J1434" s="2" t="s">
        <v>39</v>
      </c>
      <c r="K1434" s="2" t="s">
        <v>314</v>
      </c>
      <c r="L1434" s="2" t="s">
        <v>314</v>
      </c>
      <c r="M1434" s="2" t="s">
        <v>6866</v>
      </c>
      <c r="N1434" s="2" t="s">
        <v>931</v>
      </c>
      <c r="O1434" s="2" t="s">
        <v>13</v>
      </c>
      <c r="P1434" s="2" t="s">
        <v>419</v>
      </c>
      <c r="Q1434" s="2" t="s">
        <v>99</v>
      </c>
      <c r="R1434" s="2">
        <v>5</v>
      </c>
      <c r="S1434" s="2">
        <v>13815.75</v>
      </c>
      <c r="T1434" s="2">
        <v>20</v>
      </c>
      <c r="U1434" s="2">
        <v>55263</v>
      </c>
      <c r="V1434" s="2">
        <v>32276.97</v>
      </c>
      <c r="W1434" s="2">
        <v>22986.03</v>
      </c>
      <c r="X1434" s="2">
        <v>41.59</v>
      </c>
      <c r="Y1434" s="2">
        <v>99</v>
      </c>
      <c r="Z1434" s="2" t="s">
        <v>15</v>
      </c>
      <c r="AA1434" s="2" t="s">
        <v>100</v>
      </c>
      <c r="AB1434" s="2" t="s">
        <v>101</v>
      </c>
      <c r="AC1434" s="2">
        <v>4</v>
      </c>
    </row>
    <row r="1435" spans="1:29" x14ac:dyDescent="0.3">
      <c r="A1435" s="3" t="s">
        <v>6867</v>
      </c>
      <c r="B1435" s="3" t="s">
        <v>6868</v>
      </c>
      <c r="C1435" s="3" t="s">
        <v>855</v>
      </c>
      <c r="D1435" s="3" t="s">
        <v>6869</v>
      </c>
      <c r="E1435" s="3" t="s">
        <v>18</v>
      </c>
      <c r="F1435" s="3" t="s">
        <v>2489</v>
      </c>
      <c r="G1435" s="3" t="s">
        <v>2143</v>
      </c>
      <c r="H1435" s="3" t="s">
        <v>322</v>
      </c>
      <c r="I1435" s="3">
        <v>2</v>
      </c>
      <c r="J1435" s="3" t="s">
        <v>39</v>
      </c>
      <c r="K1435" s="3" t="s">
        <v>225</v>
      </c>
      <c r="L1435" s="3" t="s">
        <v>225</v>
      </c>
      <c r="M1435" s="3" t="s">
        <v>6870</v>
      </c>
      <c r="N1435" s="3" t="s">
        <v>316</v>
      </c>
      <c r="O1435" s="3" t="s">
        <v>28</v>
      </c>
      <c r="P1435" s="3" t="s">
        <v>137</v>
      </c>
      <c r="Q1435" s="3" t="s">
        <v>127</v>
      </c>
      <c r="R1435" s="3">
        <v>3</v>
      </c>
      <c r="S1435" s="3">
        <v>47546.82</v>
      </c>
      <c r="T1435" s="3">
        <v>10</v>
      </c>
      <c r="U1435" s="3">
        <v>128376.41</v>
      </c>
      <c r="V1435" s="3">
        <v>88599.91</v>
      </c>
      <c r="W1435" s="3">
        <v>39776.5</v>
      </c>
      <c r="X1435" s="3">
        <v>30.98</v>
      </c>
      <c r="Y1435" s="3">
        <v>49</v>
      </c>
      <c r="Z1435" s="3" t="s">
        <v>40</v>
      </c>
      <c r="AA1435" s="3" t="s">
        <v>100</v>
      </c>
      <c r="AB1435" s="3" t="s">
        <v>101</v>
      </c>
      <c r="AC1435" s="3">
        <v>1</v>
      </c>
    </row>
    <row r="1436" spans="1:29" x14ac:dyDescent="0.3">
      <c r="A1436" s="2" t="s">
        <v>6871</v>
      </c>
      <c r="B1436" s="2" t="s">
        <v>4085</v>
      </c>
      <c r="C1436" s="2" t="s">
        <v>269</v>
      </c>
      <c r="D1436" s="2" t="s">
        <v>6872</v>
      </c>
      <c r="E1436" s="2" t="s">
        <v>33</v>
      </c>
      <c r="F1436" s="2" t="s">
        <v>1099</v>
      </c>
      <c r="G1436" s="2" t="s">
        <v>4268</v>
      </c>
      <c r="H1436" s="2" t="s">
        <v>2341</v>
      </c>
      <c r="I1436" s="2">
        <v>2</v>
      </c>
      <c r="J1436" s="2" t="s">
        <v>29</v>
      </c>
      <c r="K1436" s="2" t="s">
        <v>334</v>
      </c>
      <c r="L1436" s="2" t="s">
        <v>614</v>
      </c>
      <c r="M1436" s="2" t="s">
        <v>3140</v>
      </c>
      <c r="N1436" s="2" t="s">
        <v>805</v>
      </c>
      <c r="O1436" s="2" t="s">
        <v>28</v>
      </c>
      <c r="P1436" s="2" t="s">
        <v>151</v>
      </c>
      <c r="Q1436" s="2" t="s">
        <v>99</v>
      </c>
      <c r="R1436" s="2">
        <v>4</v>
      </c>
      <c r="S1436" s="2">
        <v>43462.8</v>
      </c>
      <c r="T1436" s="2">
        <v>0</v>
      </c>
      <c r="U1436" s="2">
        <v>173851.2</v>
      </c>
      <c r="V1436" s="2">
        <v>107011.64</v>
      </c>
      <c r="W1436" s="2">
        <v>66839.56</v>
      </c>
      <c r="X1436" s="2">
        <v>38.450000000000003</v>
      </c>
      <c r="Y1436" s="2">
        <v>99</v>
      </c>
      <c r="Z1436" s="2" t="s">
        <v>15</v>
      </c>
      <c r="AA1436" s="2" t="s">
        <v>139</v>
      </c>
      <c r="AB1436" s="2" t="s">
        <v>140</v>
      </c>
      <c r="AC1436" s="2"/>
    </row>
    <row r="1437" spans="1:29" x14ac:dyDescent="0.3">
      <c r="A1437" s="3" t="s">
        <v>6873</v>
      </c>
      <c r="B1437" s="3" t="s">
        <v>6874</v>
      </c>
      <c r="C1437" s="3" t="s">
        <v>707</v>
      </c>
      <c r="D1437" s="3" t="s">
        <v>6875</v>
      </c>
      <c r="E1437" s="3" t="s">
        <v>26</v>
      </c>
      <c r="F1437" s="3" t="s">
        <v>5082</v>
      </c>
      <c r="G1437" s="3" t="s">
        <v>3803</v>
      </c>
      <c r="H1437" s="3" t="s">
        <v>2069</v>
      </c>
      <c r="I1437" s="3">
        <v>3</v>
      </c>
      <c r="J1437" s="3" t="s">
        <v>29</v>
      </c>
      <c r="K1437" s="3" t="s">
        <v>160</v>
      </c>
      <c r="L1437" s="3" t="s">
        <v>161</v>
      </c>
      <c r="M1437" s="3" t="s">
        <v>6876</v>
      </c>
      <c r="N1437" s="3" t="s">
        <v>217</v>
      </c>
      <c r="O1437" s="3" t="s">
        <v>21</v>
      </c>
      <c r="P1437" s="3" t="s">
        <v>206</v>
      </c>
      <c r="Q1437" s="3" t="s">
        <v>509</v>
      </c>
      <c r="R1437" s="3">
        <v>5</v>
      </c>
      <c r="S1437" s="3">
        <v>41224.11</v>
      </c>
      <c r="T1437" s="3">
        <v>20</v>
      </c>
      <c r="U1437" s="3">
        <v>164896.44</v>
      </c>
      <c r="V1437" s="3">
        <v>104488.67</v>
      </c>
      <c r="W1437" s="3">
        <v>60407.77</v>
      </c>
      <c r="X1437" s="3">
        <v>36.630000000000003</v>
      </c>
      <c r="Y1437" s="3">
        <v>99</v>
      </c>
      <c r="Z1437" s="3" t="s">
        <v>47</v>
      </c>
      <c r="AA1437" s="3" t="s">
        <v>139</v>
      </c>
      <c r="AB1437" s="3" t="s">
        <v>140</v>
      </c>
      <c r="AC1437" s="3"/>
    </row>
    <row r="1438" spans="1:29" x14ac:dyDescent="0.3">
      <c r="A1438" s="2" t="s">
        <v>6877</v>
      </c>
      <c r="B1438" s="2" t="s">
        <v>6878</v>
      </c>
      <c r="C1438" s="2" t="s">
        <v>2834</v>
      </c>
      <c r="D1438" s="2" t="s">
        <v>6879</v>
      </c>
      <c r="E1438" s="2" t="s">
        <v>26</v>
      </c>
      <c r="F1438" s="2" t="s">
        <v>3802</v>
      </c>
      <c r="G1438" s="2" t="s">
        <v>1609</v>
      </c>
      <c r="H1438" s="2" t="s">
        <v>2069</v>
      </c>
      <c r="I1438" s="2">
        <v>6</v>
      </c>
      <c r="J1438" s="2" t="s">
        <v>29</v>
      </c>
      <c r="K1438" s="2" t="s">
        <v>148</v>
      </c>
      <c r="L1438" s="2" t="s">
        <v>148</v>
      </c>
      <c r="M1438" s="2" t="s">
        <v>2686</v>
      </c>
      <c r="N1438" s="2" t="s">
        <v>837</v>
      </c>
      <c r="O1438" s="2" t="s">
        <v>27</v>
      </c>
      <c r="P1438" s="2" t="s">
        <v>257</v>
      </c>
      <c r="Q1438" s="2" t="s">
        <v>400</v>
      </c>
      <c r="R1438" s="2">
        <v>4</v>
      </c>
      <c r="S1438" s="2">
        <v>46832.82</v>
      </c>
      <c r="T1438" s="2">
        <v>0</v>
      </c>
      <c r="U1438" s="2">
        <v>187331.28</v>
      </c>
      <c r="V1438" s="2">
        <v>116503.73</v>
      </c>
      <c r="W1438" s="2">
        <v>70827.55</v>
      </c>
      <c r="X1438" s="2">
        <v>37.81</v>
      </c>
      <c r="Y1438" s="2">
        <v>49</v>
      </c>
      <c r="Z1438" s="2" t="s">
        <v>15</v>
      </c>
      <c r="AA1438" s="2" t="s">
        <v>672</v>
      </c>
      <c r="AB1438" s="2" t="s">
        <v>101</v>
      </c>
      <c r="AC1438" s="2"/>
    </row>
    <row r="1439" spans="1:29" x14ac:dyDescent="0.3">
      <c r="A1439" s="3" t="s">
        <v>6880</v>
      </c>
      <c r="B1439" s="3" t="s">
        <v>6881</v>
      </c>
      <c r="C1439" s="3" t="s">
        <v>1159</v>
      </c>
      <c r="D1439" s="3" t="s">
        <v>6882</v>
      </c>
      <c r="E1439" s="3" t="s">
        <v>18</v>
      </c>
      <c r="F1439" s="3" t="s">
        <v>2226</v>
      </c>
      <c r="G1439" s="3" t="s">
        <v>1622</v>
      </c>
      <c r="H1439" s="3" t="s">
        <v>581</v>
      </c>
      <c r="I1439" s="3">
        <v>3</v>
      </c>
      <c r="J1439" s="3" t="s">
        <v>22</v>
      </c>
      <c r="K1439" s="3" t="s">
        <v>738</v>
      </c>
      <c r="L1439" s="3" t="s">
        <v>738</v>
      </c>
      <c r="M1439" s="3" t="s">
        <v>6883</v>
      </c>
      <c r="N1439" s="3" t="s">
        <v>150</v>
      </c>
      <c r="O1439" s="3" t="s">
        <v>28</v>
      </c>
      <c r="P1439" s="3" t="s">
        <v>151</v>
      </c>
      <c r="Q1439" s="3" t="s">
        <v>138</v>
      </c>
      <c r="R1439" s="3">
        <v>1</v>
      </c>
      <c r="S1439" s="3">
        <v>22364.44</v>
      </c>
      <c r="T1439" s="3">
        <v>15</v>
      </c>
      <c r="U1439" s="3">
        <v>19009.77</v>
      </c>
      <c r="V1439" s="3">
        <v>12357.6</v>
      </c>
      <c r="W1439" s="3">
        <v>6652.17</v>
      </c>
      <c r="X1439" s="3">
        <v>34.99</v>
      </c>
      <c r="Y1439" s="3">
        <v>149</v>
      </c>
      <c r="Z1439" s="3" t="s">
        <v>47</v>
      </c>
      <c r="AA1439" s="3" t="s">
        <v>100</v>
      </c>
      <c r="AB1439" s="3" t="s">
        <v>101</v>
      </c>
      <c r="AC1439" s="3"/>
    </row>
    <row r="1440" spans="1:29" x14ac:dyDescent="0.3">
      <c r="A1440" s="2" t="s">
        <v>6884</v>
      </c>
      <c r="B1440" s="2" t="s">
        <v>6885</v>
      </c>
      <c r="C1440" s="2" t="s">
        <v>300</v>
      </c>
      <c r="D1440" s="2" t="s">
        <v>6886</v>
      </c>
      <c r="E1440" s="2" t="s">
        <v>18</v>
      </c>
      <c r="F1440" s="2" t="s">
        <v>2519</v>
      </c>
      <c r="G1440" s="2" t="s">
        <v>997</v>
      </c>
      <c r="H1440" s="2" t="s">
        <v>3614</v>
      </c>
      <c r="I1440" s="2">
        <v>3</v>
      </c>
      <c r="J1440" s="2" t="s">
        <v>39</v>
      </c>
      <c r="K1440" s="2" t="s">
        <v>193</v>
      </c>
      <c r="L1440" s="2" t="s">
        <v>193</v>
      </c>
      <c r="M1440" s="2" t="s">
        <v>6887</v>
      </c>
      <c r="N1440" s="2" t="s">
        <v>316</v>
      </c>
      <c r="O1440" s="2" t="s">
        <v>28</v>
      </c>
      <c r="P1440" s="2" t="s">
        <v>137</v>
      </c>
      <c r="Q1440" s="2" t="s">
        <v>246</v>
      </c>
      <c r="R1440" s="2">
        <v>3</v>
      </c>
      <c r="S1440" s="2">
        <v>42580.78</v>
      </c>
      <c r="T1440" s="2">
        <v>10</v>
      </c>
      <c r="U1440" s="2">
        <v>114968.11</v>
      </c>
      <c r="V1440" s="2">
        <v>79174.14</v>
      </c>
      <c r="W1440" s="2">
        <v>35793.97</v>
      </c>
      <c r="X1440" s="2">
        <v>31.13</v>
      </c>
      <c r="Y1440" s="2">
        <v>149</v>
      </c>
      <c r="Z1440" s="2" t="s">
        <v>43</v>
      </c>
      <c r="AA1440" s="2" t="s">
        <v>275</v>
      </c>
      <c r="AB1440" s="2" t="s">
        <v>101</v>
      </c>
      <c r="AC1440" s="2"/>
    </row>
    <row r="1441" spans="1:29" x14ac:dyDescent="0.3">
      <c r="A1441" s="3" t="s">
        <v>6888</v>
      </c>
      <c r="B1441" s="3" t="s">
        <v>6889</v>
      </c>
      <c r="C1441" s="3" t="s">
        <v>1217</v>
      </c>
      <c r="D1441" s="3" t="s">
        <v>6890</v>
      </c>
      <c r="E1441" s="3" t="s">
        <v>18</v>
      </c>
      <c r="F1441" s="3" t="s">
        <v>311</v>
      </c>
      <c r="G1441" s="3" t="s">
        <v>908</v>
      </c>
      <c r="H1441" s="3" t="s">
        <v>434</v>
      </c>
      <c r="I1441" s="3">
        <v>6</v>
      </c>
      <c r="J1441" s="3" t="s">
        <v>22</v>
      </c>
      <c r="K1441" s="3" t="s">
        <v>122</v>
      </c>
      <c r="L1441" s="3" t="s">
        <v>123</v>
      </c>
      <c r="M1441" s="3" t="s">
        <v>3243</v>
      </c>
      <c r="N1441" s="3" t="s">
        <v>788</v>
      </c>
      <c r="O1441" s="3" t="s">
        <v>27</v>
      </c>
      <c r="P1441" s="3" t="s">
        <v>113</v>
      </c>
      <c r="Q1441" s="3" t="s">
        <v>138</v>
      </c>
      <c r="R1441" s="3">
        <v>2</v>
      </c>
      <c r="S1441" s="3">
        <v>26617.69</v>
      </c>
      <c r="T1441" s="3">
        <v>25</v>
      </c>
      <c r="U1441" s="3">
        <v>39926.53</v>
      </c>
      <c r="V1441" s="3">
        <v>20329.080000000002</v>
      </c>
      <c r="W1441" s="3">
        <v>19597.45</v>
      </c>
      <c r="X1441" s="3">
        <v>49.08</v>
      </c>
      <c r="Y1441" s="3">
        <v>99</v>
      </c>
      <c r="Z1441" s="3" t="s">
        <v>43</v>
      </c>
      <c r="AA1441" s="3" t="s">
        <v>100</v>
      </c>
      <c r="AB1441" s="3" t="s">
        <v>101</v>
      </c>
      <c r="AC1441" s="3">
        <v>5</v>
      </c>
    </row>
    <row r="1442" spans="1:29" x14ac:dyDescent="0.3">
      <c r="A1442" s="2" t="s">
        <v>6891</v>
      </c>
      <c r="B1442" s="2" t="s">
        <v>6892</v>
      </c>
      <c r="C1442" s="2" t="s">
        <v>2877</v>
      </c>
      <c r="D1442" s="2" t="s">
        <v>6893</v>
      </c>
      <c r="E1442" s="2" t="s">
        <v>18</v>
      </c>
      <c r="F1442" s="2" t="s">
        <v>1654</v>
      </c>
      <c r="G1442" s="2" t="s">
        <v>4490</v>
      </c>
      <c r="H1442" s="2" t="s">
        <v>145</v>
      </c>
      <c r="I1442" s="2">
        <v>2</v>
      </c>
      <c r="J1442" s="2" t="s">
        <v>14</v>
      </c>
      <c r="K1442" s="2" t="s">
        <v>171</v>
      </c>
      <c r="L1442" s="2" t="s">
        <v>541</v>
      </c>
      <c r="M1442" s="2" t="s">
        <v>3135</v>
      </c>
      <c r="N1442" s="2" t="s">
        <v>266</v>
      </c>
      <c r="O1442" s="2" t="s">
        <v>28</v>
      </c>
      <c r="P1442" s="2" t="s">
        <v>151</v>
      </c>
      <c r="Q1442" s="2" t="s">
        <v>138</v>
      </c>
      <c r="R1442" s="2">
        <v>1</v>
      </c>
      <c r="S1442" s="2">
        <v>24448.1</v>
      </c>
      <c r="T1442" s="2">
        <v>10</v>
      </c>
      <c r="U1442" s="2">
        <v>22003.29</v>
      </c>
      <c r="V1442" s="2">
        <v>11921.01</v>
      </c>
      <c r="W1442" s="2">
        <v>10082.280000000001</v>
      </c>
      <c r="X1442" s="2">
        <v>45.82</v>
      </c>
      <c r="Y1442" s="2">
        <v>149</v>
      </c>
      <c r="Z1442" s="2" t="s">
        <v>15</v>
      </c>
      <c r="AA1442" s="2" t="s">
        <v>100</v>
      </c>
      <c r="AB1442" s="2" t="s">
        <v>101</v>
      </c>
      <c r="AC1442" s="2">
        <v>2</v>
      </c>
    </row>
    <row r="1443" spans="1:29" x14ac:dyDescent="0.3">
      <c r="A1443" s="3" t="s">
        <v>6894</v>
      </c>
      <c r="B1443" s="3" t="s">
        <v>6895</v>
      </c>
      <c r="C1443" s="3" t="s">
        <v>1091</v>
      </c>
      <c r="D1443" s="3" t="s">
        <v>6896</v>
      </c>
      <c r="E1443" s="3" t="s">
        <v>42</v>
      </c>
      <c r="F1443" s="3" t="s">
        <v>323</v>
      </c>
      <c r="G1443" s="3" t="s">
        <v>2403</v>
      </c>
      <c r="H1443" s="3" t="s">
        <v>2504</v>
      </c>
      <c r="I1443" s="3">
        <v>5</v>
      </c>
      <c r="J1443" s="3" t="s">
        <v>29</v>
      </c>
      <c r="K1443" s="3" t="s">
        <v>148</v>
      </c>
      <c r="L1443" s="3" t="s">
        <v>148</v>
      </c>
      <c r="M1443" s="3" t="s">
        <v>6897</v>
      </c>
      <c r="N1443" s="3" t="s">
        <v>1611</v>
      </c>
      <c r="O1443" s="3" t="s">
        <v>19</v>
      </c>
      <c r="P1443" s="3" t="s">
        <v>365</v>
      </c>
      <c r="Q1443" s="3" t="s">
        <v>355</v>
      </c>
      <c r="R1443" s="3">
        <v>1</v>
      </c>
      <c r="S1443" s="3">
        <v>47005.31</v>
      </c>
      <c r="T1443" s="3">
        <v>5</v>
      </c>
      <c r="U1443" s="3">
        <v>44655.040000000001</v>
      </c>
      <c r="V1443" s="3">
        <v>20697.84</v>
      </c>
      <c r="W1443" s="3">
        <v>23957.200000000001</v>
      </c>
      <c r="X1443" s="3">
        <v>53.65</v>
      </c>
      <c r="Y1443" s="3">
        <v>149</v>
      </c>
      <c r="Z1443" s="3" t="s">
        <v>23</v>
      </c>
      <c r="AA1443" s="3" t="s">
        <v>100</v>
      </c>
      <c r="AB1443" s="3" t="s">
        <v>101</v>
      </c>
      <c r="AC1443" s="3">
        <v>5</v>
      </c>
    </row>
    <row r="1444" spans="1:29" x14ac:dyDescent="0.3">
      <c r="A1444" s="2" t="s">
        <v>6898</v>
      </c>
      <c r="B1444" s="2" t="s">
        <v>6899</v>
      </c>
      <c r="C1444" s="2" t="s">
        <v>1809</v>
      </c>
      <c r="D1444" s="2" t="s">
        <v>6900</v>
      </c>
      <c r="E1444" s="2" t="s">
        <v>26</v>
      </c>
      <c r="F1444" s="2" t="s">
        <v>2791</v>
      </c>
      <c r="G1444" s="2" t="s">
        <v>352</v>
      </c>
      <c r="H1444" s="2" t="s">
        <v>489</v>
      </c>
      <c r="I1444" s="2">
        <v>8</v>
      </c>
      <c r="J1444" s="2" t="s">
        <v>14</v>
      </c>
      <c r="K1444" s="2" t="s">
        <v>712</v>
      </c>
      <c r="L1444" s="2" t="s">
        <v>712</v>
      </c>
      <c r="M1444" s="2" t="s">
        <v>6901</v>
      </c>
      <c r="N1444" s="2" t="s">
        <v>533</v>
      </c>
      <c r="O1444" s="2" t="s">
        <v>19</v>
      </c>
      <c r="P1444" s="2" t="s">
        <v>297</v>
      </c>
      <c r="Q1444" s="2" t="s">
        <v>355</v>
      </c>
      <c r="R1444" s="2">
        <v>1</v>
      </c>
      <c r="S1444" s="2">
        <v>34253.96</v>
      </c>
      <c r="T1444" s="2">
        <v>0</v>
      </c>
      <c r="U1444" s="2">
        <v>34253.96</v>
      </c>
      <c r="V1444" s="2">
        <v>22487.64</v>
      </c>
      <c r="W1444" s="2">
        <v>11766.32</v>
      </c>
      <c r="X1444" s="2">
        <v>34.35</v>
      </c>
      <c r="Y1444" s="2">
        <v>0</v>
      </c>
      <c r="Z1444" s="2" t="s">
        <v>48</v>
      </c>
      <c r="AA1444" s="2" t="s">
        <v>100</v>
      </c>
      <c r="AB1444" s="2" t="s">
        <v>101</v>
      </c>
      <c r="AC1444" s="2">
        <v>2</v>
      </c>
    </row>
    <row r="1445" spans="1:29" x14ac:dyDescent="0.3">
      <c r="A1445" s="3" t="s">
        <v>6902</v>
      </c>
      <c r="B1445" s="3" t="s">
        <v>6903</v>
      </c>
      <c r="C1445" s="3" t="s">
        <v>4068</v>
      </c>
      <c r="D1445" s="3" t="s">
        <v>6904</v>
      </c>
      <c r="E1445" s="3" t="s">
        <v>33</v>
      </c>
      <c r="F1445" s="3" t="s">
        <v>832</v>
      </c>
      <c r="G1445" s="3" t="s">
        <v>3242</v>
      </c>
      <c r="H1445" s="3" t="s">
        <v>795</v>
      </c>
      <c r="I1445" s="3">
        <v>8</v>
      </c>
      <c r="J1445" s="3" t="s">
        <v>14</v>
      </c>
      <c r="K1445" s="3" t="s">
        <v>95</v>
      </c>
      <c r="L1445" s="3" t="s">
        <v>95</v>
      </c>
      <c r="M1445" s="3" t="s">
        <v>6905</v>
      </c>
      <c r="N1445" s="3" t="s">
        <v>286</v>
      </c>
      <c r="O1445" s="3" t="s">
        <v>28</v>
      </c>
      <c r="P1445" s="3" t="s">
        <v>137</v>
      </c>
      <c r="Q1445" s="3" t="s">
        <v>400</v>
      </c>
      <c r="R1445" s="3">
        <v>2</v>
      </c>
      <c r="S1445" s="3">
        <v>22976.49</v>
      </c>
      <c r="T1445" s="3">
        <v>15</v>
      </c>
      <c r="U1445" s="3">
        <v>39060.03</v>
      </c>
      <c r="V1445" s="3">
        <v>18281.099999999999</v>
      </c>
      <c r="W1445" s="3">
        <v>20778.93</v>
      </c>
      <c r="X1445" s="3">
        <v>53.2</v>
      </c>
      <c r="Y1445" s="3">
        <v>99</v>
      </c>
      <c r="Z1445" s="3" t="s">
        <v>23</v>
      </c>
      <c r="AA1445" s="3" t="s">
        <v>100</v>
      </c>
      <c r="AB1445" s="3" t="s">
        <v>101</v>
      </c>
      <c r="AC1445" s="3">
        <v>1</v>
      </c>
    </row>
    <row r="1446" spans="1:29" x14ac:dyDescent="0.3">
      <c r="A1446" s="2" t="s">
        <v>6906</v>
      </c>
      <c r="B1446" s="2" t="s">
        <v>6907</v>
      </c>
      <c r="C1446" s="2" t="s">
        <v>1918</v>
      </c>
      <c r="D1446" s="2" t="s">
        <v>6908</v>
      </c>
      <c r="E1446" s="2" t="s">
        <v>26</v>
      </c>
      <c r="F1446" s="2" t="s">
        <v>5808</v>
      </c>
      <c r="G1446" s="2" t="s">
        <v>2660</v>
      </c>
      <c r="H1446" s="2" t="s">
        <v>3287</v>
      </c>
      <c r="I1446" s="2">
        <v>5</v>
      </c>
      <c r="J1446" s="2" t="s">
        <v>29</v>
      </c>
      <c r="K1446" s="2" t="s">
        <v>427</v>
      </c>
      <c r="L1446" s="2" t="s">
        <v>1081</v>
      </c>
      <c r="M1446" s="2" t="s">
        <v>6909</v>
      </c>
      <c r="N1446" s="2" t="s">
        <v>306</v>
      </c>
      <c r="O1446" s="2" t="s">
        <v>21</v>
      </c>
      <c r="P1446" s="2" t="s">
        <v>126</v>
      </c>
      <c r="Q1446" s="2" t="s">
        <v>608</v>
      </c>
      <c r="R1446" s="2">
        <v>4</v>
      </c>
      <c r="S1446" s="2">
        <v>25868.44</v>
      </c>
      <c r="T1446" s="2">
        <v>15</v>
      </c>
      <c r="U1446" s="2">
        <v>87952.7</v>
      </c>
      <c r="V1446" s="2">
        <v>43485.84</v>
      </c>
      <c r="W1446" s="2">
        <v>44466.86</v>
      </c>
      <c r="X1446" s="2">
        <v>50.56</v>
      </c>
      <c r="Y1446" s="2">
        <v>0</v>
      </c>
      <c r="Z1446" s="2" t="s">
        <v>43</v>
      </c>
      <c r="AA1446" s="2" t="s">
        <v>100</v>
      </c>
      <c r="AB1446" s="2" t="s">
        <v>101</v>
      </c>
      <c r="AC1446" s="2"/>
    </row>
    <row r="1447" spans="1:29" x14ac:dyDescent="0.3">
      <c r="A1447" s="3" t="s">
        <v>6910</v>
      </c>
      <c r="B1447" s="3" t="s">
        <v>6911</v>
      </c>
      <c r="C1447" s="3" t="s">
        <v>1045</v>
      </c>
      <c r="D1447" s="3" t="s">
        <v>6912</v>
      </c>
      <c r="E1447" s="3" t="s">
        <v>33</v>
      </c>
      <c r="F1447" s="3" t="s">
        <v>272</v>
      </c>
      <c r="G1447" s="3" t="s">
        <v>613</v>
      </c>
      <c r="H1447" s="3" t="s">
        <v>1895</v>
      </c>
      <c r="I1447" s="3">
        <v>2</v>
      </c>
      <c r="J1447" s="3" t="s">
        <v>14</v>
      </c>
      <c r="K1447" s="3" t="s">
        <v>171</v>
      </c>
      <c r="L1447" s="3" t="s">
        <v>172</v>
      </c>
      <c r="M1447" s="3" t="s">
        <v>6913</v>
      </c>
      <c r="N1447" s="3" t="s">
        <v>508</v>
      </c>
      <c r="O1447" s="3" t="s">
        <v>19</v>
      </c>
      <c r="P1447" s="3" t="s">
        <v>365</v>
      </c>
      <c r="Q1447" s="3" t="s">
        <v>608</v>
      </c>
      <c r="R1447" s="3">
        <v>2</v>
      </c>
      <c r="S1447" s="3">
        <v>3255.13</v>
      </c>
      <c r="T1447" s="3">
        <v>5</v>
      </c>
      <c r="U1447" s="3">
        <v>6184.75</v>
      </c>
      <c r="V1447" s="3">
        <v>2910.57</v>
      </c>
      <c r="W1447" s="3">
        <v>3274.18</v>
      </c>
      <c r="X1447" s="3">
        <v>52.94</v>
      </c>
      <c r="Y1447" s="3">
        <v>0</v>
      </c>
      <c r="Z1447" s="3" t="s">
        <v>30</v>
      </c>
      <c r="AA1447" s="3" t="s">
        <v>100</v>
      </c>
      <c r="AB1447" s="3" t="s">
        <v>101</v>
      </c>
      <c r="AC1447" s="3">
        <v>5</v>
      </c>
    </row>
    <row r="1448" spans="1:29" x14ac:dyDescent="0.3">
      <c r="A1448" s="2" t="s">
        <v>6914</v>
      </c>
      <c r="B1448" s="2" t="s">
        <v>6915</v>
      </c>
      <c r="C1448" s="2" t="s">
        <v>952</v>
      </c>
      <c r="D1448" s="2" t="s">
        <v>6916</v>
      </c>
      <c r="E1448" s="2" t="s">
        <v>42</v>
      </c>
      <c r="F1448" s="2" t="s">
        <v>843</v>
      </c>
      <c r="G1448" s="2" t="s">
        <v>1155</v>
      </c>
      <c r="H1448" s="2" t="s">
        <v>831</v>
      </c>
      <c r="I1448" s="2">
        <v>4</v>
      </c>
      <c r="J1448" s="2" t="s">
        <v>29</v>
      </c>
      <c r="K1448" s="2" t="s">
        <v>334</v>
      </c>
      <c r="L1448" s="2" t="s">
        <v>1073</v>
      </c>
      <c r="M1448" s="2" t="s">
        <v>6917</v>
      </c>
      <c r="N1448" s="2" t="s">
        <v>266</v>
      </c>
      <c r="O1448" s="2" t="s">
        <v>28</v>
      </c>
      <c r="P1448" s="2" t="s">
        <v>151</v>
      </c>
      <c r="Q1448" s="2" t="s">
        <v>99</v>
      </c>
      <c r="R1448" s="2">
        <v>2</v>
      </c>
      <c r="S1448" s="2">
        <v>39342.61</v>
      </c>
      <c r="T1448" s="2">
        <v>10</v>
      </c>
      <c r="U1448" s="2">
        <v>70816.7</v>
      </c>
      <c r="V1448" s="2">
        <v>38229.370000000003</v>
      </c>
      <c r="W1448" s="2">
        <v>32587.33</v>
      </c>
      <c r="X1448" s="2">
        <v>46.02</v>
      </c>
      <c r="Y1448" s="2">
        <v>99</v>
      </c>
      <c r="Z1448" s="2" t="s">
        <v>40</v>
      </c>
      <c r="AA1448" s="2" t="s">
        <v>672</v>
      </c>
      <c r="AB1448" s="2" t="s">
        <v>101</v>
      </c>
      <c r="AC1448" s="2"/>
    </row>
    <row r="1449" spans="1:29" x14ac:dyDescent="0.3">
      <c r="A1449" s="3" t="s">
        <v>6918</v>
      </c>
      <c r="B1449" s="3" t="s">
        <v>6919</v>
      </c>
      <c r="C1449" s="3" t="s">
        <v>166</v>
      </c>
      <c r="D1449" s="3" t="s">
        <v>6920</v>
      </c>
      <c r="E1449" s="3" t="s">
        <v>33</v>
      </c>
      <c r="F1449" s="3" t="s">
        <v>2831</v>
      </c>
      <c r="G1449" s="3" t="s">
        <v>1199</v>
      </c>
      <c r="H1449" s="3" t="s">
        <v>2354</v>
      </c>
      <c r="I1449" s="3">
        <v>8</v>
      </c>
      <c r="J1449" s="3" t="s">
        <v>29</v>
      </c>
      <c r="K1449" s="3" t="s">
        <v>427</v>
      </c>
      <c r="L1449" s="3" t="s">
        <v>1081</v>
      </c>
      <c r="M1449" s="3" t="s">
        <v>6921</v>
      </c>
      <c r="N1449" s="3" t="s">
        <v>533</v>
      </c>
      <c r="O1449" s="3" t="s">
        <v>19</v>
      </c>
      <c r="P1449" s="3" t="s">
        <v>297</v>
      </c>
      <c r="Q1449" s="3" t="s">
        <v>99</v>
      </c>
      <c r="R1449" s="3">
        <v>4</v>
      </c>
      <c r="S1449" s="3">
        <v>48740.69</v>
      </c>
      <c r="T1449" s="3">
        <v>15</v>
      </c>
      <c r="U1449" s="3">
        <v>165718.35</v>
      </c>
      <c r="V1449" s="3">
        <v>109354.83</v>
      </c>
      <c r="W1449" s="3">
        <v>56363.519999999997</v>
      </c>
      <c r="X1449" s="3">
        <v>34.01</v>
      </c>
      <c r="Y1449" s="3">
        <v>149</v>
      </c>
      <c r="Z1449" s="3" t="s">
        <v>15</v>
      </c>
      <c r="AA1449" s="3" t="s">
        <v>100</v>
      </c>
      <c r="AB1449" s="3" t="s">
        <v>101</v>
      </c>
      <c r="AC1449" s="3"/>
    </row>
    <row r="1450" spans="1:29" x14ac:dyDescent="0.3">
      <c r="A1450" s="2" t="s">
        <v>6922</v>
      </c>
      <c r="B1450" s="2" t="s">
        <v>6923</v>
      </c>
      <c r="C1450" s="2" t="s">
        <v>1159</v>
      </c>
      <c r="D1450" s="2" t="s">
        <v>6924</v>
      </c>
      <c r="E1450" s="2" t="s">
        <v>18</v>
      </c>
      <c r="F1450" s="2" t="s">
        <v>3989</v>
      </c>
      <c r="G1450" s="2" t="s">
        <v>4241</v>
      </c>
      <c r="H1450" s="2" t="s">
        <v>2582</v>
      </c>
      <c r="I1450" s="2">
        <v>2</v>
      </c>
      <c r="J1450" s="2" t="s">
        <v>22</v>
      </c>
      <c r="K1450" s="2" t="s">
        <v>443</v>
      </c>
      <c r="L1450" s="2" t="s">
        <v>444</v>
      </c>
      <c r="M1450" s="2" t="s">
        <v>5686</v>
      </c>
      <c r="N1450" s="2" t="s">
        <v>418</v>
      </c>
      <c r="O1450" s="2" t="s">
        <v>13</v>
      </c>
      <c r="P1450" s="2" t="s">
        <v>419</v>
      </c>
      <c r="Q1450" s="2" t="s">
        <v>509</v>
      </c>
      <c r="R1450" s="2">
        <v>3</v>
      </c>
      <c r="S1450" s="2">
        <v>27981.75</v>
      </c>
      <c r="T1450" s="2">
        <v>20</v>
      </c>
      <c r="U1450" s="2">
        <v>67156.2</v>
      </c>
      <c r="V1450" s="2">
        <v>34412.68</v>
      </c>
      <c r="W1450" s="2">
        <v>32743.52</v>
      </c>
      <c r="X1450" s="2">
        <v>48.76</v>
      </c>
      <c r="Y1450" s="2">
        <v>0</v>
      </c>
      <c r="Z1450" s="2" t="s">
        <v>40</v>
      </c>
      <c r="AA1450" s="2" t="s">
        <v>100</v>
      </c>
      <c r="AB1450" s="2" t="s">
        <v>101</v>
      </c>
      <c r="AC1450" s="2">
        <v>4</v>
      </c>
    </row>
    <row r="1451" spans="1:29" x14ac:dyDescent="0.3">
      <c r="A1451" s="3" t="s">
        <v>6925</v>
      </c>
      <c r="B1451" s="3" t="s">
        <v>6926</v>
      </c>
      <c r="C1451" s="3" t="s">
        <v>1335</v>
      </c>
      <c r="D1451" s="3" t="s">
        <v>6927</v>
      </c>
      <c r="E1451" s="3" t="s">
        <v>42</v>
      </c>
      <c r="F1451" s="3" t="s">
        <v>3201</v>
      </c>
      <c r="G1451" s="3" t="s">
        <v>1079</v>
      </c>
      <c r="H1451" s="3" t="s">
        <v>1080</v>
      </c>
      <c r="I1451" s="3">
        <v>2</v>
      </c>
      <c r="J1451" s="3" t="s">
        <v>22</v>
      </c>
      <c r="K1451" s="3" t="s">
        <v>283</v>
      </c>
      <c r="L1451" s="3" t="s">
        <v>748</v>
      </c>
      <c r="M1451" s="3" t="s">
        <v>6928</v>
      </c>
      <c r="N1451" s="3" t="s">
        <v>533</v>
      </c>
      <c r="O1451" s="3" t="s">
        <v>19</v>
      </c>
      <c r="P1451" s="3" t="s">
        <v>297</v>
      </c>
      <c r="Q1451" s="3" t="s">
        <v>246</v>
      </c>
      <c r="R1451" s="3">
        <v>1</v>
      </c>
      <c r="S1451" s="3">
        <v>2543.7399999999998</v>
      </c>
      <c r="T1451" s="3">
        <v>25</v>
      </c>
      <c r="U1451" s="3">
        <v>1907.8</v>
      </c>
      <c r="V1451" s="3">
        <v>1191.6500000000001</v>
      </c>
      <c r="W1451" s="3">
        <v>716.15</v>
      </c>
      <c r="X1451" s="3">
        <v>37.54</v>
      </c>
      <c r="Y1451" s="3">
        <v>0</v>
      </c>
      <c r="Z1451" s="3" t="s">
        <v>43</v>
      </c>
      <c r="AA1451" s="3" t="s">
        <v>100</v>
      </c>
      <c r="AB1451" s="3" t="s">
        <v>101</v>
      </c>
      <c r="AC1451" s="3">
        <v>3</v>
      </c>
    </row>
    <row r="1452" spans="1:29" x14ac:dyDescent="0.3">
      <c r="A1452" s="2" t="s">
        <v>6929</v>
      </c>
      <c r="B1452" s="2" t="s">
        <v>2056</v>
      </c>
      <c r="C1452" s="2" t="s">
        <v>1395</v>
      </c>
      <c r="D1452" s="2" t="s">
        <v>6930</v>
      </c>
      <c r="E1452" s="2" t="s">
        <v>33</v>
      </c>
      <c r="F1452" s="2" t="s">
        <v>1580</v>
      </c>
      <c r="G1452" s="2" t="s">
        <v>3115</v>
      </c>
      <c r="H1452" s="2" t="s">
        <v>1585</v>
      </c>
      <c r="I1452" s="2">
        <v>8</v>
      </c>
      <c r="J1452" s="2" t="s">
        <v>39</v>
      </c>
      <c r="K1452" s="2" t="s">
        <v>314</v>
      </c>
      <c r="L1452" s="2" t="s">
        <v>314</v>
      </c>
      <c r="M1452" s="2" t="s">
        <v>4016</v>
      </c>
      <c r="N1452" s="2" t="s">
        <v>364</v>
      </c>
      <c r="O1452" s="2" t="s">
        <v>19</v>
      </c>
      <c r="P1452" s="2" t="s">
        <v>365</v>
      </c>
      <c r="Q1452" s="2" t="s">
        <v>355</v>
      </c>
      <c r="R1452" s="2">
        <v>2</v>
      </c>
      <c r="S1452" s="2">
        <v>5284.01</v>
      </c>
      <c r="T1452" s="2">
        <v>30</v>
      </c>
      <c r="U1452" s="2">
        <v>7397.61</v>
      </c>
      <c r="V1452" s="2">
        <v>3759.57</v>
      </c>
      <c r="W1452" s="2">
        <v>3638.04</v>
      </c>
      <c r="X1452" s="2">
        <v>49.18</v>
      </c>
      <c r="Y1452" s="2">
        <v>149</v>
      </c>
      <c r="Z1452" s="2" t="s">
        <v>30</v>
      </c>
      <c r="AA1452" s="2" t="s">
        <v>100</v>
      </c>
      <c r="AB1452" s="2" t="s">
        <v>101</v>
      </c>
      <c r="AC1452" s="2">
        <v>2</v>
      </c>
    </row>
    <row r="1453" spans="1:29" x14ac:dyDescent="0.3">
      <c r="A1453" s="3" t="s">
        <v>6931</v>
      </c>
      <c r="B1453" s="3" t="s">
        <v>6932</v>
      </c>
      <c r="C1453" s="3" t="s">
        <v>1335</v>
      </c>
      <c r="D1453" s="3" t="s">
        <v>6933</v>
      </c>
      <c r="E1453" s="3" t="s">
        <v>18</v>
      </c>
      <c r="F1453" s="3" t="s">
        <v>2403</v>
      </c>
      <c r="G1453" s="3" t="s">
        <v>4524</v>
      </c>
      <c r="H1453" s="3" t="s">
        <v>2503</v>
      </c>
      <c r="I1453" s="3">
        <v>3</v>
      </c>
      <c r="J1453" s="3" t="s">
        <v>39</v>
      </c>
      <c r="K1453" s="3" t="s">
        <v>109</v>
      </c>
      <c r="L1453" s="3" t="s">
        <v>134</v>
      </c>
      <c r="M1453" s="3" t="s">
        <v>6934</v>
      </c>
      <c r="N1453" s="3" t="s">
        <v>112</v>
      </c>
      <c r="O1453" s="3" t="s">
        <v>27</v>
      </c>
      <c r="P1453" s="3" t="s">
        <v>113</v>
      </c>
      <c r="Q1453" s="3" t="s">
        <v>197</v>
      </c>
      <c r="R1453" s="3">
        <v>4</v>
      </c>
      <c r="S1453" s="3">
        <v>14625.1</v>
      </c>
      <c r="T1453" s="3">
        <v>20</v>
      </c>
      <c r="U1453" s="3">
        <v>46800.32</v>
      </c>
      <c r="V1453" s="3">
        <v>29139.86</v>
      </c>
      <c r="W1453" s="3">
        <v>17660.46</v>
      </c>
      <c r="X1453" s="3">
        <v>37.74</v>
      </c>
      <c r="Y1453" s="3">
        <v>49</v>
      </c>
      <c r="Z1453" s="3" t="s">
        <v>15</v>
      </c>
      <c r="AA1453" s="3" t="s">
        <v>186</v>
      </c>
      <c r="AB1453" s="3" t="s">
        <v>101</v>
      </c>
      <c r="AC1453" s="3"/>
    </row>
    <row r="1454" spans="1:29" x14ac:dyDescent="0.3">
      <c r="A1454" s="2" t="s">
        <v>6935</v>
      </c>
      <c r="B1454" s="2" t="s">
        <v>6936</v>
      </c>
      <c r="C1454" s="2" t="s">
        <v>666</v>
      </c>
      <c r="D1454" s="2" t="s">
        <v>6937</v>
      </c>
      <c r="E1454" s="2" t="s">
        <v>42</v>
      </c>
      <c r="F1454" s="2" t="s">
        <v>2867</v>
      </c>
      <c r="G1454" s="2" t="s">
        <v>2393</v>
      </c>
      <c r="H1454" s="2" t="s">
        <v>2872</v>
      </c>
      <c r="I1454" s="2">
        <v>8</v>
      </c>
      <c r="J1454" s="2" t="s">
        <v>39</v>
      </c>
      <c r="K1454" s="2" t="s">
        <v>109</v>
      </c>
      <c r="L1454" s="2" t="s">
        <v>344</v>
      </c>
      <c r="M1454" s="2" t="s">
        <v>5504</v>
      </c>
      <c r="N1454" s="2" t="s">
        <v>1380</v>
      </c>
      <c r="O1454" s="2" t="s">
        <v>28</v>
      </c>
      <c r="P1454" s="2" t="s">
        <v>137</v>
      </c>
      <c r="Q1454" s="2" t="s">
        <v>246</v>
      </c>
      <c r="R1454" s="2">
        <v>2</v>
      </c>
      <c r="S1454" s="2">
        <v>12613.71</v>
      </c>
      <c r="T1454" s="2">
        <v>0</v>
      </c>
      <c r="U1454" s="2">
        <v>25227.42</v>
      </c>
      <c r="V1454" s="2">
        <v>15130.73</v>
      </c>
      <c r="W1454" s="2">
        <v>10096.69</v>
      </c>
      <c r="X1454" s="2">
        <v>40.020000000000003</v>
      </c>
      <c r="Y1454" s="2">
        <v>99</v>
      </c>
      <c r="Z1454" s="2" t="s">
        <v>23</v>
      </c>
      <c r="AA1454" s="2" t="s">
        <v>100</v>
      </c>
      <c r="AB1454" s="2" t="s">
        <v>101</v>
      </c>
      <c r="AC1454" s="2">
        <v>2</v>
      </c>
    </row>
    <row r="1455" spans="1:29" x14ac:dyDescent="0.3">
      <c r="A1455" s="3" t="s">
        <v>6938</v>
      </c>
      <c r="B1455" s="3" t="s">
        <v>6939</v>
      </c>
      <c r="C1455" s="3" t="s">
        <v>143</v>
      </c>
      <c r="D1455" s="3" t="s">
        <v>6940</v>
      </c>
      <c r="E1455" s="3" t="s">
        <v>42</v>
      </c>
      <c r="F1455" s="3" t="s">
        <v>1155</v>
      </c>
      <c r="G1455" s="3" t="s">
        <v>4711</v>
      </c>
      <c r="H1455" s="3" t="s">
        <v>3821</v>
      </c>
      <c r="I1455" s="3">
        <v>7</v>
      </c>
      <c r="J1455" s="3" t="s">
        <v>22</v>
      </c>
      <c r="K1455" s="3" t="s">
        <v>283</v>
      </c>
      <c r="L1455" s="3" t="s">
        <v>1346</v>
      </c>
      <c r="M1455" s="3" t="s">
        <v>1444</v>
      </c>
      <c r="N1455" s="3" t="s">
        <v>805</v>
      </c>
      <c r="O1455" s="3" t="s">
        <v>28</v>
      </c>
      <c r="P1455" s="3" t="s">
        <v>151</v>
      </c>
      <c r="Q1455" s="3" t="s">
        <v>99</v>
      </c>
      <c r="R1455" s="3">
        <v>2</v>
      </c>
      <c r="S1455" s="3">
        <v>34733.01</v>
      </c>
      <c r="T1455" s="3">
        <v>5</v>
      </c>
      <c r="U1455" s="3">
        <v>65992.72</v>
      </c>
      <c r="V1455" s="3">
        <v>34394.080000000002</v>
      </c>
      <c r="W1455" s="3">
        <v>31598.639999999999</v>
      </c>
      <c r="X1455" s="3">
        <v>47.88</v>
      </c>
      <c r="Y1455" s="3">
        <v>99</v>
      </c>
      <c r="Z1455" s="3" t="s">
        <v>40</v>
      </c>
      <c r="AA1455" s="3" t="s">
        <v>100</v>
      </c>
      <c r="AB1455" s="3" t="s">
        <v>101</v>
      </c>
      <c r="AC1455" s="3">
        <v>4</v>
      </c>
    </row>
    <row r="1456" spans="1:29" x14ac:dyDescent="0.3">
      <c r="A1456" s="2" t="s">
        <v>6941</v>
      </c>
      <c r="B1456" s="2" t="s">
        <v>6942</v>
      </c>
      <c r="C1456" s="2" t="s">
        <v>1293</v>
      </c>
      <c r="D1456" s="2" t="s">
        <v>6943</v>
      </c>
      <c r="E1456" s="2" t="s">
        <v>18</v>
      </c>
      <c r="F1456" s="2" t="s">
        <v>998</v>
      </c>
      <c r="G1456" s="2" t="s">
        <v>3614</v>
      </c>
      <c r="H1456" s="2" t="s">
        <v>1048</v>
      </c>
      <c r="I1456" s="2">
        <v>7</v>
      </c>
      <c r="J1456" s="2" t="s">
        <v>29</v>
      </c>
      <c r="K1456" s="2" t="s">
        <v>148</v>
      </c>
      <c r="L1456" s="2" t="s">
        <v>148</v>
      </c>
      <c r="M1456" s="2" t="s">
        <v>6944</v>
      </c>
      <c r="N1456" s="2" t="s">
        <v>623</v>
      </c>
      <c r="O1456" s="2" t="s">
        <v>19</v>
      </c>
      <c r="P1456" s="2" t="s">
        <v>297</v>
      </c>
      <c r="Q1456" s="2" t="s">
        <v>114</v>
      </c>
      <c r="R1456" s="2">
        <v>4</v>
      </c>
      <c r="S1456" s="2">
        <v>38892.11</v>
      </c>
      <c r="T1456" s="2">
        <v>30</v>
      </c>
      <c r="U1456" s="2">
        <v>108897.91</v>
      </c>
      <c r="V1456" s="2">
        <v>63165.279999999999</v>
      </c>
      <c r="W1456" s="2">
        <v>45732.63</v>
      </c>
      <c r="X1456" s="2">
        <v>42</v>
      </c>
      <c r="Y1456" s="2">
        <v>149</v>
      </c>
      <c r="Z1456" s="2" t="s">
        <v>48</v>
      </c>
      <c r="AA1456" s="2" t="s">
        <v>275</v>
      </c>
      <c r="AB1456" s="2" t="s">
        <v>101</v>
      </c>
      <c r="AC1456" s="2"/>
    </row>
    <row r="1457" spans="1:29" x14ac:dyDescent="0.3">
      <c r="A1457" s="3" t="s">
        <v>6945</v>
      </c>
      <c r="B1457" s="3" t="s">
        <v>6946</v>
      </c>
      <c r="C1457" s="3" t="s">
        <v>1019</v>
      </c>
      <c r="D1457" s="3" t="s">
        <v>6947</v>
      </c>
      <c r="E1457" s="3" t="s">
        <v>42</v>
      </c>
      <c r="F1457" s="3" t="s">
        <v>1212</v>
      </c>
      <c r="G1457" s="3" t="s">
        <v>2106</v>
      </c>
      <c r="H1457" s="3" t="s">
        <v>1027</v>
      </c>
      <c r="I1457" s="3">
        <v>2</v>
      </c>
      <c r="J1457" s="3" t="s">
        <v>14</v>
      </c>
      <c r="K1457" s="3" t="s">
        <v>712</v>
      </c>
      <c r="L1457" s="3" t="s">
        <v>712</v>
      </c>
      <c r="M1457" s="3" t="s">
        <v>2410</v>
      </c>
      <c r="N1457" s="3" t="s">
        <v>931</v>
      </c>
      <c r="O1457" s="3" t="s">
        <v>13</v>
      </c>
      <c r="P1457" s="3" t="s">
        <v>419</v>
      </c>
      <c r="Q1457" s="3" t="s">
        <v>355</v>
      </c>
      <c r="R1457" s="3">
        <v>5</v>
      </c>
      <c r="S1457" s="3">
        <v>43946.09</v>
      </c>
      <c r="T1457" s="3">
        <v>15</v>
      </c>
      <c r="U1457" s="3">
        <v>186770.88</v>
      </c>
      <c r="V1457" s="3">
        <v>117082.87</v>
      </c>
      <c r="W1457" s="3">
        <v>69688.009999999995</v>
      </c>
      <c r="X1457" s="3">
        <v>37.31</v>
      </c>
      <c r="Y1457" s="3">
        <v>49</v>
      </c>
      <c r="Z1457" s="3" t="s">
        <v>15</v>
      </c>
      <c r="AA1457" s="3" t="s">
        <v>139</v>
      </c>
      <c r="AB1457" s="3" t="s">
        <v>140</v>
      </c>
      <c r="AC1457" s="3"/>
    </row>
    <row r="1458" spans="1:29" x14ac:dyDescent="0.3">
      <c r="A1458" s="2" t="s">
        <v>6948</v>
      </c>
      <c r="B1458" s="2" t="s">
        <v>6949</v>
      </c>
      <c r="C1458" s="2" t="s">
        <v>1742</v>
      </c>
      <c r="D1458" s="2" t="s">
        <v>6950</v>
      </c>
      <c r="E1458" s="2" t="s">
        <v>26</v>
      </c>
      <c r="F1458" s="2" t="s">
        <v>1977</v>
      </c>
      <c r="G1458" s="2" t="s">
        <v>1321</v>
      </c>
      <c r="H1458" s="2" t="s">
        <v>5136</v>
      </c>
      <c r="I1458" s="2">
        <v>8</v>
      </c>
      <c r="J1458" s="2" t="s">
        <v>14</v>
      </c>
      <c r="K1458" s="2" t="s">
        <v>183</v>
      </c>
      <c r="L1458" s="2" t="s">
        <v>183</v>
      </c>
      <c r="M1458" s="2" t="s">
        <v>6951</v>
      </c>
      <c r="N1458" s="2" t="s">
        <v>256</v>
      </c>
      <c r="O1458" s="2" t="s">
        <v>27</v>
      </c>
      <c r="P1458" s="2" t="s">
        <v>257</v>
      </c>
      <c r="Q1458" s="2" t="s">
        <v>400</v>
      </c>
      <c r="R1458" s="2">
        <v>1</v>
      </c>
      <c r="S1458" s="2">
        <v>36028.78</v>
      </c>
      <c r="T1458" s="2">
        <v>25</v>
      </c>
      <c r="U1458" s="2">
        <v>27021.58</v>
      </c>
      <c r="V1458" s="2">
        <v>13742.72</v>
      </c>
      <c r="W1458" s="2">
        <v>13278.86</v>
      </c>
      <c r="X1458" s="2">
        <v>49.14</v>
      </c>
      <c r="Y1458" s="2">
        <v>149</v>
      </c>
      <c r="Z1458" s="2" t="s">
        <v>15</v>
      </c>
      <c r="AA1458" s="2" t="s">
        <v>100</v>
      </c>
      <c r="AB1458" s="2" t="s">
        <v>101</v>
      </c>
      <c r="AC1458" s="2">
        <v>1</v>
      </c>
    </row>
    <row r="1459" spans="1:29" x14ac:dyDescent="0.3">
      <c r="A1459" s="3" t="s">
        <v>6952</v>
      </c>
      <c r="B1459" s="3" t="s">
        <v>6953</v>
      </c>
      <c r="C1459" s="3" t="s">
        <v>1054</v>
      </c>
      <c r="D1459" s="3" t="s">
        <v>6954</v>
      </c>
      <c r="E1459" s="3" t="s">
        <v>18</v>
      </c>
      <c r="F1459" s="3" t="s">
        <v>1824</v>
      </c>
      <c r="G1459" s="3" t="s">
        <v>2659</v>
      </c>
      <c r="H1459" s="3" t="s">
        <v>598</v>
      </c>
      <c r="I1459" s="3">
        <v>4</v>
      </c>
      <c r="J1459" s="3" t="s">
        <v>29</v>
      </c>
      <c r="K1459" s="3" t="s">
        <v>334</v>
      </c>
      <c r="L1459" s="3" t="s">
        <v>1073</v>
      </c>
      <c r="M1459" s="3" t="s">
        <v>6955</v>
      </c>
      <c r="N1459" s="3" t="s">
        <v>150</v>
      </c>
      <c r="O1459" s="3" t="s">
        <v>28</v>
      </c>
      <c r="P1459" s="3" t="s">
        <v>151</v>
      </c>
      <c r="Q1459" s="3" t="s">
        <v>246</v>
      </c>
      <c r="R1459" s="3">
        <v>4</v>
      </c>
      <c r="S1459" s="3">
        <v>34817.629999999997</v>
      </c>
      <c r="T1459" s="3">
        <v>5</v>
      </c>
      <c r="U1459" s="3">
        <v>132306.99</v>
      </c>
      <c r="V1459" s="3">
        <v>88470.25</v>
      </c>
      <c r="W1459" s="3">
        <v>43836.74</v>
      </c>
      <c r="X1459" s="3">
        <v>33.130000000000003</v>
      </c>
      <c r="Y1459" s="3">
        <v>149</v>
      </c>
      <c r="Z1459" s="3" t="s">
        <v>43</v>
      </c>
      <c r="AA1459" s="3" t="s">
        <v>186</v>
      </c>
      <c r="AB1459" s="3" t="s">
        <v>101</v>
      </c>
      <c r="AC1459" s="3"/>
    </row>
    <row r="1460" spans="1:29" x14ac:dyDescent="0.3">
      <c r="A1460" s="2" t="s">
        <v>6956</v>
      </c>
      <c r="B1460" s="2" t="s">
        <v>6957</v>
      </c>
      <c r="C1460" s="2" t="s">
        <v>918</v>
      </c>
      <c r="D1460" s="2" t="s">
        <v>6958</v>
      </c>
      <c r="E1460" s="2" t="s">
        <v>42</v>
      </c>
      <c r="F1460" s="2" t="s">
        <v>947</v>
      </c>
      <c r="G1460" s="2" t="s">
        <v>906</v>
      </c>
      <c r="H1460" s="2" t="s">
        <v>908</v>
      </c>
      <c r="I1460" s="2">
        <v>4</v>
      </c>
      <c r="J1460" s="2" t="s">
        <v>39</v>
      </c>
      <c r="K1460" s="2" t="s">
        <v>109</v>
      </c>
      <c r="L1460" s="2" t="s">
        <v>134</v>
      </c>
      <c r="M1460" s="2" t="s">
        <v>1581</v>
      </c>
      <c r="N1460" s="2" t="s">
        <v>518</v>
      </c>
      <c r="O1460" s="2" t="s">
        <v>19</v>
      </c>
      <c r="P1460" s="2" t="s">
        <v>365</v>
      </c>
      <c r="Q1460" s="2" t="s">
        <v>509</v>
      </c>
      <c r="R1460" s="2">
        <v>1</v>
      </c>
      <c r="S1460" s="2">
        <v>48631.18</v>
      </c>
      <c r="T1460" s="2">
        <v>15</v>
      </c>
      <c r="U1460" s="2">
        <v>41336.5</v>
      </c>
      <c r="V1460" s="2">
        <v>25272.9</v>
      </c>
      <c r="W1460" s="2">
        <v>16063.6</v>
      </c>
      <c r="X1460" s="2">
        <v>38.86</v>
      </c>
      <c r="Y1460" s="2">
        <v>29</v>
      </c>
      <c r="Z1460" s="2" t="s">
        <v>30</v>
      </c>
      <c r="AA1460" s="2" t="s">
        <v>139</v>
      </c>
      <c r="AB1460" s="2" t="s">
        <v>140</v>
      </c>
      <c r="AC1460" s="2"/>
    </row>
    <row r="1461" spans="1:29" x14ac:dyDescent="0.3">
      <c r="A1461" s="3" t="s">
        <v>6959</v>
      </c>
      <c r="B1461" s="3" t="s">
        <v>6960</v>
      </c>
      <c r="C1461" s="3" t="s">
        <v>104</v>
      </c>
      <c r="D1461" s="3" t="s">
        <v>6961</v>
      </c>
      <c r="E1461" s="3" t="s">
        <v>18</v>
      </c>
      <c r="F1461" s="3" t="s">
        <v>6962</v>
      </c>
      <c r="G1461" s="3" t="s">
        <v>1816</v>
      </c>
      <c r="H1461" s="3" t="s">
        <v>669</v>
      </c>
      <c r="I1461" s="3">
        <v>8</v>
      </c>
      <c r="J1461" s="3" t="s">
        <v>14</v>
      </c>
      <c r="K1461" s="3" t="s">
        <v>171</v>
      </c>
      <c r="L1461" s="3" t="s">
        <v>172</v>
      </c>
      <c r="M1461" s="3" t="s">
        <v>6963</v>
      </c>
      <c r="N1461" s="3" t="s">
        <v>195</v>
      </c>
      <c r="O1461" s="3" t="s">
        <v>21</v>
      </c>
      <c r="P1461" s="3" t="s">
        <v>196</v>
      </c>
      <c r="Q1461" s="3" t="s">
        <v>138</v>
      </c>
      <c r="R1461" s="3">
        <v>5</v>
      </c>
      <c r="S1461" s="3">
        <v>7799.79</v>
      </c>
      <c r="T1461" s="3">
        <v>10</v>
      </c>
      <c r="U1461" s="3">
        <v>35099.06</v>
      </c>
      <c r="V1461" s="3">
        <v>16962.38</v>
      </c>
      <c r="W1461" s="3">
        <v>18136.68</v>
      </c>
      <c r="X1461" s="3">
        <v>51.67</v>
      </c>
      <c r="Y1461" s="3">
        <v>199</v>
      </c>
      <c r="Z1461" s="3" t="s">
        <v>23</v>
      </c>
      <c r="AA1461" s="3" t="s">
        <v>100</v>
      </c>
      <c r="AB1461" s="3" t="s">
        <v>101</v>
      </c>
      <c r="AC1461" s="3">
        <v>3</v>
      </c>
    </row>
    <row r="1462" spans="1:29" x14ac:dyDescent="0.3">
      <c r="A1462" s="2" t="s">
        <v>6964</v>
      </c>
      <c r="B1462" s="2" t="s">
        <v>6965</v>
      </c>
      <c r="C1462" s="2" t="s">
        <v>260</v>
      </c>
      <c r="D1462" s="2" t="s">
        <v>6966</v>
      </c>
      <c r="E1462" s="2" t="s">
        <v>18</v>
      </c>
      <c r="F1462" s="2" t="s">
        <v>462</v>
      </c>
      <c r="G1462" s="2" t="s">
        <v>1531</v>
      </c>
      <c r="H1462" s="2" t="s">
        <v>1006</v>
      </c>
      <c r="I1462" s="2">
        <v>7</v>
      </c>
      <c r="J1462" s="2" t="s">
        <v>22</v>
      </c>
      <c r="K1462" s="2" t="s">
        <v>283</v>
      </c>
      <c r="L1462" s="2" t="s">
        <v>284</v>
      </c>
      <c r="M1462" s="2" t="s">
        <v>6967</v>
      </c>
      <c r="N1462" s="2" t="s">
        <v>600</v>
      </c>
      <c r="O1462" s="2" t="s">
        <v>27</v>
      </c>
      <c r="P1462" s="2" t="s">
        <v>175</v>
      </c>
      <c r="Q1462" s="2" t="s">
        <v>197</v>
      </c>
      <c r="R1462" s="2">
        <v>2</v>
      </c>
      <c r="S1462" s="2">
        <v>2479.4699999999998</v>
      </c>
      <c r="T1462" s="2">
        <v>25</v>
      </c>
      <c r="U1462" s="2">
        <v>3719.2</v>
      </c>
      <c r="V1462" s="2">
        <v>1907.98</v>
      </c>
      <c r="W1462" s="2">
        <v>1811.22</v>
      </c>
      <c r="X1462" s="2">
        <v>48.7</v>
      </c>
      <c r="Y1462" s="2">
        <v>99</v>
      </c>
      <c r="Z1462" s="2" t="s">
        <v>43</v>
      </c>
      <c r="AA1462" s="2" t="s">
        <v>275</v>
      </c>
      <c r="AB1462" s="2" t="s">
        <v>101</v>
      </c>
      <c r="AC1462" s="2"/>
    </row>
    <row r="1463" spans="1:29" x14ac:dyDescent="0.3">
      <c r="A1463" s="3" t="s">
        <v>6968</v>
      </c>
      <c r="B1463" s="3" t="s">
        <v>6969</v>
      </c>
      <c r="C1463" s="3" t="s">
        <v>3865</v>
      </c>
      <c r="D1463" s="3" t="s">
        <v>6970</v>
      </c>
      <c r="E1463" s="3" t="s">
        <v>26</v>
      </c>
      <c r="F1463" s="3" t="s">
        <v>158</v>
      </c>
      <c r="G1463" s="3" t="s">
        <v>404</v>
      </c>
      <c r="H1463" s="3" t="s">
        <v>2359</v>
      </c>
      <c r="I1463" s="3">
        <v>7</v>
      </c>
      <c r="J1463" s="3" t="s">
        <v>14</v>
      </c>
      <c r="K1463" s="3" t="s">
        <v>215</v>
      </c>
      <c r="L1463" s="3" t="s">
        <v>215</v>
      </c>
      <c r="M1463" s="3" t="s">
        <v>6971</v>
      </c>
      <c r="N1463" s="3" t="s">
        <v>364</v>
      </c>
      <c r="O1463" s="3" t="s">
        <v>19</v>
      </c>
      <c r="P1463" s="3" t="s">
        <v>365</v>
      </c>
      <c r="Q1463" s="3" t="s">
        <v>608</v>
      </c>
      <c r="R1463" s="3">
        <v>2</v>
      </c>
      <c r="S1463" s="3">
        <v>14336.43</v>
      </c>
      <c r="T1463" s="3">
        <v>5</v>
      </c>
      <c r="U1463" s="3">
        <v>27239.22</v>
      </c>
      <c r="V1463" s="3">
        <v>16061.37</v>
      </c>
      <c r="W1463" s="3">
        <v>11177.85</v>
      </c>
      <c r="X1463" s="3">
        <v>41.04</v>
      </c>
      <c r="Y1463" s="3">
        <v>49</v>
      </c>
      <c r="Z1463" s="3" t="s">
        <v>15</v>
      </c>
      <c r="AA1463" s="3" t="s">
        <v>100</v>
      </c>
      <c r="AB1463" s="3" t="s">
        <v>101</v>
      </c>
      <c r="AC1463" s="3"/>
    </row>
    <row r="1464" spans="1:29" x14ac:dyDescent="0.3">
      <c r="A1464" s="2" t="s">
        <v>6972</v>
      </c>
      <c r="B1464" s="2" t="s">
        <v>6973</v>
      </c>
      <c r="C1464" s="2" t="s">
        <v>2339</v>
      </c>
      <c r="D1464" s="2" t="s">
        <v>6974</v>
      </c>
      <c r="E1464" s="2" t="s">
        <v>26</v>
      </c>
      <c r="F1464" s="2" t="s">
        <v>1888</v>
      </c>
      <c r="G1464" s="2" t="s">
        <v>2167</v>
      </c>
      <c r="H1464" s="2" t="s">
        <v>1889</v>
      </c>
      <c r="I1464" s="2">
        <v>3</v>
      </c>
      <c r="J1464" s="2" t="s">
        <v>22</v>
      </c>
      <c r="K1464" s="2" t="s">
        <v>283</v>
      </c>
      <c r="L1464" s="2" t="s">
        <v>748</v>
      </c>
      <c r="M1464" s="2" t="s">
        <v>6975</v>
      </c>
      <c r="N1464" s="2" t="s">
        <v>1122</v>
      </c>
      <c r="O1464" s="2" t="s">
        <v>27</v>
      </c>
      <c r="P1464" s="2" t="s">
        <v>257</v>
      </c>
      <c r="Q1464" s="2" t="s">
        <v>355</v>
      </c>
      <c r="R1464" s="2">
        <v>2</v>
      </c>
      <c r="S1464" s="2">
        <v>27200.95</v>
      </c>
      <c r="T1464" s="2">
        <v>20</v>
      </c>
      <c r="U1464" s="2">
        <v>43521.52</v>
      </c>
      <c r="V1464" s="2">
        <v>27040.23</v>
      </c>
      <c r="W1464" s="2">
        <v>16481.29</v>
      </c>
      <c r="X1464" s="2">
        <v>37.869999999999997</v>
      </c>
      <c r="Y1464" s="2">
        <v>199</v>
      </c>
      <c r="Z1464" s="2" t="s">
        <v>15</v>
      </c>
      <c r="AA1464" s="2" t="s">
        <v>100</v>
      </c>
      <c r="AB1464" s="2" t="s">
        <v>101</v>
      </c>
      <c r="AC1464" s="2">
        <v>1</v>
      </c>
    </row>
    <row r="1465" spans="1:29" x14ac:dyDescent="0.3">
      <c r="A1465" s="3" t="s">
        <v>6976</v>
      </c>
      <c r="B1465" s="3" t="s">
        <v>6977</v>
      </c>
      <c r="C1465" s="3" t="s">
        <v>231</v>
      </c>
      <c r="D1465" s="3" t="s">
        <v>6978</v>
      </c>
      <c r="E1465" s="3" t="s">
        <v>42</v>
      </c>
      <c r="F1465" s="3" t="s">
        <v>1608</v>
      </c>
      <c r="G1465" s="3" t="s">
        <v>1257</v>
      </c>
      <c r="H1465" s="3" t="s">
        <v>1971</v>
      </c>
      <c r="I1465" s="3">
        <v>3</v>
      </c>
      <c r="J1465" s="3" t="s">
        <v>14</v>
      </c>
      <c r="K1465" s="3" t="s">
        <v>171</v>
      </c>
      <c r="L1465" s="3" t="s">
        <v>172</v>
      </c>
      <c r="M1465" s="3" t="s">
        <v>6030</v>
      </c>
      <c r="N1465" s="3" t="s">
        <v>266</v>
      </c>
      <c r="O1465" s="3" t="s">
        <v>28</v>
      </c>
      <c r="P1465" s="3" t="s">
        <v>151</v>
      </c>
      <c r="Q1465" s="3" t="s">
        <v>287</v>
      </c>
      <c r="R1465" s="3">
        <v>5</v>
      </c>
      <c r="S1465" s="3">
        <v>36780.22</v>
      </c>
      <c r="T1465" s="3">
        <v>0</v>
      </c>
      <c r="U1465" s="3">
        <v>183901.1</v>
      </c>
      <c r="V1465" s="3">
        <v>108841.69</v>
      </c>
      <c r="W1465" s="3">
        <v>75059.41</v>
      </c>
      <c r="X1465" s="3">
        <v>40.82</v>
      </c>
      <c r="Y1465" s="3">
        <v>0</v>
      </c>
      <c r="Z1465" s="3" t="s">
        <v>23</v>
      </c>
      <c r="AA1465" s="3" t="s">
        <v>100</v>
      </c>
      <c r="AB1465" s="3" t="s">
        <v>101</v>
      </c>
      <c r="AC1465" s="3">
        <v>2</v>
      </c>
    </row>
    <row r="1466" spans="1:29" x14ac:dyDescent="0.3">
      <c r="A1466" s="2" t="s">
        <v>6979</v>
      </c>
      <c r="B1466" s="2" t="s">
        <v>6980</v>
      </c>
      <c r="C1466" s="2" t="s">
        <v>571</v>
      </c>
      <c r="D1466" s="2" t="s">
        <v>6981</v>
      </c>
      <c r="E1466" s="2" t="s">
        <v>18</v>
      </c>
      <c r="F1466" s="2" t="s">
        <v>1569</v>
      </c>
      <c r="G1466" s="2" t="s">
        <v>1235</v>
      </c>
      <c r="H1466" s="2" t="s">
        <v>1141</v>
      </c>
      <c r="I1466" s="2">
        <v>3</v>
      </c>
      <c r="J1466" s="2" t="s">
        <v>29</v>
      </c>
      <c r="K1466" s="2" t="s">
        <v>427</v>
      </c>
      <c r="L1466" s="2" t="s">
        <v>428</v>
      </c>
      <c r="M1466" s="2" t="s">
        <v>6982</v>
      </c>
      <c r="N1466" s="2" t="s">
        <v>438</v>
      </c>
      <c r="O1466" s="2" t="s">
        <v>13</v>
      </c>
      <c r="P1466" s="2" t="s">
        <v>228</v>
      </c>
      <c r="Q1466" s="2" t="s">
        <v>127</v>
      </c>
      <c r="R1466" s="2">
        <v>5</v>
      </c>
      <c r="S1466" s="2">
        <v>38030.879999999997</v>
      </c>
      <c r="T1466" s="2">
        <v>25</v>
      </c>
      <c r="U1466" s="2">
        <v>142615.79999999999</v>
      </c>
      <c r="V1466" s="2">
        <v>89849.55</v>
      </c>
      <c r="W1466" s="2">
        <v>52766.25</v>
      </c>
      <c r="X1466" s="2">
        <v>37</v>
      </c>
      <c r="Y1466" s="2">
        <v>29</v>
      </c>
      <c r="Z1466" s="2" t="s">
        <v>40</v>
      </c>
      <c r="AA1466" s="2" t="s">
        <v>100</v>
      </c>
      <c r="AB1466" s="2" t="s">
        <v>101</v>
      </c>
      <c r="AC1466" s="2">
        <v>5</v>
      </c>
    </row>
    <row r="1467" spans="1:29" x14ac:dyDescent="0.3">
      <c r="A1467" s="3" t="s">
        <v>6983</v>
      </c>
      <c r="B1467" s="3" t="s">
        <v>6984</v>
      </c>
      <c r="C1467" s="3" t="s">
        <v>1792</v>
      </c>
      <c r="D1467" s="3" t="s">
        <v>6985</v>
      </c>
      <c r="E1467" s="3" t="s">
        <v>42</v>
      </c>
      <c r="F1467" s="3" t="s">
        <v>2980</v>
      </c>
      <c r="G1467" s="3" t="s">
        <v>5153</v>
      </c>
      <c r="H1467" s="3" t="s">
        <v>3520</v>
      </c>
      <c r="I1467" s="3">
        <v>5</v>
      </c>
      <c r="J1467" s="3" t="s">
        <v>29</v>
      </c>
      <c r="K1467" s="3" t="s">
        <v>148</v>
      </c>
      <c r="L1467" s="3" t="s">
        <v>148</v>
      </c>
      <c r="M1467" s="3" t="s">
        <v>6986</v>
      </c>
      <c r="N1467" s="3" t="s">
        <v>286</v>
      </c>
      <c r="O1467" s="3" t="s">
        <v>28</v>
      </c>
      <c r="P1467" s="3" t="s">
        <v>137</v>
      </c>
      <c r="Q1467" s="3" t="s">
        <v>207</v>
      </c>
      <c r="R1467" s="3">
        <v>5</v>
      </c>
      <c r="S1467" s="3">
        <v>652.28</v>
      </c>
      <c r="T1467" s="3">
        <v>20</v>
      </c>
      <c r="U1467" s="3">
        <v>2609.12</v>
      </c>
      <c r="V1467" s="3">
        <v>1392.15</v>
      </c>
      <c r="W1467" s="3">
        <v>1216.97</v>
      </c>
      <c r="X1467" s="3">
        <v>46.64</v>
      </c>
      <c r="Y1467" s="3">
        <v>49</v>
      </c>
      <c r="Z1467" s="3" t="s">
        <v>47</v>
      </c>
      <c r="AA1467" s="3" t="s">
        <v>100</v>
      </c>
      <c r="AB1467" s="3" t="s">
        <v>101</v>
      </c>
      <c r="AC1467" s="3">
        <v>1</v>
      </c>
    </row>
    <row r="1468" spans="1:29" x14ac:dyDescent="0.3">
      <c r="A1468" s="2" t="s">
        <v>6987</v>
      </c>
      <c r="B1468" s="2" t="s">
        <v>6988</v>
      </c>
      <c r="C1468" s="2" t="s">
        <v>1544</v>
      </c>
      <c r="D1468" s="2" t="s">
        <v>6989</v>
      </c>
      <c r="E1468" s="2" t="s">
        <v>33</v>
      </c>
      <c r="F1468" s="2" t="s">
        <v>2456</v>
      </c>
      <c r="G1468" s="2" t="s">
        <v>2081</v>
      </c>
      <c r="H1468" s="2" t="s">
        <v>3791</v>
      </c>
      <c r="I1468" s="2">
        <v>6</v>
      </c>
      <c r="J1468" s="2" t="s">
        <v>14</v>
      </c>
      <c r="K1468" s="2" t="s">
        <v>712</v>
      </c>
      <c r="L1468" s="2" t="s">
        <v>712</v>
      </c>
      <c r="M1468" s="2" t="s">
        <v>6990</v>
      </c>
      <c r="N1468" s="2" t="s">
        <v>97</v>
      </c>
      <c r="O1468" s="2" t="s">
        <v>13</v>
      </c>
      <c r="P1468" s="2" t="s">
        <v>98</v>
      </c>
      <c r="Q1468" s="2" t="s">
        <v>400</v>
      </c>
      <c r="R1468" s="2">
        <v>3</v>
      </c>
      <c r="S1468" s="2">
        <v>41743.730000000003</v>
      </c>
      <c r="T1468" s="2">
        <v>20</v>
      </c>
      <c r="U1468" s="2">
        <v>100184.95</v>
      </c>
      <c r="V1468" s="2">
        <v>67950.06</v>
      </c>
      <c r="W1468" s="2">
        <v>32234.89</v>
      </c>
      <c r="X1468" s="2">
        <v>32.18</v>
      </c>
      <c r="Y1468" s="2">
        <v>0</v>
      </c>
      <c r="Z1468" s="2" t="s">
        <v>47</v>
      </c>
      <c r="AA1468" s="2" t="s">
        <v>275</v>
      </c>
      <c r="AB1468" s="2" t="s">
        <v>101</v>
      </c>
      <c r="AC1468" s="2"/>
    </row>
    <row r="1469" spans="1:29" x14ac:dyDescent="0.3">
      <c r="A1469" s="3" t="s">
        <v>6991</v>
      </c>
      <c r="B1469" s="3" t="s">
        <v>6992</v>
      </c>
      <c r="C1469" s="3" t="s">
        <v>1085</v>
      </c>
      <c r="D1469" s="3" t="s">
        <v>6993</v>
      </c>
      <c r="E1469" s="3" t="s">
        <v>18</v>
      </c>
      <c r="F1469" s="3" t="s">
        <v>3399</v>
      </c>
      <c r="G1469" s="3" t="s">
        <v>991</v>
      </c>
      <c r="H1469" s="3" t="s">
        <v>1359</v>
      </c>
      <c r="I1469" s="3">
        <v>8</v>
      </c>
      <c r="J1469" s="3" t="s">
        <v>29</v>
      </c>
      <c r="K1469" s="3" t="s">
        <v>427</v>
      </c>
      <c r="L1469" s="3" t="s">
        <v>1081</v>
      </c>
      <c r="M1469" s="3" t="s">
        <v>6994</v>
      </c>
      <c r="N1469" s="3" t="s">
        <v>852</v>
      </c>
      <c r="O1469" s="3" t="s">
        <v>27</v>
      </c>
      <c r="P1469" s="3" t="s">
        <v>175</v>
      </c>
      <c r="Q1469" s="3" t="s">
        <v>114</v>
      </c>
      <c r="R1469" s="3">
        <v>2</v>
      </c>
      <c r="S1469" s="3">
        <v>25540.02</v>
      </c>
      <c r="T1469" s="3">
        <v>10</v>
      </c>
      <c r="U1469" s="3">
        <v>45972.04</v>
      </c>
      <c r="V1469" s="3">
        <v>29649.64</v>
      </c>
      <c r="W1469" s="3">
        <v>16322.4</v>
      </c>
      <c r="X1469" s="3">
        <v>35.51</v>
      </c>
      <c r="Y1469" s="3">
        <v>0</v>
      </c>
      <c r="Z1469" s="3" t="s">
        <v>47</v>
      </c>
      <c r="AA1469" s="3" t="s">
        <v>100</v>
      </c>
      <c r="AB1469" s="3" t="s">
        <v>101</v>
      </c>
      <c r="AC1469" s="3">
        <v>2</v>
      </c>
    </row>
    <row r="1470" spans="1:29" x14ac:dyDescent="0.3">
      <c r="A1470" s="2" t="s">
        <v>6995</v>
      </c>
      <c r="B1470" s="2" t="s">
        <v>6996</v>
      </c>
      <c r="C1470" s="2" t="s">
        <v>2622</v>
      </c>
      <c r="D1470" s="2" t="s">
        <v>6997</v>
      </c>
      <c r="E1470" s="2" t="s">
        <v>18</v>
      </c>
      <c r="F1470" s="2" t="s">
        <v>3005</v>
      </c>
      <c r="G1470" s="2" t="s">
        <v>3394</v>
      </c>
      <c r="H1470" s="2" t="s">
        <v>1659</v>
      </c>
      <c r="I1470" s="2">
        <v>5</v>
      </c>
      <c r="J1470" s="2" t="s">
        <v>39</v>
      </c>
      <c r="K1470" s="2" t="s">
        <v>109</v>
      </c>
      <c r="L1470" s="2" t="s">
        <v>134</v>
      </c>
      <c r="M1470" s="2" t="s">
        <v>6998</v>
      </c>
      <c r="N1470" s="2" t="s">
        <v>889</v>
      </c>
      <c r="O1470" s="2" t="s">
        <v>27</v>
      </c>
      <c r="P1470" s="2" t="s">
        <v>257</v>
      </c>
      <c r="Q1470" s="2" t="s">
        <v>138</v>
      </c>
      <c r="R1470" s="2">
        <v>1</v>
      </c>
      <c r="S1470" s="2">
        <v>1071.77</v>
      </c>
      <c r="T1470" s="2">
        <v>0</v>
      </c>
      <c r="U1470" s="2">
        <v>1071.77</v>
      </c>
      <c r="V1470" s="2">
        <v>678.35</v>
      </c>
      <c r="W1470" s="2">
        <v>393.42</v>
      </c>
      <c r="X1470" s="2">
        <v>36.71</v>
      </c>
      <c r="Y1470" s="2">
        <v>99</v>
      </c>
      <c r="Z1470" s="2" t="s">
        <v>48</v>
      </c>
      <c r="AA1470" s="2" t="s">
        <v>100</v>
      </c>
      <c r="AB1470" s="2" t="s">
        <v>101</v>
      </c>
      <c r="AC1470" s="2">
        <v>3</v>
      </c>
    </row>
    <row r="1471" spans="1:29" x14ac:dyDescent="0.3">
      <c r="A1471" s="3" t="s">
        <v>6999</v>
      </c>
      <c r="B1471" s="3" t="s">
        <v>7000</v>
      </c>
      <c r="C1471" s="3" t="s">
        <v>816</v>
      </c>
      <c r="D1471" s="3" t="s">
        <v>7001</v>
      </c>
      <c r="E1471" s="3" t="s">
        <v>33</v>
      </c>
      <c r="F1471" s="3" t="s">
        <v>4880</v>
      </c>
      <c r="G1471" s="3" t="s">
        <v>3005</v>
      </c>
      <c r="H1471" s="3" t="s">
        <v>2757</v>
      </c>
      <c r="I1471" s="3">
        <v>5</v>
      </c>
      <c r="J1471" s="3" t="s">
        <v>29</v>
      </c>
      <c r="K1471" s="3" t="s">
        <v>427</v>
      </c>
      <c r="L1471" s="3" t="s">
        <v>1871</v>
      </c>
      <c r="M1471" s="3" t="s">
        <v>7002</v>
      </c>
      <c r="N1471" s="3" t="s">
        <v>631</v>
      </c>
      <c r="O1471" s="3" t="s">
        <v>19</v>
      </c>
      <c r="P1471" s="3" t="s">
        <v>297</v>
      </c>
      <c r="Q1471" s="3" t="s">
        <v>138</v>
      </c>
      <c r="R1471" s="3">
        <v>5</v>
      </c>
      <c r="S1471" s="3">
        <v>25432.37</v>
      </c>
      <c r="T1471" s="3">
        <v>20</v>
      </c>
      <c r="U1471" s="3">
        <v>101729.48</v>
      </c>
      <c r="V1471" s="3">
        <v>62072.17</v>
      </c>
      <c r="W1471" s="3">
        <v>39657.31</v>
      </c>
      <c r="X1471" s="3">
        <v>38.979999999999997</v>
      </c>
      <c r="Y1471" s="3">
        <v>199</v>
      </c>
      <c r="Z1471" s="3" t="s">
        <v>23</v>
      </c>
      <c r="AA1471" s="3" t="s">
        <v>100</v>
      </c>
      <c r="AB1471" s="3" t="s">
        <v>140</v>
      </c>
      <c r="AC1471" s="3">
        <v>4</v>
      </c>
    </row>
    <row r="1472" spans="1:29" x14ac:dyDescent="0.3">
      <c r="A1472" s="2" t="s">
        <v>7003</v>
      </c>
      <c r="B1472" s="2" t="s">
        <v>7004</v>
      </c>
      <c r="C1472" s="2" t="s">
        <v>1054</v>
      </c>
      <c r="D1472" s="2" t="s">
        <v>7005</v>
      </c>
      <c r="E1472" s="2" t="s">
        <v>33</v>
      </c>
      <c r="F1472" s="2" t="s">
        <v>1192</v>
      </c>
      <c r="G1472" s="2" t="s">
        <v>998</v>
      </c>
      <c r="H1472" s="2" t="s">
        <v>3614</v>
      </c>
      <c r="I1472" s="2">
        <v>2</v>
      </c>
      <c r="J1472" s="2" t="s">
        <v>14</v>
      </c>
      <c r="K1472" s="2" t="s">
        <v>171</v>
      </c>
      <c r="L1472" s="2" t="s">
        <v>172</v>
      </c>
      <c r="M1472" s="2" t="s">
        <v>3798</v>
      </c>
      <c r="N1472" s="2" t="s">
        <v>185</v>
      </c>
      <c r="O1472" s="2" t="s">
        <v>28</v>
      </c>
      <c r="P1472" s="2" t="s">
        <v>151</v>
      </c>
      <c r="Q1472" s="2" t="s">
        <v>608</v>
      </c>
      <c r="R1472" s="2">
        <v>3</v>
      </c>
      <c r="S1472" s="2">
        <v>17549.509999999998</v>
      </c>
      <c r="T1472" s="2">
        <v>30</v>
      </c>
      <c r="U1472" s="2">
        <v>36853.97</v>
      </c>
      <c r="V1472" s="2">
        <v>18506.52</v>
      </c>
      <c r="W1472" s="2">
        <v>18347.45</v>
      </c>
      <c r="X1472" s="2">
        <v>49.78</v>
      </c>
      <c r="Y1472" s="2">
        <v>99</v>
      </c>
      <c r="Z1472" s="2" t="s">
        <v>30</v>
      </c>
      <c r="AA1472" s="2" t="s">
        <v>100</v>
      </c>
      <c r="AB1472" s="2" t="s">
        <v>101</v>
      </c>
      <c r="AC1472" s="2">
        <v>5</v>
      </c>
    </row>
    <row r="1473" spans="1:29" x14ac:dyDescent="0.3">
      <c r="A1473" s="3" t="s">
        <v>7006</v>
      </c>
      <c r="B1473" s="3" t="s">
        <v>7007</v>
      </c>
      <c r="C1473" s="3" t="s">
        <v>2590</v>
      </c>
      <c r="D1473" s="3" t="s">
        <v>2158</v>
      </c>
      <c r="E1473" s="3" t="s">
        <v>42</v>
      </c>
      <c r="F1473" s="3" t="s">
        <v>2659</v>
      </c>
      <c r="G1473" s="3" t="s">
        <v>2456</v>
      </c>
      <c r="H1473" s="3" t="s">
        <v>4673</v>
      </c>
      <c r="I1473" s="3">
        <v>5</v>
      </c>
      <c r="J1473" s="3" t="s">
        <v>39</v>
      </c>
      <c r="K1473" s="3" t="s">
        <v>225</v>
      </c>
      <c r="L1473" s="3" t="s">
        <v>225</v>
      </c>
      <c r="M1473" s="3" t="s">
        <v>7008</v>
      </c>
      <c r="N1473" s="3" t="s">
        <v>296</v>
      </c>
      <c r="O1473" s="3" t="s">
        <v>19</v>
      </c>
      <c r="P1473" s="3" t="s">
        <v>297</v>
      </c>
      <c r="Q1473" s="3" t="s">
        <v>466</v>
      </c>
      <c r="R1473" s="3">
        <v>1</v>
      </c>
      <c r="S1473" s="3">
        <v>23582.31</v>
      </c>
      <c r="T1473" s="3">
        <v>20</v>
      </c>
      <c r="U1473" s="3">
        <v>18865.849999999999</v>
      </c>
      <c r="V1473" s="3">
        <v>11239.7</v>
      </c>
      <c r="W1473" s="3">
        <v>7626.15</v>
      </c>
      <c r="X1473" s="3">
        <v>40.42</v>
      </c>
      <c r="Y1473" s="3">
        <v>29</v>
      </c>
      <c r="Z1473" s="3" t="s">
        <v>30</v>
      </c>
      <c r="AA1473" s="3" t="s">
        <v>100</v>
      </c>
      <c r="AB1473" s="3" t="s">
        <v>101</v>
      </c>
      <c r="AC1473" s="3">
        <v>3</v>
      </c>
    </row>
    <row r="1474" spans="1:29" x14ac:dyDescent="0.3">
      <c r="A1474" s="2" t="s">
        <v>7009</v>
      </c>
      <c r="B1474" s="2" t="s">
        <v>7010</v>
      </c>
      <c r="C1474" s="2" t="s">
        <v>2147</v>
      </c>
      <c r="D1474" s="2" t="s">
        <v>3020</v>
      </c>
      <c r="E1474" s="2" t="s">
        <v>26</v>
      </c>
      <c r="F1474" s="2" t="s">
        <v>1652</v>
      </c>
      <c r="G1474" s="2" t="s">
        <v>1653</v>
      </c>
      <c r="H1474" s="2" t="s">
        <v>1654</v>
      </c>
      <c r="I1474" s="2">
        <v>7</v>
      </c>
      <c r="J1474" s="2" t="s">
        <v>14</v>
      </c>
      <c r="K1474" s="2" t="s">
        <v>95</v>
      </c>
      <c r="L1474" s="2" t="s">
        <v>95</v>
      </c>
      <c r="M1474" s="2" t="s">
        <v>7011</v>
      </c>
      <c r="N1474" s="2" t="s">
        <v>805</v>
      </c>
      <c r="O1474" s="2" t="s">
        <v>28</v>
      </c>
      <c r="P1474" s="2" t="s">
        <v>151</v>
      </c>
      <c r="Q1474" s="2" t="s">
        <v>197</v>
      </c>
      <c r="R1474" s="2">
        <v>5</v>
      </c>
      <c r="S1474" s="2">
        <v>29685.66</v>
      </c>
      <c r="T1474" s="2">
        <v>0</v>
      </c>
      <c r="U1474" s="2">
        <v>148428.29999999999</v>
      </c>
      <c r="V1474" s="2">
        <v>83146.509999999995</v>
      </c>
      <c r="W1474" s="2">
        <v>65281.79</v>
      </c>
      <c r="X1474" s="2">
        <v>43.98</v>
      </c>
      <c r="Y1474" s="2">
        <v>149</v>
      </c>
      <c r="Z1474" s="2" t="s">
        <v>40</v>
      </c>
      <c r="AA1474" s="2" t="s">
        <v>275</v>
      </c>
      <c r="AB1474" s="2" t="s">
        <v>101</v>
      </c>
      <c r="AC1474" s="2"/>
    </row>
    <row r="1475" spans="1:29" x14ac:dyDescent="0.3">
      <c r="A1475" s="3" t="s">
        <v>7012</v>
      </c>
      <c r="B1475" s="3" t="s">
        <v>7013</v>
      </c>
      <c r="C1475" s="3" t="s">
        <v>117</v>
      </c>
      <c r="D1475" s="3" t="s">
        <v>7014</v>
      </c>
      <c r="E1475" s="3" t="s">
        <v>33</v>
      </c>
      <c r="F1475" s="3" t="s">
        <v>1228</v>
      </c>
      <c r="G1475" s="3" t="s">
        <v>1229</v>
      </c>
      <c r="H1475" s="3" t="s">
        <v>1021</v>
      </c>
      <c r="I1475" s="3">
        <v>6</v>
      </c>
      <c r="J1475" s="3" t="s">
        <v>29</v>
      </c>
      <c r="K1475" s="3" t="s">
        <v>427</v>
      </c>
      <c r="L1475" s="3" t="s">
        <v>428</v>
      </c>
      <c r="M1475" s="3" t="s">
        <v>7015</v>
      </c>
      <c r="N1475" s="3" t="s">
        <v>1332</v>
      </c>
      <c r="O1475" s="3" t="s">
        <v>19</v>
      </c>
      <c r="P1475" s="3" t="s">
        <v>447</v>
      </c>
      <c r="Q1475" s="3" t="s">
        <v>466</v>
      </c>
      <c r="R1475" s="3">
        <v>4</v>
      </c>
      <c r="S1475" s="3">
        <v>5555.58</v>
      </c>
      <c r="T1475" s="3">
        <v>20</v>
      </c>
      <c r="U1475" s="3">
        <v>17777.86</v>
      </c>
      <c r="V1475" s="3">
        <v>8281.24</v>
      </c>
      <c r="W1475" s="3">
        <v>9496.6200000000008</v>
      </c>
      <c r="X1475" s="3">
        <v>53.42</v>
      </c>
      <c r="Y1475" s="3">
        <v>149</v>
      </c>
      <c r="Z1475" s="3" t="s">
        <v>23</v>
      </c>
      <c r="AA1475" s="3" t="s">
        <v>100</v>
      </c>
      <c r="AB1475" s="3" t="s">
        <v>101</v>
      </c>
      <c r="AC1475" s="3">
        <v>2</v>
      </c>
    </row>
    <row r="1476" spans="1:29" x14ac:dyDescent="0.3">
      <c r="A1476" s="2" t="s">
        <v>7016</v>
      </c>
      <c r="B1476" s="2" t="s">
        <v>7017</v>
      </c>
      <c r="C1476" s="2" t="s">
        <v>459</v>
      </c>
      <c r="D1476" s="2" t="s">
        <v>7018</v>
      </c>
      <c r="E1476" s="2" t="s">
        <v>33</v>
      </c>
      <c r="F1476" s="2" t="s">
        <v>294</v>
      </c>
      <c r="G1476" s="2" t="s">
        <v>2836</v>
      </c>
      <c r="H1476" s="2" t="s">
        <v>2980</v>
      </c>
      <c r="I1476" s="2">
        <v>6</v>
      </c>
      <c r="J1476" s="2" t="s">
        <v>14</v>
      </c>
      <c r="K1476" s="2" t="s">
        <v>712</v>
      </c>
      <c r="L1476" s="2" t="s">
        <v>712</v>
      </c>
      <c r="M1476" s="2" t="s">
        <v>7019</v>
      </c>
      <c r="N1476" s="2" t="s">
        <v>704</v>
      </c>
      <c r="O1476" s="2" t="s">
        <v>13</v>
      </c>
      <c r="P1476" s="2" t="s">
        <v>419</v>
      </c>
      <c r="Q1476" s="2" t="s">
        <v>466</v>
      </c>
      <c r="R1476" s="2">
        <v>1</v>
      </c>
      <c r="S1476" s="2">
        <v>46752.54</v>
      </c>
      <c r="T1476" s="2">
        <v>30</v>
      </c>
      <c r="U1476" s="2">
        <v>32726.78</v>
      </c>
      <c r="V1476" s="2">
        <v>16364.23</v>
      </c>
      <c r="W1476" s="2">
        <v>16362.55</v>
      </c>
      <c r="X1476" s="2">
        <v>50</v>
      </c>
      <c r="Y1476" s="2">
        <v>199</v>
      </c>
      <c r="Z1476" s="2" t="s">
        <v>15</v>
      </c>
      <c r="AA1476" s="2" t="s">
        <v>186</v>
      </c>
      <c r="AB1476" s="2" t="s">
        <v>101</v>
      </c>
      <c r="AC1476" s="2"/>
    </row>
    <row r="1477" spans="1:29" x14ac:dyDescent="0.3">
      <c r="A1477" s="3" t="s">
        <v>7020</v>
      </c>
      <c r="B1477" s="3" t="s">
        <v>7021</v>
      </c>
      <c r="C1477" s="3" t="s">
        <v>1675</v>
      </c>
      <c r="D1477" s="3" t="s">
        <v>7022</v>
      </c>
      <c r="E1477" s="3" t="s">
        <v>18</v>
      </c>
      <c r="F1477" s="3" t="s">
        <v>7023</v>
      </c>
      <c r="G1477" s="3" t="s">
        <v>3559</v>
      </c>
      <c r="H1477" s="3" t="s">
        <v>719</v>
      </c>
      <c r="I1477" s="3">
        <v>5</v>
      </c>
      <c r="J1477" s="3" t="s">
        <v>39</v>
      </c>
      <c r="K1477" s="3" t="s">
        <v>193</v>
      </c>
      <c r="L1477" s="3" t="s">
        <v>193</v>
      </c>
      <c r="M1477" s="3" t="s">
        <v>7024</v>
      </c>
      <c r="N1477" s="3" t="s">
        <v>390</v>
      </c>
      <c r="O1477" s="3" t="s">
        <v>19</v>
      </c>
      <c r="P1477" s="3" t="s">
        <v>297</v>
      </c>
      <c r="Q1477" s="3" t="s">
        <v>509</v>
      </c>
      <c r="R1477" s="3">
        <v>2</v>
      </c>
      <c r="S1477" s="3">
        <v>24289.200000000001</v>
      </c>
      <c r="T1477" s="3">
        <v>20</v>
      </c>
      <c r="U1477" s="3">
        <v>38862.720000000001</v>
      </c>
      <c r="V1477" s="3">
        <v>18307.330000000002</v>
      </c>
      <c r="W1477" s="3">
        <v>20555.39</v>
      </c>
      <c r="X1477" s="3">
        <v>52.89</v>
      </c>
      <c r="Y1477" s="3">
        <v>0</v>
      </c>
      <c r="Z1477" s="3" t="s">
        <v>47</v>
      </c>
      <c r="AA1477" s="3" t="s">
        <v>100</v>
      </c>
      <c r="AB1477" s="3" t="s">
        <v>101</v>
      </c>
      <c r="AC1477" s="3">
        <v>1</v>
      </c>
    </row>
    <row r="1478" spans="1:29" x14ac:dyDescent="0.3">
      <c r="A1478" s="2" t="s">
        <v>7025</v>
      </c>
      <c r="B1478" s="2" t="s">
        <v>7026</v>
      </c>
      <c r="C1478" s="2" t="s">
        <v>1861</v>
      </c>
      <c r="D1478" s="2" t="s">
        <v>7027</v>
      </c>
      <c r="E1478" s="2" t="s">
        <v>26</v>
      </c>
      <c r="F1478" s="2" t="s">
        <v>1531</v>
      </c>
      <c r="G1478" s="2" t="s">
        <v>4614</v>
      </c>
      <c r="H1478" s="2" t="s">
        <v>1533</v>
      </c>
      <c r="I1478" s="2">
        <v>8</v>
      </c>
      <c r="J1478" s="2" t="s">
        <v>39</v>
      </c>
      <c r="K1478" s="2" t="s">
        <v>225</v>
      </c>
      <c r="L1478" s="2" t="s">
        <v>225</v>
      </c>
      <c r="M1478" s="2" t="s">
        <v>7028</v>
      </c>
      <c r="N1478" s="2" t="s">
        <v>631</v>
      </c>
      <c r="O1478" s="2" t="s">
        <v>19</v>
      </c>
      <c r="P1478" s="2" t="s">
        <v>297</v>
      </c>
      <c r="Q1478" s="2" t="s">
        <v>287</v>
      </c>
      <c r="R1478" s="2">
        <v>2</v>
      </c>
      <c r="S1478" s="2">
        <v>41683.370000000003</v>
      </c>
      <c r="T1478" s="2">
        <v>25</v>
      </c>
      <c r="U1478" s="2">
        <v>62525.06</v>
      </c>
      <c r="V1478" s="2">
        <v>32654.46</v>
      </c>
      <c r="W1478" s="2">
        <v>29870.6</v>
      </c>
      <c r="X1478" s="2">
        <v>47.77</v>
      </c>
      <c r="Y1478" s="2">
        <v>29</v>
      </c>
      <c r="Z1478" s="2" t="s">
        <v>47</v>
      </c>
      <c r="AA1478" s="2" t="s">
        <v>100</v>
      </c>
      <c r="AB1478" s="2" t="s">
        <v>101</v>
      </c>
      <c r="AC1478" s="2">
        <v>2</v>
      </c>
    </row>
    <row r="1479" spans="1:29" x14ac:dyDescent="0.3">
      <c r="A1479" s="3" t="s">
        <v>7029</v>
      </c>
      <c r="B1479" s="3" t="s">
        <v>2256</v>
      </c>
      <c r="C1479" s="3" t="s">
        <v>973</v>
      </c>
      <c r="D1479" s="3" t="s">
        <v>7030</v>
      </c>
      <c r="E1479" s="3" t="s">
        <v>42</v>
      </c>
      <c r="F1479" s="3" t="s">
        <v>803</v>
      </c>
      <c r="G1479" s="3" t="s">
        <v>7031</v>
      </c>
      <c r="H1479" s="3" t="s">
        <v>1118</v>
      </c>
      <c r="I1479" s="3">
        <v>3</v>
      </c>
      <c r="J1479" s="3" t="s">
        <v>29</v>
      </c>
      <c r="K1479" s="3" t="s">
        <v>834</v>
      </c>
      <c r="L1479" s="3" t="s">
        <v>901</v>
      </c>
      <c r="M1479" s="3" t="s">
        <v>7032</v>
      </c>
      <c r="N1479" s="3" t="s">
        <v>125</v>
      </c>
      <c r="O1479" s="3" t="s">
        <v>21</v>
      </c>
      <c r="P1479" s="3" t="s">
        <v>126</v>
      </c>
      <c r="Q1479" s="3" t="s">
        <v>138</v>
      </c>
      <c r="R1479" s="3">
        <v>2</v>
      </c>
      <c r="S1479" s="3">
        <v>36124.410000000003</v>
      </c>
      <c r="T1479" s="3">
        <v>30</v>
      </c>
      <c r="U1479" s="3">
        <v>50574.17</v>
      </c>
      <c r="V1479" s="3">
        <v>23036.42</v>
      </c>
      <c r="W1479" s="3">
        <v>27537.75</v>
      </c>
      <c r="X1479" s="3">
        <v>54.45</v>
      </c>
      <c r="Y1479" s="3">
        <v>49</v>
      </c>
      <c r="Z1479" s="3" t="s">
        <v>23</v>
      </c>
      <c r="AA1479" s="3" t="s">
        <v>100</v>
      </c>
      <c r="AB1479" s="3" t="s">
        <v>101</v>
      </c>
      <c r="AC1479" s="3">
        <v>4</v>
      </c>
    </row>
    <row r="1480" spans="1:29" x14ac:dyDescent="0.3">
      <c r="A1480" s="2" t="s">
        <v>7033</v>
      </c>
      <c r="B1480" s="2" t="s">
        <v>7034</v>
      </c>
      <c r="C1480" s="2" t="s">
        <v>1304</v>
      </c>
      <c r="D1480" s="2" t="s">
        <v>7035</v>
      </c>
      <c r="E1480" s="2" t="s">
        <v>26</v>
      </c>
      <c r="F1480" s="2" t="s">
        <v>850</v>
      </c>
      <c r="G1480" s="2" t="s">
        <v>4219</v>
      </c>
      <c r="H1480" s="2" t="s">
        <v>2127</v>
      </c>
      <c r="I1480" s="2">
        <v>4</v>
      </c>
      <c r="J1480" s="2" t="s">
        <v>22</v>
      </c>
      <c r="K1480" s="2" t="s">
        <v>283</v>
      </c>
      <c r="L1480" s="2" t="s">
        <v>1346</v>
      </c>
      <c r="M1480" s="2" t="s">
        <v>7036</v>
      </c>
      <c r="N1480" s="2" t="s">
        <v>1380</v>
      </c>
      <c r="O1480" s="2" t="s">
        <v>28</v>
      </c>
      <c r="P1480" s="2" t="s">
        <v>137</v>
      </c>
      <c r="Q1480" s="2" t="s">
        <v>400</v>
      </c>
      <c r="R1480" s="2">
        <v>5</v>
      </c>
      <c r="S1480" s="2">
        <v>24494.32</v>
      </c>
      <c r="T1480" s="2">
        <v>25</v>
      </c>
      <c r="U1480" s="2">
        <v>91853.7</v>
      </c>
      <c r="V1480" s="2">
        <v>49177.15</v>
      </c>
      <c r="W1480" s="2">
        <v>42676.55</v>
      </c>
      <c r="X1480" s="2">
        <v>46.46</v>
      </c>
      <c r="Y1480" s="2">
        <v>149</v>
      </c>
      <c r="Z1480" s="2" t="s">
        <v>15</v>
      </c>
      <c r="AA1480" s="2" t="s">
        <v>100</v>
      </c>
      <c r="AB1480" s="2" t="s">
        <v>101</v>
      </c>
      <c r="AC1480" s="2">
        <v>3</v>
      </c>
    </row>
    <row r="1481" spans="1:29" x14ac:dyDescent="0.3">
      <c r="A1481" s="3" t="s">
        <v>7037</v>
      </c>
      <c r="B1481" s="3" t="s">
        <v>4596</v>
      </c>
      <c r="C1481" s="3" t="s">
        <v>2110</v>
      </c>
      <c r="D1481" s="3" t="s">
        <v>7038</v>
      </c>
      <c r="E1481" s="3" t="s">
        <v>33</v>
      </c>
      <c r="F1481" s="3" t="s">
        <v>3317</v>
      </c>
      <c r="G1481" s="3" t="s">
        <v>1996</v>
      </c>
      <c r="H1481" s="3" t="s">
        <v>1306</v>
      </c>
      <c r="I1481" s="3">
        <v>6</v>
      </c>
      <c r="J1481" s="3" t="s">
        <v>39</v>
      </c>
      <c r="K1481" s="3" t="s">
        <v>193</v>
      </c>
      <c r="L1481" s="3" t="s">
        <v>193</v>
      </c>
      <c r="M1481" s="3" t="s">
        <v>7039</v>
      </c>
      <c r="N1481" s="3" t="s">
        <v>551</v>
      </c>
      <c r="O1481" s="3" t="s">
        <v>13</v>
      </c>
      <c r="P1481" s="3" t="s">
        <v>98</v>
      </c>
      <c r="Q1481" s="3" t="s">
        <v>509</v>
      </c>
      <c r="R1481" s="3">
        <v>5</v>
      </c>
      <c r="S1481" s="3">
        <v>12649.88</v>
      </c>
      <c r="T1481" s="3">
        <v>0</v>
      </c>
      <c r="U1481" s="3">
        <v>63249.4</v>
      </c>
      <c r="V1481" s="3">
        <v>36247.99</v>
      </c>
      <c r="W1481" s="3">
        <v>27001.41</v>
      </c>
      <c r="X1481" s="3">
        <v>42.69</v>
      </c>
      <c r="Y1481" s="3">
        <v>29</v>
      </c>
      <c r="Z1481" s="3" t="s">
        <v>40</v>
      </c>
      <c r="AA1481" s="3" t="s">
        <v>100</v>
      </c>
      <c r="AB1481" s="3" t="s">
        <v>101</v>
      </c>
      <c r="AC1481" s="3">
        <v>3</v>
      </c>
    </row>
    <row r="1482" spans="1:29" x14ac:dyDescent="0.3">
      <c r="A1482" s="2" t="s">
        <v>7040</v>
      </c>
      <c r="B1482" s="2" t="s">
        <v>7041</v>
      </c>
      <c r="C1482" s="2" t="s">
        <v>3250</v>
      </c>
      <c r="D1482" s="2" t="s">
        <v>7042</v>
      </c>
      <c r="E1482" s="2" t="s">
        <v>26</v>
      </c>
      <c r="F1482" s="2" t="s">
        <v>2494</v>
      </c>
      <c r="G1482" s="2" t="s">
        <v>3428</v>
      </c>
      <c r="H1482" s="2" t="s">
        <v>1436</v>
      </c>
      <c r="I1482" s="2">
        <v>6</v>
      </c>
      <c r="J1482" s="2" t="s">
        <v>14</v>
      </c>
      <c r="K1482" s="2" t="s">
        <v>171</v>
      </c>
      <c r="L1482" s="2" t="s">
        <v>407</v>
      </c>
      <c r="M1482" s="2" t="s">
        <v>7043</v>
      </c>
      <c r="N1482" s="2" t="s">
        <v>374</v>
      </c>
      <c r="O1482" s="2" t="s">
        <v>21</v>
      </c>
      <c r="P1482" s="2" t="s">
        <v>196</v>
      </c>
      <c r="Q1482" s="2" t="s">
        <v>466</v>
      </c>
      <c r="R1482" s="2">
        <v>3</v>
      </c>
      <c r="S1482" s="2">
        <v>22913.040000000001</v>
      </c>
      <c r="T1482" s="2">
        <v>15</v>
      </c>
      <c r="U1482" s="2">
        <v>58428.25</v>
      </c>
      <c r="V1482" s="2">
        <v>32550.37</v>
      </c>
      <c r="W1482" s="2">
        <v>25877.88</v>
      </c>
      <c r="X1482" s="2">
        <v>44.29</v>
      </c>
      <c r="Y1482" s="2">
        <v>199</v>
      </c>
      <c r="Z1482" s="2" t="s">
        <v>48</v>
      </c>
      <c r="AA1482" s="2" t="s">
        <v>186</v>
      </c>
      <c r="AB1482" s="2" t="s">
        <v>101</v>
      </c>
      <c r="AC1482" s="2"/>
    </row>
    <row r="1483" spans="1:29" x14ac:dyDescent="0.3">
      <c r="A1483" s="3" t="s">
        <v>7044</v>
      </c>
      <c r="B1483" s="3" t="s">
        <v>7045</v>
      </c>
      <c r="C1483" s="3" t="s">
        <v>1286</v>
      </c>
      <c r="D1483" s="3" t="s">
        <v>7046</v>
      </c>
      <c r="E1483" s="3" t="s">
        <v>26</v>
      </c>
      <c r="F1483" s="3" t="s">
        <v>146</v>
      </c>
      <c r="G1483" s="3" t="s">
        <v>3839</v>
      </c>
      <c r="H1483" s="3" t="s">
        <v>2611</v>
      </c>
      <c r="I1483" s="3">
        <v>6</v>
      </c>
      <c r="J1483" s="3" t="s">
        <v>22</v>
      </c>
      <c r="K1483" s="3" t="s">
        <v>122</v>
      </c>
      <c r="L1483" s="3" t="s">
        <v>123</v>
      </c>
      <c r="M1483" s="3" t="s">
        <v>5833</v>
      </c>
      <c r="N1483" s="3" t="s">
        <v>740</v>
      </c>
      <c r="O1483" s="3" t="s">
        <v>21</v>
      </c>
      <c r="P1483" s="3" t="s">
        <v>126</v>
      </c>
      <c r="Q1483" s="3" t="s">
        <v>152</v>
      </c>
      <c r="R1483" s="3">
        <v>4</v>
      </c>
      <c r="S1483" s="3">
        <v>16967.689999999999</v>
      </c>
      <c r="T1483" s="3">
        <v>20</v>
      </c>
      <c r="U1483" s="3">
        <v>54296.61</v>
      </c>
      <c r="V1483" s="3">
        <v>28943.55</v>
      </c>
      <c r="W1483" s="3">
        <v>25353.06</v>
      </c>
      <c r="X1483" s="3">
        <v>46.69</v>
      </c>
      <c r="Y1483" s="3">
        <v>49</v>
      </c>
      <c r="Z1483" s="3" t="s">
        <v>30</v>
      </c>
      <c r="AA1483" s="3" t="s">
        <v>100</v>
      </c>
      <c r="AB1483" s="3" t="s">
        <v>101</v>
      </c>
      <c r="AC1483" s="3">
        <v>3</v>
      </c>
    </row>
    <row r="1484" spans="1:29" x14ac:dyDescent="0.3">
      <c r="A1484" s="2" t="s">
        <v>7047</v>
      </c>
      <c r="B1484" s="2" t="s">
        <v>7048</v>
      </c>
      <c r="C1484" s="2" t="s">
        <v>536</v>
      </c>
      <c r="D1484" s="2" t="s">
        <v>7049</v>
      </c>
      <c r="E1484" s="2" t="s">
        <v>26</v>
      </c>
      <c r="F1484" s="2" t="s">
        <v>3675</v>
      </c>
      <c r="G1484" s="2" t="s">
        <v>5308</v>
      </c>
      <c r="H1484" s="2" t="s">
        <v>3510</v>
      </c>
      <c r="I1484" s="2">
        <v>2</v>
      </c>
      <c r="J1484" s="2" t="s">
        <v>22</v>
      </c>
      <c r="K1484" s="2" t="s">
        <v>122</v>
      </c>
      <c r="L1484" s="2" t="s">
        <v>236</v>
      </c>
      <c r="M1484" s="2" t="s">
        <v>7050</v>
      </c>
      <c r="N1484" s="2" t="s">
        <v>185</v>
      </c>
      <c r="O1484" s="2" t="s">
        <v>28</v>
      </c>
      <c r="P1484" s="2" t="s">
        <v>151</v>
      </c>
      <c r="Q1484" s="2" t="s">
        <v>509</v>
      </c>
      <c r="R1484" s="2">
        <v>5</v>
      </c>
      <c r="S1484" s="2">
        <v>38518.97</v>
      </c>
      <c r="T1484" s="2">
        <v>0</v>
      </c>
      <c r="U1484" s="2">
        <v>192594.85</v>
      </c>
      <c r="V1484" s="2">
        <v>121004.78</v>
      </c>
      <c r="W1484" s="2">
        <v>71590.070000000007</v>
      </c>
      <c r="X1484" s="2">
        <v>37.17</v>
      </c>
      <c r="Y1484" s="2">
        <v>49</v>
      </c>
      <c r="Z1484" s="2" t="s">
        <v>48</v>
      </c>
      <c r="AA1484" s="2" t="s">
        <v>672</v>
      </c>
      <c r="AB1484" s="2" t="s">
        <v>101</v>
      </c>
      <c r="AC1484" s="2"/>
    </row>
    <row r="1485" spans="1:29" x14ac:dyDescent="0.3">
      <c r="A1485" s="3" t="s">
        <v>7051</v>
      </c>
      <c r="B1485" s="3" t="s">
        <v>7052</v>
      </c>
      <c r="C1485" s="3" t="s">
        <v>1981</v>
      </c>
      <c r="D1485" s="3" t="s">
        <v>7053</v>
      </c>
      <c r="E1485" s="3" t="s">
        <v>33</v>
      </c>
      <c r="F1485" s="3" t="s">
        <v>2822</v>
      </c>
      <c r="G1485" s="3" t="s">
        <v>157</v>
      </c>
      <c r="H1485" s="3" t="s">
        <v>405</v>
      </c>
      <c r="I1485" s="3">
        <v>6</v>
      </c>
      <c r="J1485" s="3" t="s">
        <v>14</v>
      </c>
      <c r="K1485" s="3" t="s">
        <v>712</v>
      </c>
      <c r="L1485" s="3" t="s">
        <v>712</v>
      </c>
      <c r="M1485" s="3" t="s">
        <v>1882</v>
      </c>
      <c r="N1485" s="3" t="s">
        <v>924</v>
      </c>
      <c r="O1485" s="3" t="s">
        <v>13</v>
      </c>
      <c r="P1485" s="3" t="s">
        <v>228</v>
      </c>
      <c r="Q1485" s="3" t="s">
        <v>218</v>
      </c>
      <c r="R1485" s="3">
        <v>4</v>
      </c>
      <c r="S1485" s="3">
        <v>21062.76</v>
      </c>
      <c r="T1485" s="3">
        <v>20</v>
      </c>
      <c r="U1485" s="3">
        <v>67400.83</v>
      </c>
      <c r="V1485" s="3">
        <v>32733.75</v>
      </c>
      <c r="W1485" s="3">
        <v>34667.08</v>
      </c>
      <c r="X1485" s="3">
        <v>51.43</v>
      </c>
      <c r="Y1485" s="3">
        <v>49</v>
      </c>
      <c r="Z1485" s="3" t="s">
        <v>30</v>
      </c>
      <c r="AA1485" s="3" t="s">
        <v>100</v>
      </c>
      <c r="AB1485" s="3" t="s">
        <v>101</v>
      </c>
      <c r="AC1485" s="3">
        <v>1</v>
      </c>
    </row>
    <row r="1486" spans="1:29" x14ac:dyDescent="0.3">
      <c r="A1486" s="2" t="s">
        <v>7054</v>
      </c>
      <c r="B1486" s="2" t="s">
        <v>7055</v>
      </c>
      <c r="C1486" s="2" t="s">
        <v>1981</v>
      </c>
      <c r="D1486" s="2" t="s">
        <v>7056</v>
      </c>
      <c r="E1486" s="2" t="s">
        <v>42</v>
      </c>
      <c r="F1486" s="2" t="s">
        <v>2757</v>
      </c>
      <c r="G1486" s="2" t="s">
        <v>1659</v>
      </c>
      <c r="H1486" s="2" t="s">
        <v>2774</v>
      </c>
      <c r="I1486" s="2">
        <v>8</v>
      </c>
      <c r="J1486" s="2" t="s">
        <v>39</v>
      </c>
      <c r="K1486" s="2" t="s">
        <v>225</v>
      </c>
      <c r="L1486" s="2" t="s">
        <v>225</v>
      </c>
      <c r="M1486" s="2" t="s">
        <v>5320</v>
      </c>
      <c r="N1486" s="2" t="s">
        <v>465</v>
      </c>
      <c r="O1486" s="2" t="s">
        <v>19</v>
      </c>
      <c r="P1486" s="2" t="s">
        <v>447</v>
      </c>
      <c r="Q1486" s="2" t="s">
        <v>197</v>
      </c>
      <c r="R1486" s="2">
        <v>1</v>
      </c>
      <c r="S1486" s="2">
        <v>21807.24</v>
      </c>
      <c r="T1486" s="2">
        <v>10</v>
      </c>
      <c r="U1486" s="2">
        <v>19626.52</v>
      </c>
      <c r="V1486" s="2">
        <v>12240.63</v>
      </c>
      <c r="W1486" s="2">
        <v>7385.89</v>
      </c>
      <c r="X1486" s="2">
        <v>37.630000000000003</v>
      </c>
      <c r="Y1486" s="2">
        <v>49</v>
      </c>
      <c r="Z1486" s="2" t="s">
        <v>23</v>
      </c>
      <c r="AA1486" s="2" t="s">
        <v>100</v>
      </c>
      <c r="AB1486" s="2" t="s">
        <v>140</v>
      </c>
      <c r="AC1486" s="2">
        <v>2</v>
      </c>
    </row>
    <row r="1487" spans="1:29" x14ac:dyDescent="0.3">
      <c r="A1487" s="3" t="s">
        <v>7057</v>
      </c>
      <c r="B1487" s="3" t="s">
        <v>7058</v>
      </c>
      <c r="C1487" s="3" t="s">
        <v>1177</v>
      </c>
      <c r="D1487" s="3" t="s">
        <v>2826</v>
      </c>
      <c r="E1487" s="3" t="s">
        <v>26</v>
      </c>
      <c r="F1487" s="3" t="s">
        <v>7059</v>
      </c>
      <c r="G1487" s="3" t="s">
        <v>3940</v>
      </c>
      <c r="H1487" s="3" t="s">
        <v>4081</v>
      </c>
      <c r="I1487" s="3">
        <v>6</v>
      </c>
      <c r="J1487" s="3" t="s">
        <v>22</v>
      </c>
      <c r="K1487" s="3" t="s">
        <v>443</v>
      </c>
      <c r="L1487" s="3" t="s">
        <v>444</v>
      </c>
      <c r="M1487" s="3" t="s">
        <v>3096</v>
      </c>
      <c r="N1487" s="3" t="s">
        <v>533</v>
      </c>
      <c r="O1487" s="3" t="s">
        <v>19</v>
      </c>
      <c r="P1487" s="3" t="s">
        <v>297</v>
      </c>
      <c r="Q1487" s="3" t="s">
        <v>138</v>
      </c>
      <c r="R1487" s="3">
        <v>4</v>
      </c>
      <c r="S1487" s="3">
        <v>44638</v>
      </c>
      <c r="T1487" s="3">
        <v>0</v>
      </c>
      <c r="U1487" s="3">
        <v>178552</v>
      </c>
      <c r="V1487" s="3">
        <v>109689.3</v>
      </c>
      <c r="W1487" s="3">
        <v>68862.7</v>
      </c>
      <c r="X1487" s="3">
        <v>38.57</v>
      </c>
      <c r="Y1487" s="3">
        <v>29</v>
      </c>
      <c r="Z1487" s="3" t="s">
        <v>43</v>
      </c>
      <c r="AA1487" s="3" t="s">
        <v>139</v>
      </c>
      <c r="AB1487" s="3" t="s">
        <v>140</v>
      </c>
      <c r="AC1487" s="3"/>
    </row>
    <row r="1488" spans="1:29" x14ac:dyDescent="0.3">
      <c r="A1488" s="2" t="s">
        <v>7060</v>
      </c>
      <c r="B1488" s="2" t="s">
        <v>7061</v>
      </c>
      <c r="C1488" s="2" t="s">
        <v>603</v>
      </c>
      <c r="D1488" s="2" t="s">
        <v>7062</v>
      </c>
      <c r="E1488" s="2" t="s">
        <v>26</v>
      </c>
      <c r="F1488" s="2" t="s">
        <v>1677</v>
      </c>
      <c r="G1488" s="2" t="s">
        <v>1678</v>
      </c>
      <c r="H1488" s="2" t="s">
        <v>3717</v>
      </c>
      <c r="I1488" s="2">
        <v>8</v>
      </c>
      <c r="J1488" s="2" t="s">
        <v>39</v>
      </c>
      <c r="K1488" s="2" t="s">
        <v>109</v>
      </c>
      <c r="L1488" s="2" t="s">
        <v>110</v>
      </c>
      <c r="M1488" s="2" t="s">
        <v>7063</v>
      </c>
      <c r="N1488" s="2" t="s">
        <v>686</v>
      </c>
      <c r="O1488" s="2" t="s">
        <v>13</v>
      </c>
      <c r="P1488" s="2" t="s">
        <v>228</v>
      </c>
      <c r="Q1488" s="2" t="s">
        <v>246</v>
      </c>
      <c r="R1488" s="2">
        <v>1</v>
      </c>
      <c r="S1488" s="2">
        <v>1573.32</v>
      </c>
      <c r="T1488" s="2">
        <v>30</v>
      </c>
      <c r="U1488" s="2">
        <v>1101.32</v>
      </c>
      <c r="V1488" s="2">
        <v>639.92999999999995</v>
      </c>
      <c r="W1488" s="2">
        <v>461.39</v>
      </c>
      <c r="X1488" s="2">
        <v>41.89</v>
      </c>
      <c r="Y1488" s="2">
        <v>0</v>
      </c>
      <c r="Z1488" s="2" t="s">
        <v>23</v>
      </c>
      <c r="AA1488" s="2" t="s">
        <v>100</v>
      </c>
      <c r="AB1488" s="2" t="s">
        <v>101</v>
      </c>
      <c r="AC1488" s="2">
        <v>5</v>
      </c>
    </row>
    <row r="1489" spans="1:29" x14ac:dyDescent="0.3">
      <c r="A1489" s="3" t="s">
        <v>7064</v>
      </c>
      <c r="B1489" s="3" t="s">
        <v>7065</v>
      </c>
      <c r="C1489" s="3" t="s">
        <v>339</v>
      </c>
      <c r="D1489" s="3" t="s">
        <v>7066</v>
      </c>
      <c r="E1489" s="3" t="s">
        <v>18</v>
      </c>
      <c r="F1489" s="3" t="s">
        <v>379</v>
      </c>
      <c r="G1489" s="3" t="s">
        <v>7031</v>
      </c>
      <c r="H1489" s="3" t="s">
        <v>3543</v>
      </c>
      <c r="I1489" s="3">
        <v>4</v>
      </c>
      <c r="J1489" s="3" t="s">
        <v>29</v>
      </c>
      <c r="K1489" s="3" t="s">
        <v>148</v>
      </c>
      <c r="L1489" s="3" t="s">
        <v>148</v>
      </c>
      <c r="M1489" s="3" t="s">
        <v>7067</v>
      </c>
      <c r="N1489" s="3" t="s">
        <v>1332</v>
      </c>
      <c r="O1489" s="3" t="s">
        <v>19</v>
      </c>
      <c r="P1489" s="3" t="s">
        <v>447</v>
      </c>
      <c r="Q1489" s="3" t="s">
        <v>152</v>
      </c>
      <c r="R1489" s="3">
        <v>2</v>
      </c>
      <c r="S1489" s="3">
        <v>46212.13</v>
      </c>
      <c r="T1489" s="3">
        <v>25</v>
      </c>
      <c r="U1489" s="3">
        <v>69318.19</v>
      </c>
      <c r="V1489" s="3">
        <v>36314.620000000003</v>
      </c>
      <c r="W1489" s="3">
        <v>33003.57</v>
      </c>
      <c r="X1489" s="3">
        <v>47.61</v>
      </c>
      <c r="Y1489" s="3">
        <v>0</v>
      </c>
      <c r="Z1489" s="3" t="s">
        <v>43</v>
      </c>
      <c r="AA1489" s="3" t="s">
        <v>186</v>
      </c>
      <c r="AB1489" s="3" t="s">
        <v>101</v>
      </c>
      <c r="AC1489" s="3"/>
    </row>
    <row r="1490" spans="1:29" x14ac:dyDescent="0.3">
      <c r="A1490" s="2" t="s">
        <v>7068</v>
      </c>
      <c r="B1490" s="2" t="s">
        <v>7069</v>
      </c>
      <c r="C1490" s="2" t="s">
        <v>4049</v>
      </c>
      <c r="D1490" s="2" t="s">
        <v>6558</v>
      </c>
      <c r="E1490" s="2" t="s">
        <v>18</v>
      </c>
      <c r="F1490" s="2" t="s">
        <v>1414</v>
      </c>
      <c r="G1490" s="2" t="s">
        <v>1146</v>
      </c>
      <c r="H1490" s="2" t="s">
        <v>1353</v>
      </c>
      <c r="I1490" s="2">
        <v>6</v>
      </c>
      <c r="J1490" s="2" t="s">
        <v>14</v>
      </c>
      <c r="K1490" s="2" t="s">
        <v>95</v>
      </c>
      <c r="L1490" s="2" t="s">
        <v>95</v>
      </c>
      <c r="M1490" s="2" t="s">
        <v>7070</v>
      </c>
      <c r="N1490" s="2" t="s">
        <v>316</v>
      </c>
      <c r="O1490" s="2" t="s">
        <v>28</v>
      </c>
      <c r="P1490" s="2" t="s">
        <v>137</v>
      </c>
      <c r="Q1490" s="2" t="s">
        <v>99</v>
      </c>
      <c r="R1490" s="2">
        <v>3</v>
      </c>
      <c r="S1490" s="2">
        <v>47757.29</v>
      </c>
      <c r="T1490" s="2">
        <v>5</v>
      </c>
      <c r="U1490" s="2">
        <v>136108.28</v>
      </c>
      <c r="V1490" s="2">
        <v>86360.47</v>
      </c>
      <c r="W1490" s="2">
        <v>49747.81</v>
      </c>
      <c r="X1490" s="2">
        <v>36.549999999999997</v>
      </c>
      <c r="Y1490" s="2">
        <v>149</v>
      </c>
      <c r="Z1490" s="2" t="s">
        <v>47</v>
      </c>
      <c r="AA1490" s="2" t="s">
        <v>100</v>
      </c>
      <c r="AB1490" s="2" t="s">
        <v>101</v>
      </c>
      <c r="AC1490" s="2">
        <v>4</v>
      </c>
    </row>
    <row r="1491" spans="1:29" x14ac:dyDescent="0.3">
      <c r="A1491" s="3" t="s">
        <v>7071</v>
      </c>
      <c r="B1491" s="3" t="s">
        <v>2016</v>
      </c>
      <c r="C1491" s="3" t="s">
        <v>1464</v>
      </c>
      <c r="D1491" s="3" t="s">
        <v>4683</v>
      </c>
      <c r="E1491" s="3" t="s">
        <v>18</v>
      </c>
      <c r="F1491" s="3" t="s">
        <v>2910</v>
      </c>
      <c r="G1491" s="3" t="s">
        <v>2093</v>
      </c>
      <c r="H1491" s="3" t="s">
        <v>2644</v>
      </c>
      <c r="I1491" s="3">
        <v>2</v>
      </c>
      <c r="J1491" s="3" t="s">
        <v>14</v>
      </c>
      <c r="K1491" s="3" t="s">
        <v>183</v>
      </c>
      <c r="L1491" s="3" t="s">
        <v>183</v>
      </c>
      <c r="M1491" s="3" t="s">
        <v>7072</v>
      </c>
      <c r="N1491" s="3" t="s">
        <v>1332</v>
      </c>
      <c r="O1491" s="3" t="s">
        <v>19</v>
      </c>
      <c r="P1491" s="3" t="s">
        <v>447</v>
      </c>
      <c r="Q1491" s="3" t="s">
        <v>355</v>
      </c>
      <c r="R1491" s="3">
        <v>3</v>
      </c>
      <c r="S1491" s="3">
        <v>31921.8</v>
      </c>
      <c r="T1491" s="3">
        <v>15</v>
      </c>
      <c r="U1491" s="3">
        <v>81400.59</v>
      </c>
      <c r="V1491" s="3">
        <v>54137.34</v>
      </c>
      <c r="W1491" s="3">
        <v>27263.25</v>
      </c>
      <c r="X1491" s="3">
        <v>33.49</v>
      </c>
      <c r="Y1491" s="3">
        <v>0</v>
      </c>
      <c r="Z1491" s="3" t="s">
        <v>47</v>
      </c>
      <c r="AA1491" s="3" t="s">
        <v>100</v>
      </c>
      <c r="AB1491" s="3" t="s">
        <v>101</v>
      </c>
      <c r="AC1491" s="3">
        <v>4</v>
      </c>
    </row>
    <row r="1492" spans="1:29" x14ac:dyDescent="0.3">
      <c r="A1492" s="2" t="s">
        <v>7073</v>
      </c>
      <c r="B1492" s="2" t="s">
        <v>7074</v>
      </c>
      <c r="C1492" s="2" t="s">
        <v>368</v>
      </c>
      <c r="D1492" s="2" t="s">
        <v>7075</v>
      </c>
      <c r="E1492" s="2" t="s">
        <v>42</v>
      </c>
      <c r="F1492" s="2" t="s">
        <v>1080</v>
      </c>
      <c r="G1492" s="2" t="s">
        <v>6525</v>
      </c>
      <c r="H1492" s="2" t="s">
        <v>1784</v>
      </c>
      <c r="I1492" s="2">
        <v>4</v>
      </c>
      <c r="J1492" s="2" t="s">
        <v>29</v>
      </c>
      <c r="K1492" s="2" t="s">
        <v>160</v>
      </c>
      <c r="L1492" s="2" t="s">
        <v>559</v>
      </c>
      <c r="M1492" s="2" t="s">
        <v>7076</v>
      </c>
      <c r="N1492" s="2" t="s">
        <v>217</v>
      </c>
      <c r="O1492" s="2" t="s">
        <v>21</v>
      </c>
      <c r="P1492" s="2" t="s">
        <v>206</v>
      </c>
      <c r="Q1492" s="2" t="s">
        <v>114</v>
      </c>
      <c r="R1492" s="2">
        <v>2</v>
      </c>
      <c r="S1492" s="2">
        <v>33907.129999999997</v>
      </c>
      <c r="T1492" s="2">
        <v>0</v>
      </c>
      <c r="U1492" s="2">
        <v>67814.259999999995</v>
      </c>
      <c r="V1492" s="2">
        <v>41878.32</v>
      </c>
      <c r="W1492" s="2">
        <v>25935.94</v>
      </c>
      <c r="X1492" s="2">
        <v>38.25</v>
      </c>
      <c r="Y1492" s="2">
        <v>199</v>
      </c>
      <c r="Z1492" s="2" t="s">
        <v>15</v>
      </c>
      <c r="AA1492" s="2" t="s">
        <v>100</v>
      </c>
      <c r="AB1492" s="2" t="s">
        <v>101</v>
      </c>
      <c r="AC1492" s="2">
        <v>3</v>
      </c>
    </row>
    <row r="1493" spans="1:29" x14ac:dyDescent="0.3">
      <c r="A1493" s="3" t="s">
        <v>7077</v>
      </c>
      <c r="B1493" s="3" t="s">
        <v>7078</v>
      </c>
      <c r="C1493" s="3" t="s">
        <v>536</v>
      </c>
      <c r="D1493" s="3" t="s">
        <v>7079</v>
      </c>
      <c r="E1493" s="3" t="s">
        <v>42</v>
      </c>
      <c r="F1493" s="3" t="s">
        <v>4808</v>
      </c>
      <c r="G1493" s="3" t="s">
        <v>7080</v>
      </c>
      <c r="H1493" s="3" t="s">
        <v>1295</v>
      </c>
      <c r="I1493" s="3">
        <v>4</v>
      </c>
      <c r="J1493" s="3" t="s">
        <v>29</v>
      </c>
      <c r="K1493" s="3" t="s">
        <v>334</v>
      </c>
      <c r="L1493" s="3" t="s">
        <v>614</v>
      </c>
      <c r="M1493" s="3" t="s">
        <v>7081</v>
      </c>
      <c r="N1493" s="3" t="s">
        <v>205</v>
      </c>
      <c r="O1493" s="3" t="s">
        <v>21</v>
      </c>
      <c r="P1493" s="3" t="s">
        <v>206</v>
      </c>
      <c r="Q1493" s="3" t="s">
        <v>218</v>
      </c>
      <c r="R1493" s="3">
        <v>1</v>
      </c>
      <c r="S1493" s="3">
        <v>27132.71</v>
      </c>
      <c r="T1493" s="3">
        <v>10</v>
      </c>
      <c r="U1493" s="3">
        <v>24419.439999999999</v>
      </c>
      <c r="V1493" s="3">
        <v>12646.51</v>
      </c>
      <c r="W1493" s="3">
        <v>11772.93</v>
      </c>
      <c r="X1493" s="3">
        <v>48.21</v>
      </c>
      <c r="Y1493" s="3">
        <v>49</v>
      </c>
      <c r="Z1493" s="3" t="s">
        <v>30</v>
      </c>
      <c r="AA1493" s="3" t="s">
        <v>100</v>
      </c>
      <c r="AB1493" s="3" t="s">
        <v>101</v>
      </c>
      <c r="AC1493" s="3"/>
    </row>
    <row r="1494" spans="1:29" x14ac:dyDescent="0.3">
      <c r="A1494" s="2" t="s">
        <v>7082</v>
      </c>
      <c r="B1494" s="2" t="s">
        <v>7083</v>
      </c>
      <c r="C1494" s="2" t="s">
        <v>1131</v>
      </c>
      <c r="D1494" s="2" t="s">
        <v>7084</v>
      </c>
      <c r="E1494" s="2" t="s">
        <v>42</v>
      </c>
      <c r="F1494" s="2" t="s">
        <v>2092</v>
      </c>
      <c r="G1494" s="2" t="s">
        <v>1378</v>
      </c>
      <c r="H1494" s="2" t="s">
        <v>1134</v>
      </c>
      <c r="I1494" s="2">
        <v>3</v>
      </c>
      <c r="J1494" s="2" t="s">
        <v>39</v>
      </c>
      <c r="K1494" s="2" t="s">
        <v>225</v>
      </c>
      <c r="L1494" s="2" t="s">
        <v>225</v>
      </c>
      <c r="M1494" s="2" t="s">
        <v>7085</v>
      </c>
      <c r="N1494" s="2" t="s">
        <v>256</v>
      </c>
      <c r="O1494" s="2" t="s">
        <v>27</v>
      </c>
      <c r="P1494" s="2" t="s">
        <v>257</v>
      </c>
      <c r="Q1494" s="2" t="s">
        <v>138</v>
      </c>
      <c r="R1494" s="2">
        <v>2</v>
      </c>
      <c r="S1494" s="2">
        <v>26319.19</v>
      </c>
      <c r="T1494" s="2">
        <v>5</v>
      </c>
      <c r="U1494" s="2">
        <v>50006.46</v>
      </c>
      <c r="V1494" s="2">
        <v>25437.16</v>
      </c>
      <c r="W1494" s="2">
        <v>24569.3</v>
      </c>
      <c r="X1494" s="2">
        <v>49.13</v>
      </c>
      <c r="Y1494" s="2">
        <v>99</v>
      </c>
      <c r="Z1494" s="2" t="s">
        <v>47</v>
      </c>
      <c r="AA1494" s="2" t="s">
        <v>100</v>
      </c>
      <c r="AB1494" s="2" t="s">
        <v>101</v>
      </c>
      <c r="AC1494" s="2">
        <v>1</v>
      </c>
    </row>
    <row r="1495" spans="1:29" x14ac:dyDescent="0.3">
      <c r="A1495" s="3" t="s">
        <v>7086</v>
      </c>
      <c r="B1495" s="3" t="s">
        <v>7087</v>
      </c>
      <c r="C1495" s="3" t="s">
        <v>1637</v>
      </c>
      <c r="D1495" s="3" t="s">
        <v>7088</v>
      </c>
      <c r="E1495" s="3" t="s">
        <v>42</v>
      </c>
      <c r="F1495" s="3" t="s">
        <v>832</v>
      </c>
      <c r="G1495" s="3" t="s">
        <v>3821</v>
      </c>
      <c r="H1495" s="3" t="s">
        <v>833</v>
      </c>
      <c r="I1495" s="3">
        <v>5</v>
      </c>
      <c r="J1495" s="3" t="s">
        <v>39</v>
      </c>
      <c r="K1495" s="3" t="s">
        <v>193</v>
      </c>
      <c r="L1495" s="3" t="s">
        <v>193</v>
      </c>
      <c r="M1495" s="3" t="s">
        <v>5469</v>
      </c>
      <c r="N1495" s="3" t="s">
        <v>740</v>
      </c>
      <c r="O1495" s="3" t="s">
        <v>21</v>
      </c>
      <c r="P1495" s="3" t="s">
        <v>126</v>
      </c>
      <c r="Q1495" s="3" t="s">
        <v>355</v>
      </c>
      <c r="R1495" s="3">
        <v>5</v>
      </c>
      <c r="S1495" s="3">
        <v>38705.99</v>
      </c>
      <c r="T1495" s="3">
        <v>5</v>
      </c>
      <c r="U1495" s="3">
        <v>183853.45</v>
      </c>
      <c r="V1495" s="3">
        <v>126453.15</v>
      </c>
      <c r="W1495" s="3">
        <v>57400.3</v>
      </c>
      <c r="X1495" s="3">
        <v>31.22</v>
      </c>
      <c r="Y1495" s="3">
        <v>199</v>
      </c>
      <c r="Z1495" s="3" t="s">
        <v>23</v>
      </c>
      <c r="AA1495" s="3" t="s">
        <v>100</v>
      </c>
      <c r="AB1495" s="3" t="s">
        <v>101</v>
      </c>
      <c r="AC1495" s="3">
        <v>1</v>
      </c>
    </row>
    <row r="1496" spans="1:29" x14ac:dyDescent="0.3">
      <c r="A1496" s="2" t="s">
        <v>7089</v>
      </c>
      <c r="B1496" s="2" t="s">
        <v>2738</v>
      </c>
      <c r="C1496" s="2" t="s">
        <v>1861</v>
      </c>
      <c r="D1496" s="2" t="s">
        <v>7090</v>
      </c>
      <c r="E1496" s="2" t="s">
        <v>33</v>
      </c>
      <c r="F1496" s="2" t="s">
        <v>737</v>
      </c>
      <c r="G1496" s="2" t="s">
        <v>2867</v>
      </c>
      <c r="H1496" s="2" t="s">
        <v>865</v>
      </c>
      <c r="I1496" s="2">
        <v>3</v>
      </c>
      <c r="J1496" s="2" t="s">
        <v>29</v>
      </c>
      <c r="K1496" s="2" t="s">
        <v>834</v>
      </c>
      <c r="L1496" s="2" t="s">
        <v>1000</v>
      </c>
      <c r="M1496" s="2" t="s">
        <v>7091</v>
      </c>
      <c r="N1496" s="2" t="s">
        <v>1535</v>
      </c>
      <c r="O1496" s="2" t="s">
        <v>13</v>
      </c>
      <c r="P1496" s="2" t="s">
        <v>98</v>
      </c>
      <c r="Q1496" s="2" t="s">
        <v>114</v>
      </c>
      <c r="R1496" s="2">
        <v>2</v>
      </c>
      <c r="S1496" s="2">
        <v>39944.21</v>
      </c>
      <c r="T1496" s="2">
        <v>5</v>
      </c>
      <c r="U1496" s="2">
        <v>75894</v>
      </c>
      <c r="V1496" s="2">
        <v>41479.129999999997</v>
      </c>
      <c r="W1496" s="2">
        <v>34414.870000000003</v>
      </c>
      <c r="X1496" s="2">
        <v>45.35</v>
      </c>
      <c r="Y1496" s="2">
        <v>149</v>
      </c>
      <c r="Z1496" s="2" t="s">
        <v>48</v>
      </c>
      <c r="AA1496" s="2" t="s">
        <v>275</v>
      </c>
      <c r="AB1496" s="2" t="s">
        <v>101</v>
      </c>
      <c r="AC1496" s="2"/>
    </row>
    <row r="1497" spans="1:29" x14ac:dyDescent="0.3">
      <c r="A1497" s="3" t="s">
        <v>7092</v>
      </c>
      <c r="B1497" s="3" t="s">
        <v>7093</v>
      </c>
      <c r="C1497" s="3" t="s">
        <v>2231</v>
      </c>
      <c r="D1497" s="3" t="s">
        <v>7094</v>
      </c>
      <c r="E1497" s="3" t="s">
        <v>33</v>
      </c>
      <c r="F1497" s="3" t="s">
        <v>1689</v>
      </c>
      <c r="G1497" s="3" t="s">
        <v>1622</v>
      </c>
      <c r="H1497" s="3" t="s">
        <v>1479</v>
      </c>
      <c r="I1497" s="3">
        <v>4</v>
      </c>
      <c r="J1497" s="3" t="s">
        <v>14</v>
      </c>
      <c r="K1497" s="3" t="s">
        <v>183</v>
      </c>
      <c r="L1497" s="3" t="s">
        <v>183</v>
      </c>
      <c r="M1497" s="3" t="s">
        <v>7095</v>
      </c>
      <c r="N1497" s="3" t="s">
        <v>266</v>
      </c>
      <c r="O1497" s="3" t="s">
        <v>28</v>
      </c>
      <c r="P1497" s="3" t="s">
        <v>151</v>
      </c>
      <c r="Q1497" s="3" t="s">
        <v>466</v>
      </c>
      <c r="R1497" s="3">
        <v>5</v>
      </c>
      <c r="S1497" s="3">
        <v>11311.22</v>
      </c>
      <c r="T1497" s="3">
        <v>15</v>
      </c>
      <c r="U1497" s="3">
        <v>48072.68</v>
      </c>
      <c r="V1497" s="3">
        <v>27525.66</v>
      </c>
      <c r="W1497" s="3">
        <v>20547.02</v>
      </c>
      <c r="X1497" s="3">
        <v>42.74</v>
      </c>
      <c r="Y1497" s="3">
        <v>29</v>
      </c>
      <c r="Z1497" s="3" t="s">
        <v>43</v>
      </c>
      <c r="AA1497" s="3" t="s">
        <v>100</v>
      </c>
      <c r="AB1497" s="3" t="s">
        <v>101</v>
      </c>
      <c r="AC1497" s="3">
        <v>3</v>
      </c>
    </row>
    <row r="1498" spans="1:29" x14ac:dyDescent="0.3">
      <c r="A1498" s="2" t="s">
        <v>7096</v>
      </c>
      <c r="B1498" s="2" t="s">
        <v>7097</v>
      </c>
      <c r="C1498" s="2" t="s">
        <v>1077</v>
      </c>
      <c r="D1498" s="2" t="s">
        <v>7098</v>
      </c>
      <c r="E1498" s="2" t="s">
        <v>26</v>
      </c>
      <c r="F1498" s="2" t="s">
        <v>1771</v>
      </c>
      <c r="G1498" s="2" t="s">
        <v>2860</v>
      </c>
      <c r="H1498" s="2" t="s">
        <v>4706</v>
      </c>
      <c r="I1498" s="2">
        <v>4</v>
      </c>
      <c r="J1498" s="2" t="s">
        <v>39</v>
      </c>
      <c r="K1498" s="2" t="s">
        <v>109</v>
      </c>
      <c r="L1498" s="2" t="s">
        <v>110</v>
      </c>
      <c r="M1498" s="2" t="s">
        <v>7099</v>
      </c>
      <c r="N1498" s="2" t="s">
        <v>765</v>
      </c>
      <c r="O1498" s="2" t="s">
        <v>27</v>
      </c>
      <c r="P1498" s="2" t="s">
        <v>113</v>
      </c>
      <c r="Q1498" s="2" t="s">
        <v>207</v>
      </c>
      <c r="R1498" s="2">
        <v>1</v>
      </c>
      <c r="S1498" s="2">
        <v>20442.240000000002</v>
      </c>
      <c r="T1498" s="2">
        <v>10</v>
      </c>
      <c r="U1498" s="2">
        <v>18398.02</v>
      </c>
      <c r="V1498" s="2">
        <v>9767.99</v>
      </c>
      <c r="W1498" s="2">
        <v>8630.0300000000007</v>
      </c>
      <c r="X1498" s="2">
        <v>46.91</v>
      </c>
      <c r="Y1498" s="2">
        <v>0</v>
      </c>
      <c r="Z1498" s="2" t="s">
        <v>23</v>
      </c>
      <c r="AA1498" s="2" t="s">
        <v>100</v>
      </c>
      <c r="AB1498" s="2" t="s">
        <v>101</v>
      </c>
      <c r="AC1498" s="2">
        <v>3</v>
      </c>
    </row>
    <row r="1499" spans="1:29" x14ac:dyDescent="0.3">
      <c r="A1499" s="3" t="s">
        <v>7100</v>
      </c>
      <c r="B1499" s="3" t="s">
        <v>7101</v>
      </c>
      <c r="C1499" s="3" t="s">
        <v>2141</v>
      </c>
      <c r="D1499" s="3" t="s">
        <v>7102</v>
      </c>
      <c r="E1499" s="3" t="s">
        <v>26</v>
      </c>
      <c r="F1499" s="3" t="s">
        <v>6495</v>
      </c>
      <c r="G1499" s="3" t="s">
        <v>589</v>
      </c>
      <c r="H1499" s="3" t="s">
        <v>590</v>
      </c>
      <c r="I1499" s="3">
        <v>3</v>
      </c>
      <c r="J1499" s="3" t="s">
        <v>22</v>
      </c>
      <c r="K1499" s="3" t="s">
        <v>254</v>
      </c>
      <c r="L1499" s="3" t="s">
        <v>254</v>
      </c>
      <c r="M1499" s="3" t="s">
        <v>3084</v>
      </c>
      <c r="N1499" s="3" t="s">
        <v>931</v>
      </c>
      <c r="O1499" s="3" t="s">
        <v>13</v>
      </c>
      <c r="P1499" s="3" t="s">
        <v>419</v>
      </c>
      <c r="Q1499" s="3" t="s">
        <v>246</v>
      </c>
      <c r="R1499" s="3">
        <v>4</v>
      </c>
      <c r="S1499" s="3">
        <v>37807.9</v>
      </c>
      <c r="T1499" s="3">
        <v>10</v>
      </c>
      <c r="U1499" s="3">
        <v>136108.44</v>
      </c>
      <c r="V1499" s="3">
        <v>79017.600000000006</v>
      </c>
      <c r="W1499" s="3">
        <v>57090.84</v>
      </c>
      <c r="X1499" s="3">
        <v>41.95</v>
      </c>
      <c r="Y1499" s="3">
        <v>199</v>
      </c>
      <c r="Z1499" s="3" t="s">
        <v>47</v>
      </c>
      <c r="AA1499" s="3" t="s">
        <v>186</v>
      </c>
      <c r="AB1499" s="3" t="s">
        <v>101</v>
      </c>
      <c r="AC1499" s="3"/>
    </row>
    <row r="1500" spans="1:29" x14ac:dyDescent="0.3">
      <c r="A1500" s="2" t="s">
        <v>7103</v>
      </c>
      <c r="B1500" s="2" t="s">
        <v>7104</v>
      </c>
      <c r="C1500" s="2" t="s">
        <v>1955</v>
      </c>
      <c r="D1500" s="2" t="s">
        <v>7105</v>
      </c>
      <c r="E1500" s="2" t="s">
        <v>18</v>
      </c>
      <c r="F1500" s="2" t="s">
        <v>3539</v>
      </c>
      <c r="G1500" s="2" t="s">
        <v>3797</v>
      </c>
      <c r="H1500" s="2" t="s">
        <v>907</v>
      </c>
      <c r="I1500" s="2">
        <v>8</v>
      </c>
      <c r="J1500" s="2" t="s">
        <v>39</v>
      </c>
      <c r="K1500" s="2" t="s">
        <v>314</v>
      </c>
      <c r="L1500" s="2" t="s">
        <v>314</v>
      </c>
      <c r="M1500" s="2" t="s">
        <v>7106</v>
      </c>
      <c r="N1500" s="2" t="s">
        <v>889</v>
      </c>
      <c r="O1500" s="2" t="s">
        <v>27</v>
      </c>
      <c r="P1500" s="2" t="s">
        <v>257</v>
      </c>
      <c r="Q1500" s="2" t="s">
        <v>466</v>
      </c>
      <c r="R1500" s="2">
        <v>2</v>
      </c>
      <c r="S1500" s="2">
        <v>48229.52</v>
      </c>
      <c r="T1500" s="2">
        <v>0</v>
      </c>
      <c r="U1500" s="2">
        <v>96459.04</v>
      </c>
      <c r="V1500" s="2">
        <v>63648.23</v>
      </c>
      <c r="W1500" s="2">
        <v>32810.81</v>
      </c>
      <c r="X1500" s="2">
        <v>34.020000000000003</v>
      </c>
      <c r="Y1500" s="2">
        <v>49</v>
      </c>
      <c r="Z1500" s="2" t="s">
        <v>40</v>
      </c>
      <c r="AA1500" s="2" t="s">
        <v>100</v>
      </c>
      <c r="AB1500" s="2" t="s">
        <v>101</v>
      </c>
      <c r="AC1500" s="2">
        <v>2</v>
      </c>
    </row>
    <row r="1501" spans="1:29" x14ac:dyDescent="0.3">
      <c r="A1501" s="3" t="s">
        <v>7107</v>
      </c>
      <c r="B1501" s="3" t="s">
        <v>7108</v>
      </c>
      <c r="C1501" s="3" t="s">
        <v>1464</v>
      </c>
      <c r="D1501" s="3" t="s">
        <v>4296</v>
      </c>
      <c r="E1501" s="3" t="s">
        <v>33</v>
      </c>
      <c r="F1501" s="3" t="s">
        <v>3957</v>
      </c>
      <c r="G1501" s="3" t="s">
        <v>3100</v>
      </c>
      <c r="H1501" s="3" t="s">
        <v>3503</v>
      </c>
      <c r="I1501" s="3">
        <v>7</v>
      </c>
      <c r="J1501" s="3" t="s">
        <v>29</v>
      </c>
      <c r="K1501" s="3" t="s">
        <v>834</v>
      </c>
      <c r="L1501" s="3" t="s">
        <v>1000</v>
      </c>
      <c r="M1501" s="3" t="s">
        <v>7109</v>
      </c>
      <c r="N1501" s="3" t="s">
        <v>136</v>
      </c>
      <c r="O1501" s="3" t="s">
        <v>28</v>
      </c>
      <c r="P1501" s="3" t="s">
        <v>137</v>
      </c>
      <c r="Q1501" s="3" t="s">
        <v>197</v>
      </c>
      <c r="R1501" s="3">
        <v>3</v>
      </c>
      <c r="S1501" s="3">
        <v>21469.5</v>
      </c>
      <c r="T1501" s="3">
        <v>30</v>
      </c>
      <c r="U1501" s="3">
        <v>45085.95</v>
      </c>
      <c r="V1501" s="3">
        <v>29327.95</v>
      </c>
      <c r="W1501" s="3">
        <v>15758</v>
      </c>
      <c r="X1501" s="3">
        <v>34.950000000000003</v>
      </c>
      <c r="Y1501" s="3">
        <v>29</v>
      </c>
      <c r="Z1501" s="3" t="s">
        <v>47</v>
      </c>
      <c r="AA1501" s="3" t="s">
        <v>100</v>
      </c>
      <c r="AB1501" s="3" t="s">
        <v>101</v>
      </c>
      <c r="AC1501" s="3">
        <v>2</v>
      </c>
    </row>
    <row r="1502" spans="1:29" x14ac:dyDescent="0.3">
      <c r="A1502" s="2" t="s">
        <v>7110</v>
      </c>
      <c r="B1502" s="2" t="s">
        <v>6468</v>
      </c>
      <c r="C1502" s="2" t="s">
        <v>1097</v>
      </c>
      <c r="D1502" s="2" t="s">
        <v>4705</v>
      </c>
      <c r="E1502" s="2" t="s">
        <v>18</v>
      </c>
      <c r="F1502" s="2" t="s">
        <v>1240</v>
      </c>
      <c r="G1502" s="2" t="s">
        <v>1688</v>
      </c>
      <c r="H1502" s="2" t="s">
        <v>1689</v>
      </c>
      <c r="I1502" s="2">
        <v>3</v>
      </c>
      <c r="J1502" s="2" t="s">
        <v>39</v>
      </c>
      <c r="K1502" s="2" t="s">
        <v>193</v>
      </c>
      <c r="L1502" s="2" t="s">
        <v>193</v>
      </c>
      <c r="M1502" s="2" t="s">
        <v>1936</v>
      </c>
      <c r="N1502" s="2" t="s">
        <v>465</v>
      </c>
      <c r="O1502" s="2" t="s">
        <v>19</v>
      </c>
      <c r="P1502" s="2" t="s">
        <v>447</v>
      </c>
      <c r="Q1502" s="2" t="s">
        <v>114</v>
      </c>
      <c r="R1502" s="2">
        <v>3</v>
      </c>
      <c r="S1502" s="2">
        <v>39392.6</v>
      </c>
      <c r="T1502" s="2">
        <v>0</v>
      </c>
      <c r="U1502" s="2">
        <v>118177.8</v>
      </c>
      <c r="V1502" s="2">
        <v>57640.23</v>
      </c>
      <c r="W1502" s="2">
        <v>60537.57</v>
      </c>
      <c r="X1502" s="2">
        <v>51.23</v>
      </c>
      <c r="Y1502" s="2">
        <v>99</v>
      </c>
      <c r="Z1502" s="2" t="s">
        <v>43</v>
      </c>
      <c r="AA1502" s="2" t="s">
        <v>100</v>
      </c>
      <c r="AB1502" s="2" t="s">
        <v>101</v>
      </c>
      <c r="AC1502" s="2"/>
    </row>
    <row r="1503" spans="1:29" x14ac:dyDescent="0.3">
      <c r="A1503" s="3" t="s">
        <v>7111</v>
      </c>
      <c r="B1503" s="3" t="s">
        <v>7112</v>
      </c>
      <c r="C1503" s="3" t="s">
        <v>2291</v>
      </c>
      <c r="D1503" s="3" t="s">
        <v>7113</v>
      </c>
      <c r="E1503" s="3" t="s">
        <v>26</v>
      </c>
      <c r="F1503" s="3" t="s">
        <v>1677</v>
      </c>
      <c r="G1503" s="3" t="s">
        <v>1678</v>
      </c>
      <c r="H1503" s="3" t="s">
        <v>746</v>
      </c>
      <c r="I1503" s="3">
        <v>5</v>
      </c>
      <c r="J1503" s="3" t="s">
        <v>39</v>
      </c>
      <c r="K1503" s="3" t="s">
        <v>193</v>
      </c>
      <c r="L1503" s="3" t="s">
        <v>193</v>
      </c>
      <c r="M1503" s="3" t="s">
        <v>7114</v>
      </c>
      <c r="N1503" s="3" t="s">
        <v>354</v>
      </c>
      <c r="O1503" s="3" t="s">
        <v>21</v>
      </c>
      <c r="P1503" s="3" t="s">
        <v>196</v>
      </c>
      <c r="Q1503" s="3" t="s">
        <v>509</v>
      </c>
      <c r="R1503" s="3">
        <v>1</v>
      </c>
      <c r="S1503" s="3">
        <v>42137.440000000002</v>
      </c>
      <c r="T1503" s="3">
        <v>0</v>
      </c>
      <c r="U1503" s="3">
        <v>42137.440000000002</v>
      </c>
      <c r="V1503" s="3">
        <v>19741.47</v>
      </c>
      <c r="W1503" s="3">
        <v>22395.97</v>
      </c>
      <c r="X1503" s="3">
        <v>53.15</v>
      </c>
      <c r="Y1503" s="3">
        <v>149</v>
      </c>
      <c r="Z1503" s="3" t="s">
        <v>40</v>
      </c>
      <c r="AA1503" s="3" t="s">
        <v>275</v>
      </c>
      <c r="AB1503" s="3" t="s">
        <v>101</v>
      </c>
      <c r="AC1503" s="3"/>
    </row>
    <row r="1504" spans="1:29" x14ac:dyDescent="0.3">
      <c r="A1504" s="2" t="s">
        <v>7115</v>
      </c>
      <c r="B1504" s="2" t="s">
        <v>7116</v>
      </c>
      <c r="C1504" s="2" t="s">
        <v>782</v>
      </c>
      <c r="D1504" s="2" t="s">
        <v>7117</v>
      </c>
      <c r="E1504" s="2" t="s">
        <v>26</v>
      </c>
      <c r="F1504" s="2" t="s">
        <v>1229</v>
      </c>
      <c r="G1504" s="2" t="s">
        <v>480</v>
      </c>
      <c r="H1504" s="2" t="s">
        <v>2221</v>
      </c>
      <c r="I1504" s="2">
        <v>8</v>
      </c>
      <c r="J1504" s="2" t="s">
        <v>14</v>
      </c>
      <c r="K1504" s="2" t="s">
        <v>712</v>
      </c>
      <c r="L1504" s="2" t="s">
        <v>712</v>
      </c>
      <c r="M1504" s="2" t="s">
        <v>7118</v>
      </c>
      <c r="N1504" s="2" t="s">
        <v>616</v>
      </c>
      <c r="O1504" s="2" t="s">
        <v>21</v>
      </c>
      <c r="P1504" s="2" t="s">
        <v>206</v>
      </c>
      <c r="Q1504" s="2" t="s">
        <v>197</v>
      </c>
      <c r="R1504" s="2">
        <v>5</v>
      </c>
      <c r="S1504" s="2">
        <v>36725.39</v>
      </c>
      <c r="T1504" s="2">
        <v>20</v>
      </c>
      <c r="U1504" s="2">
        <v>146901.56</v>
      </c>
      <c r="V1504" s="2">
        <v>101235.42</v>
      </c>
      <c r="W1504" s="2">
        <v>45666.14</v>
      </c>
      <c r="X1504" s="2">
        <v>31.09</v>
      </c>
      <c r="Y1504" s="2">
        <v>99</v>
      </c>
      <c r="Z1504" s="2" t="s">
        <v>23</v>
      </c>
      <c r="AA1504" s="2" t="s">
        <v>100</v>
      </c>
      <c r="AB1504" s="2" t="s">
        <v>140</v>
      </c>
      <c r="AC1504" s="2"/>
    </row>
    <row r="1505" spans="1:29" x14ac:dyDescent="0.3">
      <c r="A1505" s="3" t="s">
        <v>7119</v>
      </c>
      <c r="B1505" s="3" t="s">
        <v>7120</v>
      </c>
      <c r="C1505" s="3" t="s">
        <v>210</v>
      </c>
      <c r="D1505" s="3" t="s">
        <v>7121</v>
      </c>
      <c r="E1505" s="3" t="s">
        <v>18</v>
      </c>
      <c r="F1505" s="3" t="s">
        <v>2226</v>
      </c>
      <c r="G1505" s="3" t="s">
        <v>1725</v>
      </c>
      <c r="H1505" s="3" t="s">
        <v>581</v>
      </c>
      <c r="I1505" s="3">
        <v>4</v>
      </c>
      <c r="J1505" s="3" t="s">
        <v>14</v>
      </c>
      <c r="K1505" s="3" t="s">
        <v>171</v>
      </c>
      <c r="L1505" s="3" t="s">
        <v>541</v>
      </c>
      <c r="M1505" s="3" t="s">
        <v>7122</v>
      </c>
      <c r="N1505" s="3" t="s">
        <v>722</v>
      </c>
      <c r="O1505" s="3" t="s">
        <v>27</v>
      </c>
      <c r="P1505" s="3" t="s">
        <v>175</v>
      </c>
      <c r="Q1505" s="3" t="s">
        <v>152</v>
      </c>
      <c r="R1505" s="3">
        <v>5</v>
      </c>
      <c r="S1505" s="3">
        <v>18939.990000000002</v>
      </c>
      <c r="T1505" s="3">
        <v>30</v>
      </c>
      <c r="U1505" s="3">
        <v>66289.97</v>
      </c>
      <c r="V1505" s="3">
        <v>31511.31</v>
      </c>
      <c r="W1505" s="3">
        <v>34778.660000000003</v>
      </c>
      <c r="X1505" s="3">
        <v>52.46</v>
      </c>
      <c r="Y1505" s="3">
        <v>149</v>
      </c>
      <c r="Z1505" s="3" t="s">
        <v>47</v>
      </c>
      <c r="AA1505" s="3" t="s">
        <v>100</v>
      </c>
      <c r="AB1505" s="3" t="s">
        <v>101</v>
      </c>
      <c r="AC1505" s="3">
        <v>1</v>
      </c>
    </row>
    <row r="1506" spans="1:29" x14ac:dyDescent="0.3">
      <c r="A1506" s="2" t="s">
        <v>7123</v>
      </c>
      <c r="B1506" s="2" t="s">
        <v>7124</v>
      </c>
      <c r="C1506" s="2" t="s">
        <v>642</v>
      </c>
      <c r="D1506" s="2" t="s">
        <v>7125</v>
      </c>
      <c r="E1506" s="2" t="s">
        <v>33</v>
      </c>
      <c r="F1506" s="2" t="s">
        <v>2403</v>
      </c>
      <c r="G1506" s="2" t="s">
        <v>3450</v>
      </c>
      <c r="H1506" s="2" t="s">
        <v>3025</v>
      </c>
      <c r="I1506" s="2">
        <v>5</v>
      </c>
      <c r="J1506" s="2" t="s">
        <v>14</v>
      </c>
      <c r="K1506" s="2" t="s">
        <v>712</v>
      </c>
      <c r="L1506" s="2" t="s">
        <v>712</v>
      </c>
      <c r="M1506" s="2" t="s">
        <v>7126</v>
      </c>
      <c r="N1506" s="2" t="s">
        <v>205</v>
      </c>
      <c r="O1506" s="2" t="s">
        <v>21</v>
      </c>
      <c r="P1506" s="2" t="s">
        <v>206</v>
      </c>
      <c r="Q1506" s="2" t="s">
        <v>400</v>
      </c>
      <c r="R1506" s="2">
        <v>4</v>
      </c>
      <c r="S1506" s="2">
        <v>22206.23</v>
      </c>
      <c r="T1506" s="2">
        <v>5</v>
      </c>
      <c r="U1506" s="2">
        <v>84383.67</v>
      </c>
      <c r="V1506" s="2">
        <v>51584.06</v>
      </c>
      <c r="W1506" s="2">
        <v>32799.61</v>
      </c>
      <c r="X1506" s="2">
        <v>38.869999999999997</v>
      </c>
      <c r="Y1506" s="2">
        <v>29</v>
      </c>
      <c r="Z1506" s="2" t="s">
        <v>40</v>
      </c>
      <c r="AA1506" s="2" t="s">
        <v>100</v>
      </c>
      <c r="AB1506" s="2" t="s">
        <v>101</v>
      </c>
      <c r="AC1506" s="2">
        <v>1</v>
      </c>
    </row>
    <row r="1507" spans="1:29" x14ac:dyDescent="0.3">
      <c r="A1507" s="3" t="s">
        <v>7127</v>
      </c>
      <c r="B1507" s="3" t="s">
        <v>7128</v>
      </c>
      <c r="C1507" s="3" t="s">
        <v>1700</v>
      </c>
      <c r="D1507" s="3" t="s">
        <v>7129</v>
      </c>
      <c r="E1507" s="3" t="s">
        <v>33</v>
      </c>
      <c r="F1507" s="3" t="s">
        <v>6124</v>
      </c>
      <c r="G1507" s="3" t="s">
        <v>2671</v>
      </c>
      <c r="H1507" s="3" t="s">
        <v>6544</v>
      </c>
      <c r="I1507" s="3">
        <v>8</v>
      </c>
      <c r="J1507" s="3" t="s">
        <v>22</v>
      </c>
      <c r="K1507" s="3" t="s">
        <v>443</v>
      </c>
      <c r="L1507" s="3" t="s">
        <v>567</v>
      </c>
      <c r="M1507" s="3" t="s">
        <v>373</v>
      </c>
      <c r="N1507" s="3" t="s">
        <v>296</v>
      </c>
      <c r="O1507" s="3" t="s">
        <v>19</v>
      </c>
      <c r="P1507" s="3" t="s">
        <v>297</v>
      </c>
      <c r="Q1507" s="3" t="s">
        <v>114</v>
      </c>
      <c r="R1507" s="3">
        <v>2</v>
      </c>
      <c r="S1507" s="3">
        <v>16586.900000000001</v>
      </c>
      <c r="T1507" s="3">
        <v>10</v>
      </c>
      <c r="U1507" s="3">
        <v>29856.42</v>
      </c>
      <c r="V1507" s="3">
        <v>13971.59</v>
      </c>
      <c r="W1507" s="3">
        <v>15884.83</v>
      </c>
      <c r="X1507" s="3">
        <v>53.2</v>
      </c>
      <c r="Y1507" s="3">
        <v>0</v>
      </c>
      <c r="Z1507" s="3" t="s">
        <v>30</v>
      </c>
      <c r="AA1507" s="3" t="s">
        <v>100</v>
      </c>
      <c r="AB1507" s="3" t="s">
        <v>101</v>
      </c>
      <c r="AC1507" s="3">
        <v>5</v>
      </c>
    </row>
    <row r="1508" spans="1:29" x14ac:dyDescent="0.3">
      <c r="A1508" s="2" t="s">
        <v>7130</v>
      </c>
      <c r="B1508" s="2" t="s">
        <v>7131</v>
      </c>
      <c r="C1508" s="2" t="s">
        <v>995</v>
      </c>
      <c r="D1508" s="2" t="s">
        <v>7132</v>
      </c>
      <c r="E1508" s="2" t="s">
        <v>33</v>
      </c>
      <c r="F1508" s="2" t="s">
        <v>581</v>
      </c>
      <c r="G1508" s="2" t="s">
        <v>1479</v>
      </c>
      <c r="H1508" s="2" t="s">
        <v>5884</v>
      </c>
      <c r="I1508" s="2">
        <v>6</v>
      </c>
      <c r="J1508" s="2" t="s">
        <v>39</v>
      </c>
      <c r="K1508" s="2" t="s">
        <v>109</v>
      </c>
      <c r="L1508" s="2" t="s">
        <v>110</v>
      </c>
      <c r="M1508" s="2" t="s">
        <v>5223</v>
      </c>
      <c r="N1508" s="2" t="s">
        <v>446</v>
      </c>
      <c r="O1508" s="2" t="s">
        <v>19</v>
      </c>
      <c r="P1508" s="2" t="s">
        <v>447</v>
      </c>
      <c r="Q1508" s="2" t="s">
        <v>400</v>
      </c>
      <c r="R1508" s="2">
        <v>5</v>
      </c>
      <c r="S1508" s="2">
        <v>22968.93</v>
      </c>
      <c r="T1508" s="2">
        <v>5</v>
      </c>
      <c r="U1508" s="2">
        <v>109102.42</v>
      </c>
      <c r="V1508" s="2">
        <v>56577.07</v>
      </c>
      <c r="W1508" s="2">
        <v>52525.35</v>
      </c>
      <c r="X1508" s="2">
        <v>48.14</v>
      </c>
      <c r="Y1508" s="2">
        <v>0</v>
      </c>
      <c r="Z1508" s="2" t="s">
        <v>30</v>
      </c>
      <c r="AA1508" s="2" t="s">
        <v>100</v>
      </c>
      <c r="AB1508" s="2" t="s">
        <v>140</v>
      </c>
      <c r="AC1508" s="2">
        <v>1</v>
      </c>
    </row>
    <row r="1509" spans="1:29" x14ac:dyDescent="0.3">
      <c r="A1509" s="3" t="s">
        <v>7133</v>
      </c>
      <c r="B1509" s="3" t="s">
        <v>7134</v>
      </c>
      <c r="C1509" s="3" t="s">
        <v>1866</v>
      </c>
      <c r="D1509" s="3" t="s">
        <v>7135</v>
      </c>
      <c r="E1509" s="3" t="s">
        <v>18</v>
      </c>
      <c r="F1509" s="3" t="s">
        <v>3927</v>
      </c>
      <c r="G1509" s="3" t="s">
        <v>2006</v>
      </c>
      <c r="H1509" s="3" t="s">
        <v>2424</v>
      </c>
      <c r="I1509" s="3">
        <v>6</v>
      </c>
      <c r="J1509" s="3" t="s">
        <v>29</v>
      </c>
      <c r="K1509" s="3" t="s">
        <v>160</v>
      </c>
      <c r="L1509" s="3" t="s">
        <v>976</v>
      </c>
      <c r="M1509" s="3" t="s">
        <v>7136</v>
      </c>
      <c r="N1509" s="3" t="s">
        <v>616</v>
      </c>
      <c r="O1509" s="3" t="s">
        <v>21</v>
      </c>
      <c r="P1509" s="3" t="s">
        <v>206</v>
      </c>
      <c r="Q1509" s="3" t="s">
        <v>246</v>
      </c>
      <c r="R1509" s="3">
        <v>1</v>
      </c>
      <c r="S1509" s="3">
        <v>25465</v>
      </c>
      <c r="T1509" s="3">
        <v>15</v>
      </c>
      <c r="U1509" s="3">
        <v>21645.25</v>
      </c>
      <c r="V1509" s="3">
        <v>10783.19</v>
      </c>
      <c r="W1509" s="3">
        <v>10862.06</v>
      </c>
      <c r="X1509" s="3">
        <v>50.18</v>
      </c>
      <c r="Y1509" s="3">
        <v>149</v>
      </c>
      <c r="Z1509" s="3" t="s">
        <v>15</v>
      </c>
      <c r="AA1509" s="3" t="s">
        <v>139</v>
      </c>
      <c r="AB1509" s="3" t="s">
        <v>140</v>
      </c>
      <c r="AC1509" s="3"/>
    </row>
    <row r="1510" spans="1:29" x14ac:dyDescent="0.3">
      <c r="A1510" s="2" t="s">
        <v>7137</v>
      </c>
      <c r="B1510" s="2" t="s">
        <v>7138</v>
      </c>
      <c r="C1510" s="2" t="s">
        <v>1822</v>
      </c>
      <c r="D1510" s="2" t="s">
        <v>7139</v>
      </c>
      <c r="E1510" s="2" t="s">
        <v>26</v>
      </c>
      <c r="F1510" s="2" t="s">
        <v>120</v>
      </c>
      <c r="G1510" s="2" t="s">
        <v>4875</v>
      </c>
      <c r="H1510" s="2" t="s">
        <v>3389</v>
      </c>
      <c r="I1510" s="2">
        <v>3</v>
      </c>
      <c r="J1510" s="2" t="s">
        <v>14</v>
      </c>
      <c r="K1510" s="2" t="s">
        <v>183</v>
      </c>
      <c r="L1510" s="2" t="s">
        <v>183</v>
      </c>
      <c r="M1510" s="2" t="s">
        <v>7140</v>
      </c>
      <c r="N1510" s="2" t="s">
        <v>931</v>
      </c>
      <c r="O1510" s="2" t="s">
        <v>13</v>
      </c>
      <c r="P1510" s="2" t="s">
        <v>419</v>
      </c>
      <c r="Q1510" s="2" t="s">
        <v>400</v>
      </c>
      <c r="R1510" s="2">
        <v>3</v>
      </c>
      <c r="S1510" s="2">
        <v>24804.03</v>
      </c>
      <c r="T1510" s="2">
        <v>5</v>
      </c>
      <c r="U1510" s="2">
        <v>70691.490000000005</v>
      </c>
      <c r="V1510" s="2">
        <v>36205.629999999997</v>
      </c>
      <c r="W1510" s="2">
        <v>34485.86</v>
      </c>
      <c r="X1510" s="2">
        <v>48.78</v>
      </c>
      <c r="Y1510" s="2">
        <v>199</v>
      </c>
      <c r="Z1510" s="2" t="s">
        <v>30</v>
      </c>
      <c r="AA1510" s="2" t="s">
        <v>100</v>
      </c>
      <c r="AB1510" s="2" t="s">
        <v>101</v>
      </c>
      <c r="AC1510" s="2">
        <v>1</v>
      </c>
    </row>
    <row r="1511" spans="1:29" x14ac:dyDescent="0.3">
      <c r="A1511" s="3" t="s">
        <v>7141</v>
      </c>
      <c r="B1511" s="3" t="s">
        <v>7142</v>
      </c>
      <c r="C1511" s="3" t="s">
        <v>1644</v>
      </c>
      <c r="D1511" s="3" t="s">
        <v>7143</v>
      </c>
      <c r="E1511" s="3" t="s">
        <v>42</v>
      </c>
      <c r="F1511" s="3" t="s">
        <v>4711</v>
      </c>
      <c r="G1511" s="3" t="s">
        <v>1702</v>
      </c>
      <c r="H1511" s="3" t="s">
        <v>794</v>
      </c>
      <c r="I1511" s="3">
        <v>7</v>
      </c>
      <c r="J1511" s="3" t="s">
        <v>39</v>
      </c>
      <c r="K1511" s="3" t="s">
        <v>324</v>
      </c>
      <c r="L1511" s="3" t="s">
        <v>325</v>
      </c>
      <c r="M1511" s="3" t="s">
        <v>7144</v>
      </c>
      <c r="N1511" s="3" t="s">
        <v>924</v>
      </c>
      <c r="O1511" s="3" t="s">
        <v>13</v>
      </c>
      <c r="P1511" s="3" t="s">
        <v>228</v>
      </c>
      <c r="Q1511" s="3" t="s">
        <v>197</v>
      </c>
      <c r="R1511" s="3">
        <v>1</v>
      </c>
      <c r="S1511" s="3">
        <v>23320.43</v>
      </c>
      <c r="T1511" s="3">
        <v>30</v>
      </c>
      <c r="U1511" s="3">
        <v>16324.3</v>
      </c>
      <c r="V1511" s="3">
        <v>9610.75</v>
      </c>
      <c r="W1511" s="3">
        <v>6713.55</v>
      </c>
      <c r="X1511" s="3">
        <v>41.13</v>
      </c>
      <c r="Y1511" s="3">
        <v>29</v>
      </c>
      <c r="Z1511" s="3" t="s">
        <v>40</v>
      </c>
      <c r="AA1511" s="3" t="s">
        <v>100</v>
      </c>
      <c r="AB1511" s="3" t="s">
        <v>101</v>
      </c>
      <c r="AC1511" s="3">
        <v>4</v>
      </c>
    </row>
    <row r="1512" spans="1:29" x14ac:dyDescent="0.3">
      <c r="A1512" s="2" t="s">
        <v>7145</v>
      </c>
      <c r="B1512" s="2" t="s">
        <v>7146</v>
      </c>
      <c r="C1512" s="2" t="s">
        <v>240</v>
      </c>
      <c r="D1512" s="2" t="s">
        <v>7147</v>
      </c>
      <c r="E1512" s="2" t="s">
        <v>42</v>
      </c>
      <c r="F1512" s="2" t="s">
        <v>2271</v>
      </c>
      <c r="G1512" s="2" t="s">
        <v>1100</v>
      </c>
      <c r="H1512" s="2" t="s">
        <v>1750</v>
      </c>
      <c r="I1512" s="2">
        <v>7</v>
      </c>
      <c r="J1512" s="2" t="s">
        <v>39</v>
      </c>
      <c r="K1512" s="2" t="s">
        <v>314</v>
      </c>
      <c r="L1512" s="2" t="s">
        <v>314</v>
      </c>
      <c r="M1512" s="2" t="s">
        <v>7148</v>
      </c>
      <c r="N1512" s="2" t="s">
        <v>1122</v>
      </c>
      <c r="O1512" s="2" t="s">
        <v>27</v>
      </c>
      <c r="P1512" s="2" t="s">
        <v>257</v>
      </c>
      <c r="Q1512" s="2" t="s">
        <v>99</v>
      </c>
      <c r="R1512" s="2">
        <v>5</v>
      </c>
      <c r="S1512" s="2">
        <v>18155.7</v>
      </c>
      <c r="T1512" s="2">
        <v>20</v>
      </c>
      <c r="U1512" s="2">
        <v>72622.8</v>
      </c>
      <c r="V1512" s="2">
        <v>42132.83</v>
      </c>
      <c r="W1512" s="2">
        <v>30489.97</v>
      </c>
      <c r="X1512" s="2">
        <v>41.98</v>
      </c>
      <c r="Y1512" s="2">
        <v>0</v>
      </c>
      <c r="Z1512" s="2" t="s">
        <v>23</v>
      </c>
      <c r="AA1512" s="2" t="s">
        <v>100</v>
      </c>
      <c r="AB1512" s="2" t="s">
        <v>101</v>
      </c>
      <c r="AC1512" s="2">
        <v>2</v>
      </c>
    </row>
    <row r="1513" spans="1:29" x14ac:dyDescent="0.3">
      <c r="A1513" s="3" t="s">
        <v>7149</v>
      </c>
      <c r="B1513" s="3" t="s">
        <v>7150</v>
      </c>
      <c r="C1513" s="3" t="s">
        <v>2572</v>
      </c>
      <c r="D1513" s="3" t="s">
        <v>7151</v>
      </c>
      <c r="E1513" s="3" t="s">
        <v>18</v>
      </c>
      <c r="F1513" s="3" t="s">
        <v>1546</v>
      </c>
      <c r="G1513" s="3" t="s">
        <v>1547</v>
      </c>
      <c r="H1513" s="3" t="s">
        <v>5879</v>
      </c>
      <c r="I1513" s="3">
        <v>4</v>
      </c>
      <c r="J1513" s="3" t="s">
        <v>14</v>
      </c>
      <c r="K1513" s="3" t="s">
        <v>215</v>
      </c>
      <c r="L1513" s="3" t="s">
        <v>215</v>
      </c>
      <c r="M1513" s="3" t="s">
        <v>7152</v>
      </c>
      <c r="N1513" s="3" t="s">
        <v>1051</v>
      </c>
      <c r="O1513" s="3" t="s">
        <v>28</v>
      </c>
      <c r="P1513" s="3" t="s">
        <v>151</v>
      </c>
      <c r="Q1513" s="3" t="s">
        <v>127</v>
      </c>
      <c r="R1513" s="3">
        <v>5</v>
      </c>
      <c r="S1513" s="3">
        <v>1239.24</v>
      </c>
      <c r="T1513" s="3">
        <v>0</v>
      </c>
      <c r="U1513" s="3">
        <v>6196.2</v>
      </c>
      <c r="V1513" s="3">
        <v>3299.15</v>
      </c>
      <c r="W1513" s="3">
        <v>2897.05</v>
      </c>
      <c r="X1513" s="3">
        <v>46.76</v>
      </c>
      <c r="Y1513" s="3">
        <v>0</v>
      </c>
      <c r="Z1513" s="3" t="s">
        <v>23</v>
      </c>
      <c r="AA1513" s="3" t="s">
        <v>672</v>
      </c>
      <c r="AB1513" s="3" t="s">
        <v>101</v>
      </c>
      <c r="AC1513" s="3"/>
    </row>
    <row r="1514" spans="1:29" x14ac:dyDescent="0.3">
      <c r="A1514" s="2" t="s">
        <v>7153</v>
      </c>
      <c r="B1514" s="2" t="s">
        <v>3564</v>
      </c>
      <c r="C1514" s="2" t="s">
        <v>1293</v>
      </c>
      <c r="D1514" s="2" t="s">
        <v>7154</v>
      </c>
      <c r="E1514" s="2" t="s">
        <v>42</v>
      </c>
      <c r="F1514" s="2" t="s">
        <v>1708</v>
      </c>
      <c r="G1514" s="2" t="s">
        <v>3825</v>
      </c>
      <c r="H1514" s="2" t="s">
        <v>2370</v>
      </c>
      <c r="I1514" s="2">
        <v>3</v>
      </c>
      <c r="J1514" s="2" t="s">
        <v>22</v>
      </c>
      <c r="K1514" s="2" t="s">
        <v>738</v>
      </c>
      <c r="L1514" s="2" t="s">
        <v>738</v>
      </c>
      <c r="M1514" s="2" t="s">
        <v>895</v>
      </c>
      <c r="N1514" s="2" t="s">
        <v>964</v>
      </c>
      <c r="O1514" s="2" t="s">
        <v>13</v>
      </c>
      <c r="P1514" s="2" t="s">
        <v>98</v>
      </c>
      <c r="Q1514" s="2" t="s">
        <v>608</v>
      </c>
      <c r="R1514" s="2">
        <v>4</v>
      </c>
      <c r="S1514" s="2">
        <v>38601.57</v>
      </c>
      <c r="T1514" s="2">
        <v>20</v>
      </c>
      <c r="U1514" s="2">
        <v>123525.02</v>
      </c>
      <c r="V1514" s="2">
        <v>56248.43</v>
      </c>
      <c r="W1514" s="2">
        <v>67276.59</v>
      </c>
      <c r="X1514" s="2">
        <v>54.46</v>
      </c>
      <c r="Y1514" s="2">
        <v>149</v>
      </c>
      <c r="Z1514" s="2" t="s">
        <v>40</v>
      </c>
      <c r="AA1514" s="2" t="s">
        <v>100</v>
      </c>
      <c r="AB1514" s="2" t="s">
        <v>101</v>
      </c>
      <c r="AC1514" s="2">
        <v>5</v>
      </c>
    </row>
    <row r="1515" spans="1:29" x14ac:dyDescent="0.3">
      <c r="A1515" s="3" t="s">
        <v>7155</v>
      </c>
      <c r="B1515" s="3" t="s">
        <v>7156</v>
      </c>
      <c r="C1515" s="3" t="s">
        <v>2231</v>
      </c>
      <c r="D1515" s="3" t="s">
        <v>4333</v>
      </c>
      <c r="E1515" s="3" t="s">
        <v>42</v>
      </c>
      <c r="F1515" s="3" t="s">
        <v>644</v>
      </c>
      <c r="G1515" s="3" t="s">
        <v>2467</v>
      </c>
      <c r="H1515" s="3" t="s">
        <v>4232</v>
      </c>
      <c r="I1515" s="3">
        <v>2</v>
      </c>
      <c r="J1515" s="3" t="s">
        <v>22</v>
      </c>
      <c r="K1515" s="3" t="s">
        <v>254</v>
      </c>
      <c r="L1515" s="3" t="s">
        <v>254</v>
      </c>
      <c r="M1515" s="3" t="s">
        <v>3247</v>
      </c>
      <c r="N1515" s="3" t="s">
        <v>195</v>
      </c>
      <c r="O1515" s="3" t="s">
        <v>21</v>
      </c>
      <c r="P1515" s="3" t="s">
        <v>196</v>
      </c>
      <c r="Q1515" s="3" t="s">
        <v>197</v>
      </c>
      <c r="R1515" s="3">
        <v>1</v>
      </c>
      <c r="S1515" s="3">
        <v>46503.59</v>
      </c>
      <c r="T1515" s="3">
        <v>0</v>
      </c>
      <c r="U1515" s="3">
        <v>46503.59</v>
      </c>
      <c r="V1515" s="3">
        <v>31098.58</v>
      </c>
      <c r="W1515" s="3">
        <v>15405.01</v>
      </c>
      <c r="X1515" s="3">
        <v>33.130000000000003</v>
      </c>
      <c r="Y1515" s="3">
        <v>99</v>
      </c>
      <c r="Z1515" s="3" t="s">
        <v>48</v>
      </c>
      <c r="AA1515" s="3" t="s">
        <v>100</v>
      </c>
      <c r="AB1515" s="3" t="s">
        <v>101</v>
      </c>
      <c r="AC1515" s="3">
        <v>4</v>
      </c>
    </row>
    <row r="1516" spans="1:29" x14ac:dyDescent="0.3">
      <c r="A1516" s="2" t="s">
        <v>7157</v>
      </c>
      <c r="B1516" s="2" t="s">
        <v>7158</v>
      </c>
      <c r="C1516" s="2" t="s">
        <v>768</v>
      </c>
      <c r="D1516" s="2" t="s">
        <v>7159</v>
      </c>
      <c r="E1516" s="2" t="s">
        <v>18</v>
      </c>
      <c r="F1516" s="2" t="s">
        <v>1632</v>
      </c>
      <c r="G1516" s="2" t="s">
        <v>1633</v>
      </c>
      <c r="H1516" s="2" t="s">
        <v>1888</v>
      </c>
      <c r="I1516" s="2">
        <v>4</v>
      </c>
      <c r="J1516" s="2" t="s">
        <v>39</v>
      </c>
      <c r="K1516" s="2" t="s">
        <v>193</v>
      </c>
      <c r="L1516" s="2" t="s">
        <v>193</v>
      </c>
      <c r="M1516" s="2" t="s">
        <v>7160</v>
      </c>
      <c r="N1516" s="2" t="s">
        <v>533</v>
      </c>
      <c r="O1516" s="2" t="s">
        <v>19</v>
      </c>
      <c r="P1516" s="2" t="s">
        <v>297</v>
      </c>
      <c r="Q1516" s="2" t="s">
        <v>99</v>
      </c>
      <c r="R1516" s="2">
        <v>2</v>
      </c>
      <c r="S1516" s="2">
        <v>21590.9</v>
      </c>
      <c r="T1516" s="2">
        <v>25</v>
      </c>
      <c r="U1516" s="2">
        <v>32386.35</v>
      </c>
      <c r="V1516" s="2">
        <v>22043.88</v>
      </c>
      <c r="W1516" s="2">
        <v>10342.469999999999</v>
      </c>
      <c r="X1516" s="2">
        <v>31.93</v>
      </c>
      <c r="Y1516" s="2">
        <v>99</v>
      </c>
      <c r="Z1516" s="2" t="s">
        <v>48</v>
      </c>
      <c r="AA1516" s="2" t="s">
        <v>186</v>
      </c>
      <c r="AB1516" s="2" t="s">
        <v>101</v>
      </c>
      <c r="AC1516" s="2"/>
    </row>
    <row r="1517" spans="1:29" x14ac:dyDescent="0.3">
      <c r="A1517" s="3" t="s">
        <v>7161</v>
      </c>
      <c r="B1517" s="3" t="s">
        <v>7162</v>
      </c>
      <c r="C1517" s="3" t="s">
        <v>221</v>
      </c>
      <c r="D1517" s="3" t="s">
        <v>7163</v>
      </c>
      <c r="E1517" s="3" t="s">
        <v>26</v>
      </c>
      <c r="F1517" s="3" t="s">
        <v>5105</v>
      </c>
      <c r="G1517" s="3" t="s">
        <v>843</v>
      </c>
      <c r="H1517" s="3" t="s">
        <v>1173</v>
      </c>
      <c r="I1517" s="3">
        <v>6</v>
      </c>
      <c r="J1517" s="3" t="s">
        <v>29</v>
      </c>
      <c r="K1517" s="3" t="s">
        <v>334</v>
      </c>
      <c r="L1517" s="3" t="s">
        <v>614</v>
      </c>
      <c r="M1517" s="3" t="s">
        <v>7164</v>
      </c>
      <c r="N1517" s="3" t="s">
        <v>1611</v>
      </c>
      <c r="O1517" s="3" t="s">
        <v>19</v>
      </c>
      <c r="P1517" s="3" t="s">
        <v>365</v>
      </c>
      <c r="Q1517" s="3" t="s">
        <v>509</v>
      </c>
      <c r="R1517" s="3">
        <v>1</v>
      </c>
      <c r="S1517" s="3">
        <v>19748.05</v>
      </c>
      <c r="T1517" s="3">
        <v>0</v>
      </c>
      <c r="U1517" s="3">
        <v>19748.05</v>
      </c>
      <c r="V1517" s="3">
        <v>11298.41</v>
      </c>
      <c r="W1517" s="3">
        <v>8449.64</v>
      </c>
      <c r="X1517" s="3">
        <v>42.79</v>
      </c>
      <c r="Y1517" s="3">
        <v>199</v>
      </c>
      <c r="Z1517" s="3" t="s">
        <v>40</v>
      </c>
      <c r="AA1517" s="3" t="s">
        <v>275</v>
      </c>
      <c r="AB1517" s="3" t="s">
        <v>101</v>
      </c>
      <c r="AC1517" s="3"/>
    </row>
    <row r="1518" spans="1:29" x14ac:dyDescent="0.3">
      <c r="A1518" s="2" t="s">
        <v>7165</v>
      </c>
      <c r="B1518" s="2" t="s">
        <v>7166</v>
      </c>
      <c r="C1518" s="2" t="s">
        <v>1335</v>
      </c>
      <c r="D1518" s="2" t="s">
        <v>7167</v>
      </c>
      <c r="E1518" s="2" t="s">
        <v>18</v>
      </c>
      <c r="F1518" s="2" t="s">
        <v>1108</v>
      </c>
      <c r="G1518" s="2" t="s">
        <v>3773</v>
      </c>
      <c r="H1518" s="2" t="s">
        <v>2525</v>
      </c>
      <c r="I1518" s="2">
        <v>3</v>
      </c>
      <c r="J1518" s="2" t="s">
        <v>22</v>
      </c>
      <c r="K1518" s="2" t="s">
        <v>122</v>
      </c>
      <c r="L1518" s="2" t="s">
        <v>812</v>
      </c>
      <c r="M1518" s="2" t="s">
        <v>7168</v>
      </c>
      <c r="N1518" s="2" t="s">
        <v>97</v>
      </c>
      <c r="O1518" s="2" t="s">
        <v>13</v>
      </c>
      <c r="P1518" s="2" t="s">
        <v>98</v>
      </c>
      <c r="Q1518" s="2" t="s">
        <v>138</v>
      </c>
      <c r="R1518" s="2">
        <v>3</v>
      </c>
      <c r="S1518" s="2">
        <v>14567.31</v>
      </c>
      <c r="T1518" s="2">
        <v>20</v>
      </c>
      <c r="U1518" s="2">
        <v>34961.54</v>
      </c>
      <c r="V1518" s="2">
        <v>17351.330000000002</v>
      </c>
      <c r="W1518" s="2">
        <v>17610.21</v>
      </c>
      <c r="X1518" s="2">
        <v>50.37</v>
      </c>
      <c r="Y1518" s="2">
        <v>29</v>
      </c>
      <c r="Z1518" s="2" t="s">
        <v>40</v>
      </c>
      <c r="AA1518" s="2" t="s">
        <v>100</v>
      </c>
      <c r="AB1518" s="2" t="s">
        <v>101</v>
      </c>
      <c r="AC1518" s="2">
        <v>3</v>
      </c>
    </row>
    <row r="1519" spans="1:29" x14ac:dyDescent="0.3">
      <c r="A1519" s="3" t="s">
        <v>7169</v>
      </c>
      <c r="B1519" s="3" t="s">
        <v>7170</v>
      </c>
      <c r="C1519" s="3" t="s">
        <v>816</v>
      </c>
      <c r="D1519" s="3" t="s">
        <v>7171</v>
      </c>
      <c r="E1519" s="3" t="s">
        <v>26</v>
      </c>
      <c r="F1519" s="3" t="s">
        <v>1322</v>
      </c>
      <c r="G1519" s="3" t="s">
        <v>252</v>
      </c>
      <c r="H1519" s="3" t="s">
        <v>1776</v>
      </c>
      <c r="I1519" s="3">
        <v>2</v>
      </c>
      <c r="J1519" s="3" t="s">
        <v>39</v>
      </c>
      <c r="K1519" s="3" t="s">
        <v>225</v>
      </c>
      <c r="L1519" s="3" t="s">
        <v>225</v>
      </c>
      <c r="M1519" s="3" t="s">
        <v>7172</v>
      </c>
      <c r="N1519" s="3" t="s">
        <v>639</v>
      </c>
      <c r="O1519" s="3" t="s">
        <v>27</v>
      </c>
      <c r="P1519" s="3" t="s">
        <v>175</v>
      </c>
      <c r="Q1519" s="3" t="s">
        <v>138</v>
      </c>
      <c r="R1519" s="3">
        <v>5</v>
      </c>
      <c r="S1519" s="3">
        <v>46337.63</v>
      </c>
      <c r="T1519" s="3">
        <v>20</v>
      </c>
      <c r="U1519" s="3">
        <v>185350.52</v>
      </c>
      <c r="V1519" s="3">
        <v>87306.18</v>
      </c>
      <c r="W1519" s="3">
        <v>98044.34</v>
      </c>
      <c r="X1519" s="3">
        <v>52.9</v>
      </c>
      <c r="Y1519" s="3">
        <v>29</v>
      </c>
      <c r="Z1519" s="3" t="s">
        <v>30</v>
      </c>
      <c r="AA1519" s="3" t="s">
        <v>100</v>
      </c>
      <c r="AB1519" s="3" t="s">
        <v>101</v>
      </c>
      <c r="AC1519" s="3">
        <v>5</v>
      </c>
    </row>
    <row r="1520" spans="1:29" x14ac:dyDescent="0.3">
      <c r="A1520" s="2" t="s">
        <v>7173</v>
      </c>
      <c r="B1520" s="2" t="s">
        <v>7174</v>
      </c>
      <c r="C1520" s="2" t="s">
        <v>1233</v>
      </c>
      <c r="D1520" s="2" t="s">
        <v>7175</v>
      </c>
      <c r="E1520" s="2" t="s">
        <v>33</v>
      </c>
      <c r="F1520" s="2" t="s">
        <v>2076</v>
      </c>
      <c r="G1520" s="2" t="s">
        <v>2112</v>
      </c>
      <c r="H1520" s="2" t="s">
        <v>4258</v>
      </c>
      <c r="I1520" s="2">
        <v>7</v>
      </c>
      <c r="J1520" s="2" t="s">
        <v>22</v>
      </c>
      <c r="K1520" s="2" t="s">
        <v>254</v>
      </c>
      <c r="L1520" s="2" t="s">
        <v>254</v>
      </c>
      <c r="M1520" s="2" t="s">
        <v>7176</v>
      </c>
      <c r="N1520" s="2" t="s">
        <v>508</v>
      </c>
      <c r="O1520" s="2" t="s">
        <v>19</v>
      </c>
      <c r="P1520" s="2" t="s">
        <v>365</v>
      </c>
      <c r="Q1520" s="2" t="s">
        <v>509</v>
      </c>
      <c r="R1520" s="2">
        <v>2</v>
      </c>
      <c r="S1520" s="2">
        <v>29457.03</v>
      </c>
      <c r="T1520" s="2">
        <v>5</v>
      </c>
      <c r="U1520" s="2">
        <v>55968.36</v>
      </c>
      <c r="V1520" s="2">
        <v>32845.22</v>
      </c>
      <c r="W1520" s="2">
        <v>23123.14</v>
      </c>
      <c r="X1520" s="2">
        <v>41.31</v>
      </c>
      <c r="Y1520" s="2">
        <v>149</v>
      </c>
      <c r="Z1520" s="2" t="s">
        <v>23</v>
      </c>
      <c r="AA1520" s="2" t="s">
        <v>100</v>
      </c>
      <c r="AB1520" s="2" t="s">
        <v>101</v>
      </c>
      <c r="AC1520" s="2">
        <v>2</v>
      </c>
    </row>
    <row r="1521" spans="1:29" x14ac:dyDescent="0.3">
      <c r="A1521" s="3" t="s">
        <v>7177</v>
      </c>
      <c r="B1521" s="3" t="s">
        <v>829</v>
      </c>
      <c r="C1521" s="3" t="s">
        <v>840</v>
      </c>
      <c r="D1521" s="3" t="s">
        <v>7178</v>
      </c>
      <c r="E1521" s="3" t="s">
        <v>26</v>
      </c>
      <c r="F1521" s="3" t="s">
        <v>2058</v>
      </c>
      <c r="G1521" s="3" t="s">
        <v>1586</v>
      </c>
      <c r="H1521" s="3" t="s">
        <v>1058</v>
      </c>
      <c r="I1521" s="3">
        <v>8</v>
      </c>
      <c r="J1521" s="3" t="s">
        <v>14</v>
      </c>
      <c r="K1521" s="3" t="s">
        <v>215</v>
      </c>
      <c r="L1521" s="3" t="s">
        <v>215</v>
      </c>
      <c r="M1521" s="3" t="s">
        <v>7179</v>
      </c>
      <c r="N1521" s="3" t="s">
        <v>508</v>
      </c>
      <c r="O1521" s="3" t="s">
        <v>19</v>
      </c>
      <c r="P1521" s="3" t="s">
        <v>365</v>
      </c>
      <c r="Q1521" s="3" t="s">
        <v>355</v>
      </c>
      <c r="R1521" s="3">
        <v>4</v>
      </c>
      <c r="S1521" s="3">
        <v>22877.64</v>
      </c>
      <c r="T1521" s="3">
        <v>0</v>
      </c>
      <c r="U1521" s="3">
        <v>91510.56</v>
      </c>
      <c r="V1521" s="3">
        <v>46319.18</v>
      </c>
      <c r="W1521" s="3">
        <v>45191.38</v>
      </c>
      <c r="X1521" s="3">
        <v>49.38</v>
      </c>
      <c r="Y1521" s="3">
        <v>29</v>
      </c>
      <c r="Z1521" s="3" t="s">
        <v>23</v>
      </c>
      <c r="AA1521" s="3" t="s">
        <v>275</v>
      </c>
      <c r="AB1521" s="3" t="s">
        <v>101</v>
      </c>
      <c r="AC1521" s="3"/>
    </row>
    <row r="1522" spans="1:29" x14ac:dyDescent="0.3">
      <c r="A1522" s="2" t="s">
        <v>7180</v>
      </c>
      <c r="B1522" s="2" t="s">
        <v>7181</v>
      </c>
      <c r="C1522" s="2" t="s">
        <v>1311</v>
      </c>
      <c r="D1522" s="2" t="s">
        <v>7182</v>
      </c>
      <c r="E1522" s="2" t="s">
        <v>18</v>
      </c>
      <c r="F1522" s="2" t="s">
        <v>5234</v>
      </c>
      <c r="G1522" s="2" t="s">
        <v>293</v>
      </c>
      <c r="H1522" s="2" t="s">
        <v>294</v>
      </c>
      <c r="I1522" s="2">
        <v>3</v>
      </c>
      <c r="J1522" s="2" t="s">
        <v>14</v>
      </c>
      <c r="K1522" s="2" t="s">
        <v>712</v>
      </c>
      <c r="L1522" s="2" t="s">
        <v>712</v>
      </c>
      <c r="M1522" s="2" t="s">
        <v>7183</v>
      </c>
      <c r="N1522" s="2" t="s">
        <v>924</v>
      </c>
      <c r="O1522" s="2" t="s">
        <v>13</v>
      </c>
      <c r="P1522" s="2" t="s">
        <v>228</v>
      </c>
      <c r="Q1522" s="2" t="s">
        <v>400</v>
      </c>
      <c r="R1522" s="2">
        <v>1</v>
      </c>
      <c r="S1522" s="2">
        <v>16485.04</v>
      </c>
      <c r="T1522" s="2">
        <v>30</v>
      </c>
      <c r="U1522" s="2">
        <v>11539.53</v>
      </c>
      <c r="V1522" s="2">
        <v>5847.23</v>
      </c>
      <c r="W1522" s="2">
        <v>5692.3</v>
      </c>
      <c r="X1522" s="2">
        <v>49.33</v>
      </c>
      <c r="Y1522" s="2">
        <v>149</v>
      </c>
      <c r="Z1522" s="2" t="s">
        <v>23</v>
      </c>
      <c r="AA1522" s="2" t="s">
        <v>672</v>
      </c>
      <c r="AB1522" s="2" t="s">
        <v>101</v>
      </c>
      <c r="AC1522" s="2"/>
    </row>
    <row r="1523" spans="1:29" x14ac:dyDescent="0.3">
      <c r="A1523" s="3" t="s">
        <v>7184</v>
      </c>
      <c r="B1523" s="3" t="s">
        <v>7185</v>
      </c>
      <c r="C1523" s="3" t="s">
        <v>143</v>
      </c>
      <c r="D1523" s="3" t="s">
        <v>7186</v>
      </c>
      <c r="E1523" s="3" t="s">
        <v>42</v>
      </c>
      <c r="F1523" s="3" t="s">
        <v>1413</v>
      </c>
      <c r="G1523" s="3" t="s">
        <v>2028</v>
      </c>
      <c r="H1523" s="3" t="s">
        <v>3069</v>
      </c>
      <c r="I1523" s="3">
        <v>5</v>
      </c>
      <c r="J1523" s="3" t="s">
        <v>22</v>
      </c>
      <c r="K1523" s="3" t="s">
        <v>122</v>
      </c>
      <c r="L1523" s="3" t="s">
        <v>123</v>
      </c>
      <c r="M1523" s="3" t="s">
        <v>7187</v>
      </c>
      <c r="N1523" s="3" t="s">
        <v>316</v>
      </c>
      <c r="O1523" s="3" t="s">
        <v>28</v>
      </c>
      <c r="P1523" s="3" t="s">
        <v>137</v>
      </c>
      <c r="Q1523" s="3" t="s">
        <v>287</v>
      </c>
      <c r="R1523" s="3">
        <v>3</v>
      </c>
      <c r="S1523" s="3">
        <v>30057.32</v>
      </c>
      <c r="T1523" s="3">
        <v>30</v>
      </c>
      <c r="U1523" s="3">
        <v>63120.37</v>
      </c>
      <c r="V1523" s="3">
        <v>29388.21</v>
      </c>
      <c r="W1523" s="3">
        <v>33732.160000000003</v>
      </c>
      <c r="X1523" s="3">
        <v>53.44</v>
      </c>
      <c r="Y1523" s="3">
        <v>199</v>
      </c>
      <c r="Z1523" s="3" t="s">
        <v>43</v>
      </c>
      <c r="AA1523" s="3" t="s">
        <v>100</v>
      </c>
      <c r="AB1523" s="3" t="s">
        <v>101</v>
      </c>
      <c r="AC1523" s="3"/>
    </row>
    <row r="1524" spans="1:29" x14ac:dyDescent="0.3">
      <c r="A1524" s="2" t="s">
        <v>7188</v>
      </c>
      <c r="B1524" s="2" t="s">
        <v>7189</v>
      </c>
      <c r="C1524" s="2" t="s">
        <v>743</v>
      </c>
      <c r="D1524" s="2" t="s">
        <v>7190</v>
      </c>
      <c r="E1524" s="2" t="s">
        <v>42</v>
      </c>
      <c r="F1524" s="2" t="s">
        <v>3885</v>
      </c>
      <c r="G1524" s="2" t="s">
        <v>4253</v>
      </c>
      <c r="H1524" s="2" t="s">
        <v>4081</v>
      </c>
      <c r="I1524" s="2">
        <v>5</v>
      </c>
      <c r="J1524" s="2" t="s">
        <v>22</v>
      </c>
      <c r="K1524" s="2" t="s">
        <v>254</v>
      </c>
      <c r="L1524" s="2" t="s">
        <v>254</v>
      </c>
      <c r="M1524" s="2" t="s">
        <v>7191</v>
      </c>
      <c r="N1524" s="2" t="s">
        <v>722</v>
      </c>
      <c r="O1524" s="2" t="s">
        <v>27</v>
      </c>
      <c r="P1524" s="2" t="s">
        <v>175</v>
      </c>
      <c r="Q1524" s="2" t="s">
        <v>466</v>
      </c>
      <c r="R1524" s="2">
        <v>2</v>
      </c>
      <c r="S1524" s="2">
        <v>5655.03</v>
      </c>
      <c r="T1524" s="2">
        <v>15</v>
      </c>
      <c r="U1524" s="2">
        <v>9613.5499999999993</v>
      </c>
      <c r="V1524" s="2">
        <v>6348.71</v>
      </c>
      <c r="W1524" s="2">
        <v>3264.84</v>
      </c>
      <c r="X1524" s="2">
        <v>33.96</v>
      </c>
      <c r="Y1524" s="2">
        <v>99</v>
      </c>
      <c r="Z1524" s="2" t="s">
        <v>23</v>
      </c>
      <c r="AA1524" s="2" t="s">
        <v>100</v>
      </c>
      <c r="AB1524" s="2" t="s">
        <v>101</v>
      </c>
      <c r="AC1524" s="2">
        <v>4</v>
      </c>
    </row>
    <row r="1525" spans="1:29" x14ac:dyDescent="0.3">
      <c r="A1525" s="3" t="s">
        <v>7192</v>
      </c>
      <c r="B1525" s="3" t="s">
        <v>7193</v>
      </c>
      <c r="C1525" s="3" t="s">
        <v>2231</v>
      </c>
      <c r="D1525" s="3" t="s">
        <v>7194</v>
      </c>
      <c r="E1525" s="3" t="s">
        <v>26</v>
      </c>
      <c r="F1525" s="3" t="s">
        <v>2349</v>
      </c>
      <c r="G1525" s="3" t="s">
        <v>754</v>
      </c>
      <c r="H1525" s="3" t="s">
        <v>849</v>
      </c>
      <c r="I1525" s="3">
        <v>4</v>
      </c>
      <c r="J1525" s="3" t="s">
        <v>39</v>
      </c>
      <c r="K1525" s="3" t="s">
        <v>225</v>
      </c>
      <c r="L1525" s="3" t="s">
        <v>225</v>
      </c>
      <c r="M1525" s="3" t="s">
        <v>4915</v>
      </c>
      <c r="N1525" s="3" t="s">
        <v>150</v>
      </c>
      <c r="O1525" s="3" t="s">
        <v>28</v>
      </c>
      <c r="P1525" s="3" t="s">
        <v>151</v>
      </c>
      <c r="Q1525" s="3" t="s">
        <v>207</v>
      </c>
      <c r="R1525" s="3">
        <v>5</v>
      </c>
      <c r="S1525" s="3">
        <v>34498.75</v>
      </c>
      <c r="T1525" s="3">
        <v>25</v>
      </c>
      <c r="U1525" s="3">
        <v>129370.31</v>
      </c>
      <c r="V1525" s="3">
        <v>60005.78</v>
      </c>
      <c r="W1525" s="3">
        <v>69364.53</v>
      </c>
      <c r="X1525" s="3">
        <v>53.62</v>
      </c>
      <c r="Y1525" s="3">
        <v>99</v>
      </c>
      <c r="Z1525" s="3" t="s">
        <v>47</v>
      </c>
      <c r="AA1525" s="3" t="s">
        <v>100</v>
      </c>
      <c r="AB1525" s="3" t="s">
        <v>101</v>
      </c>
      <c r="AC1525" s="3">
        <v>5</v>
      </c>
    </row>
    <row r="1526" spans="1:29" x14ac:dyDescent="0.3">
      <c r="A1526" s="2" t="s">
        <v>7195</v>
      </c>
      <c r="B1526" s="2" t="s">
        <v>7196</v>
      </c>
      <c r="C1526" s="2" t="s">
        <v>1293</v>
      </c>
      <c r="D1526" s="2" t="s">
        <v>7197</v>
      </c>
      <c r="E1526" s="2" t="s">
        <v>42</v>
      </c>
      <c r="F1526" s="2" t="s">
        <v>3717</v>
      </c>
      <c r="G1526" s="2" t="s">
        <v>2854</v>
      </c>
      <c r="H1526" s="2" t="s">
        <v>4305</v>
      </c>
      <c r="I1526" s="2">
        <v>5</v>
      </c>
      <c r="J1526" s="2" t="s">
        <v>29</v>
      </c>
      <c r="K1526" s="2" t="s">
        <v>427</v>
      </c>
      <c r="L1526" s="2" t="s">
        <v>1081</v>
      </c>
      <c r="M1526" s="2" t="s">
        <v>4164</v>
      </c>
      <c r="N1526" s="2" t="s">
        <v>1122</v>
      </c>
      <c r="O1526" s="2" t="s">
        <v>27</v>
      </c>
      <c r="P1526" s="2" t="s">
        <v>257</v>
      </c>
      <c r="Q1526" s="2" t="s">
        <v>99</v>
      </c>
      <c r="R1526" s="2">
        <v>3</v>
      </c>
      <c r="S1526" s="2">
        <v>12257.33</v>
      </c>
      <c r="T1526" s="2">
        <v>25</v>
      </c>
      <c r="U1526" s="2">
        <v>27578.99</v>
      </c>
      <c r="V1526" s="2">
        <v>14488.77</v>
      </c>
      <c r="W1526" s="2">
        <v>13090.22</v>
      </c>
      <c r="X1526" s="2">
        <v>47.46</v>
      </c>
      <c r="Y1526" s="2">
        <v>199</v>
      </c>
      <c r="Z1526" s="2" t="s">
        <v>47</v>
      </c>
      <c r="AA1526" s="2" t="s">
        <v>100</v>
      </c>
      <c r="AB1526" s="2" t="s">
        <v>140</v>
      </c>
      <c r="AC1526" s="2">
        <v>2</v>
      </c>
    </row>
    <row r="1527" spans="1:29" x14ac:dyDescent="0.3">
      <c r="A1527" s="3" t="s">
        <v>7198</v>
      </c>
      <c r="B1527" s="3" t="s">
        <v>7199</v>
      </c>
      <c r="C1527" s="3" t="s">
        <v>309</v>
      </c>
      <c r="D1527" s="3" t="s">
        <v>7200</v>
      </c>
      <c r="E1527" s="3" t="s">
        <v>33</v>
      </c>
      <c r="F1527" s="3" t="s">
        <v>859</v>
      </c>
      <c r="G1527" s="3" t="s">
        <v>887</v>
      </c>
      <c r="H1527" s="3" t="s">
        <v>5360</v>
      </c>
      <c r="I1527" s="3">
        <v>2</v>
      </c>
      <c r="J1527" s="3" t="s">
        <v>14</v>
      </c>
      <c r="K1527" s="3" t="s">
        <v>95</v>
      </c>
      <c r="L1527" s="3" t="s">
        <v>95</v>
      </c>
      <c r="M1527" s="3" t="s">
        <v>7201</v>
      </c>
      <c r="N1527" s="3" t="s">
        <v>686</v>
      </c>
      <c r="O1527" s="3" t="s">
        <v>13</v>
      </c>
      <c r="P1527" s="3" t="s">
        <v>228</v>
      </c>
      <c r="Q1527" s="3" t="s">
        <v>355</v>
      </c>
      <c r="R1527" s="3">
        <v>2</v>
      </c>
      <c r="S1527" s="3">
        <v>19893.080000000002</v>
      </c>
      <c r="T1527" s="3">
        <v>0</v>
      </c>
      <c r="U1527" s="3">
        <v>39786.160000000003</v>
      </c>
      <c r="V1527" s="3">
        <v>25992.959999999999</v>
      </c>
      <c r="W1527" s="3">
        <v>13793.2</v>
      </c>
      <c r="X1527" s="3">
        <v>34.67</v>
      </c>
      <c r="Y1527" s="3">
        <v>49</v>
      </c>
      <c r="Z1527" s="3" t="s">
        <v>48</v>
      </c>
      <c r="AA1527" s="3" t="s">
        <v>672</v>
      </c>
      <c r="AB1527" s="3" t="s">
        <v>101</v>
      </c>
      <c r="AC1527" s="3"/>
    </row>
    <row r="1528" spans="1:29" x14ac:dyDescent="0.3">
      <c r="A1528" s="2" t="s">
        <v>7202</v>
      </c>
      <c r="B1528" s="2" t="s">
        <v>7203</v>
      </c>
      <c r="C1528" s="2" t="s">
        <v>1166</v>
      </c>
      <c r="D1528" s="2" t="s">
        <v>7204</v>
      </c>
      <c r="E1528" s="2" t="s">
        <v>42</v>
      </c>
      <c r="F1528" s="2" t="s">
        <v>4264</v>
      </c>
      <c r="G1528" s="2" t="s">
        <v>1732</v>
      </c>
      <c r="H1528" s="2" t="s">
        <v>2731</v>
      </c>
      <c r="I1528" s="2">
        <v>6</v>
      </c>
      <c r="J1528" s="2" t="s">
        <v>39</v>
      </c>
      <c r="K1528" s="2" t="s">
        <v>324</v>
      </c>
      <c r="L1528" s="2" t="s">
        <v>1028</v>
      </c>
      <c r="M1528" s="2" t="s">
        <v>7205</v>
      </c>
      <c r="N1528" s="2" t="s">
        <v>704</v>
      </c>
      <c r="O1528" s="2" t="s">
        <v>13</v>
      </c>
      <c r="P1528" s="2" t="s">
        <v>419</v>
      </c>
      <c r="Q1528" s="2" t="s">
        <v>152</v>
      </c>
      <c r="R1528" s="2">
        <v>1</v>
      </c>
      <c r="S1528" s="2">
        <v>20912.3</v>
      </c>
      <c r="T1528" s="2">
        <v>15</v>
      </c>
      <c r="U1528" s="2">
        <v>17775.45</v>
      </c>
      <c r="V1528" s="2">
        <v>9558.7800000000007</v>
      </c>
      <c r="W1528" s="2">
        <v>8216.67</v>
      </c>
      <c r="X1528" s="2">
        <v>46.22</v>
      </c>
      <c r="Y1528" s="2">
        <v>29</v>
      </c>
      <c r="Z1528" s="2" t="s">
        <v>23</v>
      </c>
      <c r="AA1528" s="2" t="s">
        <v>100</v>
      </c>
      <c r="AB1528" s="2" t="s">
        <v>101</v>
      </c>
      <c r="AC1528" s="2"/>
    </row>
    <row r="1529" spans="1:29" x14ac:dyDescent="0.3">
      <c r="A1529" s="3" t="s">
        <v>7206</v>
      </c>
      <c r="B1529" s="3" t="s">
        <v>7207</v>
      </c>
      <c r="C1529" s="3" t="s">
        <v>1981</v>
      </c>
      <c r="D1529" s="3" t="s">
        <v>7208</v>
      </c>
      <c r="E1529" s="3" t="s">
        <v>33</v>
      </c>
      <c r="F1529" s="3" t="s">
        <v>94</v>
      </c>
      <c r="G1529" s="3" t="s">
        <v>1154</v>
      </c>
      <c r="H1529" s="3" t="s">
        <v>832</v>
      </c>
      <c r="I1529" s="3">
        <v>8</v>
      </c>
      <c r="J1529" s="3" t="s">
        <v>29</v>
      </c>
      <c r="K1529" s="3" t="s">
        <v>148</v>
      </c>
      <c r="L1529" s="3" t="s">
        <v>148</v>
      </c>
      <c r="M1529" s="3" t="s">
        <v>4891</v>
      </c>
      <c r="N1529" s="3" t="s">
        <v>438</v>
      </c>
      <c r="O1529" s="3" t="s">
        <v>13</v>
      </c>
      <c r="P1529" s="3" t="s">
        <v>228</v>
      </c>
      <c r="Q1529" s="3" t="s">
        <v>355</v>
      </c>
      <c r="R1529" s="3">
        <v>4</v>
      </c>
      <c r="S1529" s="3">
        <v>49648.45</v>
      </c>
      <c r="T1529" s="3">
        <v>5</v>
      </c>
      <c r="U1529" s="3">
        <v>188664.11</v>
      </c>
      <c r="V1529" s="3">
        <v>115559.98</v>
      </c>
      <c r="W1529" s="3">
        <v>73104.13</v>
      </c>
      <c r="X1529" s="3">
        <v>38.75</v>
      </c>
      <c r="Y1529" s="3">
        <v>149</v>
      </c>
      <c r="Z1529" s="3" t="s">
        <v>43</v>
      </c>
      <c r="AA1529" s="3" t="s">
        <v>100</v>
      </c>
      <c r="AB1529" s="3" t="s">
        <v>101</v>
      </c>
      <c r="AC1529" s="3">
        <v>3</v>
      </c>
    </row>
    <row r="1530" spans="1:29" x14ac:dyDescent="0.3">
      <c r="A1530" s="2" t="s">
        <v>7209</v>
      </c>
      <c r="B1530" s="2" t="s">
        <v>7210</v>
      </c>
      <c r="C1530" s="2" t="s">
        <v>1304</v>
      </c>
      <c r="D1530" s="2" t="s">
        <v>7211</v>
      </c>
      <c r="E1530" s="2" t="s">
        <v>42</v>
      </c>
      <c r="F1530" s="2" t="s">
        <v>2112</v>
      </c>
      <c r="G1530" s="2" t="s">
        <v>2968</v>
      </c>
      <c r="H1530" s="2" t="s">
        <v>1593</v>
      </c>
      <c r="I1530" s="2">
        <v>6</v>
      </c>
      <c r="J1530" s="2" t="s">
        <v>14</v>
      </c>
      <c r="K1530" s="2" t="s">
        <v>712</v>
      </c>
      <c r="L1530" s="2" t="s">
        <v>712</v>
      </c>
      <c r="M1530" s="2" t="s">
        <v>7212</v>
      </c>
      <c r="N1530" s="2" t="s">
        <v>354</v>
      </c>
      <c r="O1530" s="2" t="s">
        <v>21</v>
      </c>
      <c r="P1530" s="2" t="s">
        <v>196</v>
      </c>
      <c r="Q1530" s="2" t="s">
        <v>355</v>
      </c>
      <c r="R1530" s="2">
        <v>2</v>
      </c>
      <c r="S1530" s="2">
        <v>9277.6299999999992</v>
      </c>
      <c r="T1530" s="2">
        <v>20</v>
      </c>
      <c r="U1530" s="2">
        <v>14844.21</v>
      </c>
      <c r="V1530" s="2">
        <v>9135.2800000000007</v>
      </c>
      <c r="W1530" s="2">
        <v>5708.93</v>
      </c>
      <c r="X1530" s="2">
        <v>38.46</v>
      </c>
      <c r="Y1530" s="2">
        <v>149</v>
      </c>
      <c r="Z1530" s="2" t="s">
        <v>47</v>
      </c>
      <c r="AA1530" s="2" t="s">
        <v>139</v>
      </c>
      <c r="AB1530" s="2" t="s">
        <v>140</v>
      </c>
      <c r="AC1530" s="2"/>
    </row>
    <row r="1531" spans="1:29" x14ac:dyDescent="0.3">
      <c r="A1531" s="3" t="s">
        <v>7213</v>
      </c>
      <c r="B1531" s="3" t="s">
        <v>7214</v>
      </c>
      <c r="C1531" s="3" t="s">
        <v>2305</v>
      </c>
      <c r="D1531" s="3" t="s">
        <v>7215</v>
      </c>
      <c r="E1531" s="3" t="s">
        <v>18</v>
      </c>
      <c r="F1531" s="3" t="s">
        <v>4734</v>
      </c>
      <c r="G1531" s="3" t="s">
        <v>5260</v>
      </c>
      <c r="H1531" s="3" t="s">
        <v>3735</v>
      </c>
      <c r="I1531" s="3">
        <v>3</v>
      </c>
      <c r="J1531" s="3" t="s">
        <v>29</v>
      </c>
      <c r="K1531" s="3" t="s">
        <v>834</v>
      </c>
      <c r="L1531" s="3" t="s">
        <v>1000</v>
      </c>
      <c r="M1531" s="3" t="s">
        <v>7216</v>
      </c>
      <c r="N1531" s="3" t="s">
        <v>1802</v>
      </c>
      <c r="O1531" s="3" t="s">
        <v>28</v>
      </c>
      <c r="P1531" s="3" t="s">
        <v>137</v>
      </c>
      <c r="Q1531" s="3" t="s">
        <v>400</v>
      </c>
      <c r="R1531" s="3">
        <v>5</v>
      </c>
      <c r="S1531" s="3">
        <v>8074.9</v>
      </c>
      <c r="T1531" s="3">
        <v>5</v>
      </c>
      <c r="U1531" s="3">
        <v>38355.78</v>
      </c>
      <c r="V1531" s="3">
        <v>18194.13</v>
      </c>
      <c r="W1531" s="3">
        <v>20161.650000000001</v>
      </c>
      <c r="X1531" s="3">
        <v>52.56</v>
      </c>
      <c r="Y1531" s="3">
        <v>29</v>
      </c>
      <c r="Z1531" s="3" t="s">
        <v>23</v>
      </c>
      <c r="AA1531" s="3" t="s">
        <v>100</v>
      </c>
      <c r="AB1531" s="3" t="s">
        <v>140</v>
      </c>
      <c r="AC1531" s="3">
        <v>5</v>
      </c>
    </row>
    <row r="1532" spans="1:29" x14ac:dyDescent="0.3">
      <c r="A1532" s="2" t="s">
        <v>7217</v>
      </c>
      <c r="B1532" s="2" t="s">
        <v>7218</v>
      </c>
      <c r="C1532" s="2" t="s">
        <v>393</v>
      </c>
      <c r="D1532" s="2" t="s">
        <v>7219</v>
      </c>
      <c r="E1532" s="2" t="s">
        <v>26</v>
      </c>
      <c r="F1532" s="2" t="s">
        <v>7031</v>
      </c>
      <c r="G1532" s="2" t="s">
        <v>1118</v>
      </c>
      <c r="H1532" s="2" t="s">
        <v>5141</v>
      </c>
      <c r="I1532" s="2">
        <v>6</v>
      </c>
      <c r="J1532" s="2" t="s">
        <v>39</v>
      </c>
      <c r="K1532" s="2" t="s">
        <v>193</v>
      </c>
      <c r="L1532" s="2" t="s">
        <v>193</v>
      </c>
      <c r="M1532" s="2" t="s">
        <v>7220</v>
      </c>
      <c r="N1532" s="2" t="s">
        <v>185</v>
      </c>
      <c r="O1532" s="2" t="s">
        <v>28</v>
      </c>
      <c r="P1532" s="2" t="s">
        <v>151</v>
      </c>
      <c r="Q1532" s="2" t="s">
        <v>509</v>
      </c>
      <c r="R1532" s="2">
        <v>3</v>
      </c>
      <c r="S1532" s="2">
        <v>11862.84</v>
      </c>
      <c r="T1532" s="2">
        <v>15</v>
      </c>
      <c r="U1532" s="2">
        <v>30250.240000000002</v>
      </c>
      <c r="V1532" s="2">
        <v>17357.099999999999</v>
      </c>
      <c r="W1532" s="2">
        <v>12893.14</v>
      </c>
      <c r="X1532" s="2">
        <v>42.62</v>
      </c>
      <c r="Y1532" s="2">
        <v>0</v>
      </c>
      <c r="Z1532" s="2" t="s">
        <v>43</v>
      </c>
      <c r="AA1532" s="2" t="s">
        <v>186</v>
      </c>
      <c r="AB1532" s="2" t="s">
        <v>101</v>
      </c>
      <c r="AC1532" s="2"/>
    </row>
    <row r="1533" spans="1:29" x14ac:dyDescent="0.3">
      <c r="A1533" s="3" t="s">
        <v>7221</v>
      </c>
      <c r="B1533" s="3" t="s">
        <v>7222</v>
      </c>
      <c r="C1533" s="3" t="s">
        <v>536</v>
      </c>
      <c r="D1533" s="3" t="s">
        <v>7223</v>
      </c>
      <c r="E1533" s="3" t="s">
        <v>33</v>
      </c>
      <c r="F1533" s="3" t="s">
        <v>596</v>
      </c>
      <c r="G1533" s="3" t="s">
        <v>1824</v>
      </c>
      <c r="H1533" s="3" t="s">
        <v>2659</v>
      </c>
      <c r="I1533" s="3">
        <v>3</v>
      </c>
      <c r="J1533" s="3" t="s">
        <v>29</v>
      </c>
      <c r="K1533" s="3" t="s">
        <v>334</v>
      </c>
      <c r="L1533" s="3" t="s">
        <v>335</v>
      </c>
      <c r="M1533" s="3" t="s">
        <v>7224</v>
      </c>
      <c r="N1533" s="3" t="s">
        <v>316</v>
      </c>
      <c r="O1533" s="3" t="s">
        <v>28</v>
      </c>
      <c r="P1533" s="3" t="s">
        <v>137</v>
      </c>
      <c r="Q1533" s="3" t="s">
        <v>608</v>
      </c>
      <c r="R1533" s="3">
        <v>2</v>
      </c>
      <c r="S1533" s="3">
        <v>19646.61</v>
      </c>
      <c r="T1533" s="3">
        <v>15</v>
      </c>
      <c r="U1533" s="3">
        <v>33399.24</v>
      </c>
      <c r="V1533" s="3">
        <v>20134.669999999998</v>
      </c>
      <c r="W1533" s="3">
        <v>13264.57</v>
      </c>
      <c r="X1533" s="3">
        <v>39.72</v>
      </c>
      <c r="Y1533" s="3">
        <v>99</v>
      </c>
      <c r="Z1533" s="3" t="s">
        <v>48</v>
      </c>
      <c r="AA1533" s="3" t="s">
        <v>275</v>
      </c>
      <c r="AB1533" s="3" t="s">
        <v>101</v>
      </c>
      <c r="AC1533" s="3"/>
    </row>
    <row r="1534" spans="1:29" x14ac:dyDescent="0.3">
      <c r="A1534" s="2" t="s">
        <v>7225</v>
      </c>
      <c r="B1534" s="2" t="s">
        <v>7226</v>
      </c>
      <c r="C1534" s="2" t="s">
        <v>642</v>
      </c>
      <c r="D1534" s="2" t="s">
        <v>7227</v>
      </c>
      <c r="E1534" s="2" t="s">
        <v>18</v>
      </c>
      <c r="F1534" s="2" t="s">
        <v>802</v>
      </c>
      <c r="G1534" s="2" t="s">
        <v>894</v>
      </c>
      <c r="H1534" s="2" t="s">
        <v>7031</v>
      </c>
      <c r="I1534" s="2">
        <v>4</v>
      </c>
      <c r="J1534" s="2" t="s">
        <v>22</v>
      </c>
      <c r="K1534" s="2" t="s">
        <v>254</v>
      </c>
      <c r="L1534" s="2" t="s">
        <v>254</v>
      </c>
      <c r="M1534" s="2" t="s">
        <v>7228</v>
      </c>
      <c r="N1534" s="2" t="s">
        <v>964</v>
      </c>
      <c r="O1534" s="2" t="s">
        <v>13</v>
      </c>
      <c r="P1534" s="2" t="s">
        <v>98</v>
      </c>
      <c r="Q1534" s="2" t="s">
        <v>218</v>
      </c>
      <c r="R1534" s="2">
        <v>4</v>
      </c>
      <c r="S1534" s="2">
        <v>40840.31</v>
      </c>
      <c r="T1534" s="2">
        <v>25</v>
      </c>
      <c r="U1534" s="2">
        <v>122520.93</v>
      </c>
      <c r="V1534" s="2">
        <v>84584.76</v>
      </c>
      <c r="W1534" s="2">
        <v>37936.17</v>
      </c>
      <c r="X1534" s="2">
        <v>30.96</v>
      </c>
      <c r="Y1534" s="2">
        <v>0</v>
      </c>
      <c r="Z1534" s="2" t="s">
        <v>30</v>
      </c>
      <c r="AA1534" s="2" t="s">
        <v>100</v>
      </c>
      <c r="AB1534" s="2" t="s">
        <v>101</v>
      </c>
      <c r="AC1534" s="2">
        <v>2</v>
      </c>
    </row>
    <row r="1535" spans="1:29" x14ac:dyDescent="0.3">
      <c r="A1535" s="3" t="s">
        <v>7229</v>
      </c>
      <c r="B1535" s="3" t="s">
        <v>7230</v>
      </c>
      <c r="C1535" s="3" t="s">
        <v>117</v>
      </c>
      <c r="D1535" s="3" t="s">
        <v>7231</v>
      </c>
      <c r="E1535" s="3" t="s">
        <v>42</v>
      </c>
      <c r="F1535" s="3" t="s">
        <v>809</v>
      </c>
      <c r="G1535" s="3" t="s">
        <v>3914</v>
      </c>
      <c r="H1535" s="3" t="s">
        <v>3331</v>
      </c>
      <c r="I1535" s="3">
        <v>2</v>
      </c>
      <c r="J1535" s="3" t="s">
        <v>22</v>
      </c>
      <c r="K1535" s="3" t="s">
        <v>122</v>
      </c>
      <c r="L1535" s="3" t="s">
        <v>236</v>
      </c>
      <c r="M1535" s="3" t="s">
        <v>7232</v>
      </c>
      <c r="N1535" s="3" t="s">
        <v>592</v>
      </c>
      <c r="O1535" s="3" t="s">
        <v>21</v>
      </c>
      <c r="P1535" s="3" t="s">
        <v>206</v>
      </c>
      <c r="Q1535" s="3" t="s">
        <v>466</v>
      </c>
      <c r="R1535" s="3">
        <v>5</v>
      </c>
      <c r="S1535" s="3">
        <v>5532.87</v>
      </c>
      <c r="T1535" s="3">
        <v>15</v>
      </c>
      <c r="U1535" s="3">
        <v>23514.7</v>
      </c>
      <c r="V1535" s="3">
        <v>15301.2</v>
      </c>
      <c r="W1535" s="3">
        <v>8213.5</v>
      </c>
      <c r="X1535" s="3">
        <v>34.93</v>
      </c>
      <c r="Y1535" s="3">
        <v>0</v>
      </c>
      <c r="Z1535" s="3" t="s">
        <v>47</v>
      </c>
      <c r="AA1535" s="3" t="s">
        <v>275</v>
      </c>
      <c r="AB1535" s="3" t="s">
        <v>101</v>
      </c>
      <c r="AC1535" s="3"/>
    </row>
    <row r="1536" spans="1:29" x14ac:dyDescent="0.3">
      <c r="A1536" s="2" t="s">
        <v>7233</v>
      </c>
      <c r="B1536" s="2" t="s">
        <v>7234</v>
      </c>
      <c r="C1536" s="2" t="s">
        <v>912</v>
      </c>
      <c r="D1536" s="2" t="s">
        <v>7235</v>
      </c>
      <c r="E1536" s="2" t="s">
        <v>26</v>
      </c>
      <c r="F1536" s="2" t="s">
        <v>1966</v>
      </c>
      <c r="G1536" s="2" t="s">
        <v>3927</v>
      </c>
      <c r="H1536" s="2" t="s">
        <v>4566</v>
      </c>
      <c r="I1536" s="2">
        <v>2</v>
      </c>
      <c r="J1536" s="2" t="s">
        <v>22</v>
      </c>
      <c r="K1536" s="2" t="s">
        <v>254</v>
      </c>
      <c r="L1536" s="2" t="s">
        <v>254</v>
      </c>
      <c r="M1536" s="2" t="s">
        <v>3056</v>
      </c>
      <c r="N1536" s="2" t="s">
        <v>266</v>
      </c>
      <c r="O1536" s="2" t="s">
        <v>28</v>
      </c>
      <c r="P1536" s="2" t="s">
        <v>151</v>
      </c>
      <c r="Q1536" s="2" t="s">
        <v>246</v>
      </c>
      <c r="R1536" s="2">
        <v>3</v>
      </c>
      <c r="S1536" s="2">
        <v>49791.46</v>
      </c>
      <c r="T1536" s="2">
        <v>0</v>
      </c>
      <c r="U1536" s="2">
        <v>149374.38</v>
      </c>
      <c r="V1536" s="2">
        <v>91148.29</v>
      </c>
      <c r="W1536" s="2">
        <v>58226.09</v>
      </c>
      <c r="X1536" s="2">
        <v>38.979999999999997</v>
      </c>
      <c r="Y1536" s="2">
        <v>99</v>
      </c>
      <c r="Z1536" s="2" t="s">
        <v>23</v>
      </c>
      <c r="AA1536" s="2" t="s">
        <v>100</v>
      </c>
      <c r="AB1536" s="2" t="s">
        <v>101</v>
      </c>
      <c r="AC1536" s="2">
        <v>2</v>
      </c>
    </row>
    <row r="1537" spans="1:29" x14ac:dyDescent="0.3">
      <c r="A1537" s="3" t="s">
        <v>7236</v>
      </c>
      <c r="B1537" s="3" t="s">
        <v>933</v>
      </c>
      <c r="C1537" s="3" t="s">
        <v>269</v>
      </c>
      <c r="D1537" s="3" t="s">
        <v>7237</v>
      </c>
      <c r="E1537" s="3" t="s">
        <v>33</v>
      </c>
      <c r="F1537" s="3" t="s">
        <v>1385</v>
      </c>
      <c r="G1537" s="3" t="s">
        <v>1950</v>
      </c>
      <c r="H1537" s="3" t="s">
        <v>1966</v>
      </c>
      <c r="I1537" s="3">
        <v>5</v>
      </c>
      <c r="J1537" s="3" t="s">
        <v>39</v>
      </c>
      <c r="K1537" s="3" t="s">
        <v>324</v>
      </c>
      <c r="L1537" s="3" t="s">
        <v>325</v>
      </c>
      <c r="M1537" s="3" t="s">
        <v>7238</v>
      </c>
      <c r="N1537" s="3" t="s">
        <v>924</v>
      </c>
      <c r="O1537" s="3" t="s">
        <v>13</v>
      </c>
      <c r="P1537" s="3" t="s">
        <v>228</v>
      </c>
      <c r="Q1537" s="3" t="s">
        <v>114</v>
      </c>
      <c r="R1537" s="3">
        <v>5</v>
      </c>
      <c r="S1537" s="3">
        <v>3815.45</v>
      </c>
      <c r="T1537" s="3">
        <v>30</v>
      </c>
      <c r="U1537" s="3">
        <v>13354.07</v>
      </c>
      <c r="V1537" s="3">
        <v>7420.63</v>
      </c>
      <c r="W1537" s="3">
        <v>5933.44</v>
      </c>
      <c r="X1537" s="3">
        <v>44.43</v>
      </c>
      <c r="Y1537" s="3">
        <v>99</v>
      </c>
      <c r="Z1537" s="3" t="s">
        <v>15</v>
      </c>
      <c r="AA1537" s="3" t="s">
        <v>100</v>
      </c>
      <c r="AB1537" s="3" t="s">
        <v>101</v>
      </c>
      <c r="AC1537" s="3">
        <v>2</v>
      </c>
    </row>
    <row r="1538" spans="1:29" x14ac:dyDescent="0.3">
      <c r="A1538" s="2" t="s">
        <v>7239</v>
      </c>
      <c r="B1538" s="2" t="s">
        <v>7240</v>
      </c>
      <c r="C1538" s="2" t="s">
        <v>716</v>
      </c>
      <c r="D1538" s="2" t="s">
        <v>7241</v>
      </c>
      <c r="E1538" s="2" t="s">
        <v>42</v>
      </c>
      <c r="F1538" s="2" t="s">
        <v>5736</v>
      </c>
      <c r="G1538" s="2" t="s">
        <v>969</v>
      </c>
      <c r="H1538" s="2" t="s">
        <v>1229</v>
      </c>
      <c r="I1538" s="2">
        <v>6</v>
      </c>
      <c r="J1538" s="2" t="s">
        <v>14</v>
      </c>
      <c r="K1538" s="2" t="s">
        <v>215</v>
      </c>
      <c r="L1538" s="2" t="s">
        <v>215</v>
      </c>
      <c r="M1538" s="2" t="s">
        <v>3158</v>
      </c>
      <c r="N1538" s="2" t="s">
        <v>623</v>
      </c>
      <c r="O1538" s="2" t="s">
        <v>19</v>
      </c>
      <c r="P1538" s="2" t="s">
        <v>297</v>
      </c>
      <c r="Q1538" s="2" t="s">
        <v>197</v>
      </c>
      <c r="R1538" s="2">
        <v>5</v>
      </c>
      <c r="S1538" s="2">
        <v>28951.18</v>
      </c>
      <c r="T1538" s="2">
        <v>5</v>
      </c>
      <c r="U1538" s="2">
        <v>137518.1</v>
      </c>
      <c r="V1538" s="2">
        <v>69570.06</v>
      </c>
      <c r="W1538" s="2">
        <v>67948.039999999994</v>
      </c>
      <c r="X1538" s="2">
        <v>49.41</v>
      </c>
      <c r="Y1538" s="2">
        <v>49</v>
      </c>
      <c r="Z1538" s="2" t="s">
        <v>30</v>
      </c>
      <c r="AA1538" s="2" t="s">
        <v>100</v>
      </c>
      <c r="AB1538" s="2" t="s">
        <v>101</v>
      </c>
      <c r="AC1538" s="2">
        <v>4</v>
      </c>
    </row>
    <row r="1539" spans="1:29" x14ac:dyDescent="0.3">
      <c r="A1539" s="3" t="s">
        <v>7242</v>
      </c>
      <c r="B1539" s="3" t="s">
        <v>7243</v>
      </c>
      <c r="C1539" s="3" t="s">
        <v>5584</v>
      </c>
      <c r="D1539" s="3" t="s">
        <v>7244</v>
      </c>
      <c r="E1539" s="3" t="s">
        <v>33</v>
      </c>
      <c r="F1539" s="3" t="s">
        <v>718</v>
      </c>
      <c r="G1539" s="3" t="s">
        <v>1186</v>
      </c>
      <c r="H1539" s="3" t="s">
        <v>1507</v>
      </c>
      <c r="I1539" s="3">
        <v>6</v>
      </c>
      <c r="J1539" s="3" t="s">
        <v>39</v>
      </c>
      <c r="K1539" s="3" t="s">
        <v>193</v>
      </c>
      <c r="L1539" s="3" t="s">
        <v>193</v>
      </c>
      <c r="M1539" s="3" t="s">
        <v>1752</v>
      </c>
      <c r="N1539" s="3" t="s">
        <v>286</v>
      </c>
      <c r="O1539" s="3" t="s">
        <v>28</v>
      </c>
      <c r="P1539" s="3" t="s">
        <v>137</v>
      </c>
      <c r="Q1539" s="3" t="s">
        <v>608</v>
      </c>
      <c r="R1539" s="3">
        <v>4</v>
      </c>
      <c r="S1539" s="3">
        <v>20355.59</v>
      </c>
      <c r="T1539" s="3">
        <v>0</v>
      </c>
      <c r="U1539" s="3">
        <v>81422.36</v>
      </c>
      <c r="V1539" s="3">
        <v>46256.47</v>
      </c>
      <c r="W1539" s="3">
        <v>35165.89</v>
      </c>
      <c r="X1539" s="3">
        <v>43.19</v>
      </c>
      <c r="Y1539" s="3">
        <v>49</v>
      </c>
      <c r="Z1539" s="3" t="s">
        <v>23</v>
      </c>
      <c r="AA1539" s="3" t="s">
        <v>100</v>
      </c>
      <c r="AB1539" s="3" t="s">
        <v>101</v>
      </c>
      <c r="AC1539" s="3"/>
    </row>
    <row r="1540" spans="1:29" x14ac:dyDescent="0.3">
      <c r="A1540" s="2" t="s">
        <v>7245</v>
      </c>
      <c r="B1540" s="2" t="s">
        <v>7246</v>
      </c>
      <c r="C1540" s="2" t="s">
        <v>339</v>
      </c>
      <c r="D1540" s="2" t="s">
        <v>7247</v>
      </c>
      <c r="E1540" s="2" t="s">
        <v>42</v>
      </c>
      <c r="F1540" s="2" t="s">
        <v>3791</v>
      </c>
      <c r="G1540" s="2" t="s">
        <v>3792</v>
      </c>
      <c r="H1540" s="2" t="s">
        <v>4403</v>
      </c>
      <c r="I1540" s="2">
        <v>5</v>
      </c>
      <c r="J1540" s="2" t="s">
        <v>39</v>
      </c>
      <c r="K1540" s="2" t="s">
        <v>314</v>
      </c>
      <c r="L1540" s="2" t="s">
        <v>314</v>
      </c>
      <c r="M1540" s="2" t="s">
        <v>7248</v>
      </c>
      <c r="N1540" s="2" t="s">
        <v>533</v>
      </c>
      <c r="O1540" s="2" t="s">
        <v>19</v>
      </c>
      <c r="P1540" s="2" t="s">
        <v>297</v>
      </c>
      <c r="Q1540" s="2" t="s">
        <v>608</v>
      </c>
      <c r="R1540" s="2">
        <v>4</v>
      </c>
      <c r="S1540" s="2">
        <v>40837.61</v>
      </c>
      <c r="T1540" s="2">
        <v>15</v>
      </c>
      <c r="U1540" s="2">
        <v>138847.87</v>
      </c>
      <c r="V1540" s="2">
        <v>67603.199999999997</v>
      </c>
      <c r="W1540" s="2">
        <v>71244.67</v>
      </c>
      <c r="X1540" s="2">
        <v>51.31</v>
      </c>
      <c r="Y1540" s="2">
        <v>49</v>
      </c>
      <c r="Z1540" s="2" t="s">
        <v>15</v>
      </c>
      <c r="AA1540" s="2" t="s">
        <v>100</v>
      </c>
      <c r="AB1540" s="2" t="s">
        <v>101</v>
      </c>
      <c r="AC1540" s="2">
        <v>2</v>
      </c>
    </row>
    <row r="1541" spans="1:29" x14ac:dyDescent="0.3">
      <c r="A1541" s="3" t="s">
        <v>7249</v>
      </c>
      <c r="B1541" s="3" t="s">
        <v>7250</v>
      </c>
      <c r="C1541" s="3" t="s">
        <v>666</v>
      </c>
      <c r="D1541" s="3" t="s">
        <v>7251</v>
      </c>
      <c r="E1541" s="3" t="s">
        <v>18</v>
      </c>
      <c r="F1541" s="3" t="s">
        <v>3591</v>
      </c>
      <c r="G1541" s="3" t="s">
        <v>3315</v>
      </c>
      <c r="H1541" s="3" t="s">
        <v>2900</v>
      </c>
      <c r="I1541" s="3">
        <v>6</v>
      </c>
      <c r="J1541" s="3" t="s">
        <v>39</v>
      </c>
      <c r="K1541" s="3" t="s">
        <v>225</v>
      </c>
      <c r="L1541" s="3" t="s">
        <v>225</v>
      </c>
      <c r="M1541" s="3" t="s">
        <v>7252</v>
      </c>
      <c r="N1541" s="3" t="s">
        <v>740</v>
      </c>
      <c r="O1541" s="3" t="s">
        <v>21</v>
      </c>
      <c r="P1541" s="3" t="s">
        <v>126</v>
      </c>
      <c r="Q1541" s="3" t="s">
        <v>207</v>
      </c>
      <c r="R1541" s="3">
        <v>5</v>
      </c>
      <c r="S1541" s="3">
        <v>42964.82</v>
      </c>
      <c r="T1541" s="3">
        <v>25</v>
      </c>
      <c r="U1541" s="3">
        <v>161118.07999999999</v>
      </c>
      <c r="V1541" s="3">
        <v>80650.78</v>
      </c>
      <c r="W1541" s="3">
        <v>80467.3</v>
      </c>
      <c r="X1541" s="3">
        <v>49.94</v>
      </c>
      <c r="Y1541" s="3">
        <v>29</v>
      </c>
      <c r="Z1541" s="3" t="s">
        <v>43</v>
      </c>
      <c r="AA1541" s="3" t="s">
        <v>100</v>
      </c>
      <c r="AB1541" s="3" t="s">
        <v>101</v>
      </c>
      <c r="AC1541" s="3">
        <v>2</v>
      </c>
    </row>
    <row r="1542" spans="1:29" x14ac:dyDescent="0.3">
      <c r="A1542" s="2" t="s">
        <v>7253</v>
      </c>
      <c r="B1542" s="2" t="s">
        <v>7254</v>
      </c>
      <c r="C1542" s="2" t="s">
        <v>642</v>
      </c>
      <c r="D1542" s="2" t="s">
        <v>1538</v>
      </c>
      <c r="E1542" s="2" t="s">
        <v>18</v>
      </c>
      <c r="F1542" s="2" t="s">
        <v>1834</v>
      </c>
      <c r="G1542" s="2" t="s">
        <v>1014</v>
      </c>
      <c r="H1542" s="2" t="s">
        <v>2455</v>
      </c>
      <c r="I1542" s="2">
        <v>6</v>
      </c>
      <c r="J1542" s="2" t="s">
        <v>39</v>
      </c>
      <c r="K1542" s="2" t="s">
        <v>314</v>
      </c>
      <c r="L1542" s="2" t="s">
        <v>314</v>
      </c>
      <c r="M1542" s="2" t="s">
        <v>7255</v>
      </c>
      <c r="N1542" s="2" t="s">
        <v>1051</v>
      </c>
      <c r="O1542" s="2" t="s">
        <v>28</v>
      </c>
      <c r="P1542" s="2" t="s">
        <v>151</v>
      </c>
      <c r="Q1542" s="2" t="s">
        <v>197</v>
      </c>
      <c r="R1542" s="2">
        <v>5</v>
      </c>
      <c r="S1542" s="2">
        <v>18223.27</v>
      </c>
      <c r="T1542" s="2">
        <v>25</v>
      </c>
      <c r="U1542" s="2">
        <v>68337.259999999995</v>
      </c>
      <c r="V1542" s="2">
        <v>41294.400000000001</v>
      </c>
      <c r="W1542" s="2">
        <v>27042.86</v>
      </c>
      <c r="X1542" s="2">
        <v>39.57</v>
      </c>
      <c r="Y1542" s="2">
        <v>0</v>
      </c>
      <c r="Z1542" s="2" t="s">
        <v>23</v>
      </c>
      <c r="AA1542" s="2" t="s">
        <v>275</v>
      </c>
      <c r="AB1542" s="2" t="s">
        <v>101</v>
      </c>
      <c r="AC1542" s="2"/>
    </row>
    <row r="1543" spans="1:29" x14ac:dyDescent="0.3">
      <c r="A1543" s="3" t="s">
        <v>7256</v>
      </c>
      <c r="B1543" s="3" t="s">
        <v>7257</v>
      </c>
      <c r="C1543" s="3" t="s">
        <v>870</v>
      </c>
      <c r="D1543" s="3" t="s">
        <v>7258</v>
      </c>
      <c r="E1543" s="3" t="s">
        <v>42</v>
      </c>
      <c r="F1543" s="3" t="s">
        <v>1997</v>
      </c>
      <c r="G1543" s="3" t="s">
        <v>424</v>
      </c>
      <c r="H1543" s="3" t="s">
        <v>190</v>
      </c>
      <c r="I1543" s="3">
        <v>7</v>
      </c>
      <c r="J1543" s="3" t="s">
        <v>39</v>
      </c>
      <c r="K1543" s="3" t="s">
        <v>225</v>
      </c>
      <c r="L1543" s="3" t="s">
        <v>225</v>
      </c>
      <c r="M1543" s="3" t="s">
        <v>7259</v>
      </c>
      <c r="N1543" s="3" t="s">
        <v>438</v>
      </c>
      <c r="O1543" s="3" t="s">
        <v>13</v>
      </c>
      <c r="P1543" s="3" t="s">
        <v>228</v>
      </c>
      <c r="Q1543" s="3" t="s">
        <v>509</v>
      </c>
      <c r="R1543" s="3">
        <v>5</v>
      </c>
      <c r="S1543" s="3">
        <v>11090.57</v>
      </c>
      <c r="T1543" s="3">
        <v>5</v>
      </c>
      <c r="U1543" s="3">
        <v>52680.21</v>
      </c>
      <c r="V1543" s="3">
        <v>25482.55</v>
      </c>
      <c r="W1543" s="3">
        <v>27197.66</v>
      </c>
      <c r="X1543" s="3">
        <v>51.63</v>
      </c>
      <c r="Y1543" s="3">
        <v>99</v>
      </c>
      <c r="Z1543" s="3" t="s">
        <v>30</v>
      </c>
      <c r="AA1543" s="3" t="s">
        <v>100</v>
      </c>
      <c r="AB1543" s="3" t="s">
        <v>101</v>
      </c>
      <c r="AC1543" s="3">
        <v>3</v>
      </c>
    </row>
    <row r="1544" spans="1:29" x14ac:dyDescent="0.3">
      <c r="A1544" s="2" t="s">
        <v>7260</v>
      </c>
      <c r="B1544" s="2" t="s">
        <v>7261</v>
      </c>
      <c r="C1544" s="2" t="s">
        <v>1683</v>
      </c>
      <c r="D1544" s="2" t="s">
        <v>7262</v>
      </c>
      <c r="E1544" s="2" t="s">
        <v>18</v>
      </c>
      <c r="F1544" s="2" t="s">
        <v>1056</v>
      </c>
      <c r="G1544" s="2" t="s">
        <v>1708</v>
      </c>
      <c r="H1544" s="2" t="s">
        <v>2119</v>
      </c>
      <c r="I1544" s="2">
        <v>7</v>
      </c>
      <c r="J1544" s="2" t="s">
        <v>29</v>
      </c>
      <c r="K1544" s="2" t="s">
        <v>427</v>
      </c>
      <c r="L1544" s="2" t="s">
        <v>1081</v>
      </c>
      <c r="M1544" s="2" t="s">
        <v>7263</v>
      </c>
      <c r="N1544" s="2" t="s">
        <v>765</v>
      </c>
      <c r="O1544" s="2" t="s">
        <v>27</v>
      </c>
      <c r="P1544" s="2" t="s">
        <v>113</v>
      </c>
      <c r="Q1544" s="2" t="s">
        <v>114</v>
      </c>
      <c r="R1544" s="2">
        <v>1</v>
      </c>
      <c r="S1544" s="2">
        <v>23461.200000000001</v>
      </c>
      <c r="T1544" s="2">
        <v>30</v>
      </c>
      <c r="U1544" s="2">
        <v>16422.84</v>
      </c>
      <c r="V1544" s="2">
        <v>8448.24</v>
      </c>
      <c r="W1544" s="2">
        <v>7974.6</v>
      </c>
      <c r="X1544" s="2">
        <v>48.56</v>
      </c>
      <c r="Y1544" s="2">
        <v>149</v>
      </c>
      <c r="Z1544" s="2" t="s">
        <v>30</v>
      </c>
      <c r="AA1544" s="2" t="s">
        <v>100</v>
      </c>
      <c r="AB1544" s="2" t="s">
        <v>101</v>
      </c>
      <c r="AC1544" s="2">
        <v>3</v>
      </c>
    </row>
    <row r="1545" spans="1:29" x14ac:dyDescent="0.3">
      <c r="A1545" s="3" t="s">
        <v>7264</v>
      </c>
      <c r="B1545" s="3" t="s">
        <v>7265</v>
      </c>
      <c r="C1545" s="3" t="s">
        <v>1637</v>
      </c>
      <c r="D1545" s="3" t="s">
        <v>7266</v>
      </c>
      <c r="E1545" s="3" t="s">
        <v>42</v>
      </c>
      <c r="F1545" s="3" t="s">
        <v>1366</v>
      </c>
      <c r="G1545" s="3" t="s">
        <v>3100</v>
      </c>
      <c r="H1545" s="3" t="s">
        <v>3886</v>
      </c>
      <c r="I1545" s="3">
        <v>5</v>
      </c>
      <c r="J1545" s="3" t="s">
        <v>14</v>
      </c>
      <c r="K1545" s="3" t="s">
        <v>712</v>
      </c>
      <c r="L1545" s="3" t="s">
        <v>712</v>
      </c>
      <c r="M1545" s="3" t="s">
        <v>7267</v>
      </c>
      <c r="N1545" s="3" t="s">
        <v>306</v>
      </c>
      <c r="O1545" s="3" t="s">
        <v>21</v>
      </c>
      <c r="P1545" s="3" t="s">
        <v>126</v>
      </c>
      <c r="Q1545" s="3" t="s">
        <v>218</v>
      </c>
      <c r="R1545" s="3">
        <v>5</v>
      </c>
      <c r="S1545" s="3">
        <v>26483.66</v>
      </c>
      <c r="T1545" s="3">
        <v>5</v>
      </c>
      <c r="U1545" s="3">
        <v>125797.38</v>
      </c>
      <c r="V1545" s="3">
        <v>81850.570000000007</v>
      </c>
      <c r="W1545" s="3">
        <v>43946.81</v>
      </c>
      <c r="X1545" s="3">
        <v>34.93</v>
      </c>
      <c r="Y1545" s="3">
        <v>0</v>
      </c>
      <c r="Z1545" s="3" t="s">
        <v>30</v>
      </c>
      <c r="AA1545" s="3" t="s">
        <v>100</v>
      </c>
      <c r="AB1545" s="3" t="s">
        <v>140</v>
      </c>
      <c r="AC1545" s="3">
        <v>5</v>
      </c>
    </row>
    <row r="1546" spans="1:29" x14ac:dyDescent="0.3">
      <c r="A1546" s="2" t="s">
        <v>7268</v>
      </c>
      <c r="B1546" s="2" t="s">
        <v>7269</v>
      </c>
      <c r="C1546" s="2" t="s">
        <v>348</v>
      </c>
      <c r="D1546" s="2" t="s">
        <v>3335</v>
      </c>
      <c r="E1546" s="2" t="s">
        <v>33</v>
      </c>
      <c r="F1546" s="2" t="s">
        <v>2861</v>
      </c>
      <c r="G1546" s="2" t="s">
        <v>3566</v>
      </c>
      <c r="H1546" s="2" t="s">
        <v>1313</v>
      </c>
      <c r="I1546" s="2">
        <v>3</v>
      </c>
      <c r="J1546" s="2" t="s">
        <v>22</v>
      </c>
      <c r="K1546" s="2" t="s">
        <v>122</v>
      </c>
      <c r="L1546" s="2" t="s">
        <v>123</v>
      </c>
      <c r="M1546" s="2" t="s">
        <v>7270</v>
      </c>
      <c r="N1546" s="2" t="s">
        <v>327</v>
      </c>
      <c r="O1546" s="2" t="s">
        <v>27</v>
      </c>
      <c r="P1546" s="2" t="s">
        <v>113</v>
      </c>
      <c r="Q1546" s="2" t="s">
        <v>127</v>
      </c>
      <c r="R1546" s="2">
        <v>2</v>
      </c>
      <c r="S1546" s="2">
        <v>22192.29</v>
      </c>
      <c r="T1546" s="2">
        <v>25</v>
      </c>
      <c r="U1546" s="2">
        <v>33288.43</v>
      </c>
      <c r="V1546" s="2">
        <v>16305.09</v>
      </c>
      <c r="W1546" s="2">
        <v>16983.34</v>
      </c>
      <c r="X1546" s="2">
        <v>51.02</v>
      </c>
      <c r="Y1546" s="2">
        <v>149</v>
      </c>
      <c r="Z1546" s="2" t="s">
        <v>47</v>
      </c>
      <c r="AA1546" s="2" t="s">
        <v>100</v>
      </c>
      <c r="AB1546" s="2" t="s">
        <v>101</v>
      </c>
      <c r="AC1546" s="2">
        <v>3</v>
      </c>
    </row>
    <row r="1547" spans="1:29" x14ac:dyDescent="0.3">
      <c r="A1547" s="3" t="s">
        <v>7271</v>
      </c>
      <c r="B1547" s="3" t="s">
        <v>7272</v>
      </c>
      <c r="C1547" s="3" t="s">
        <v>725</v>
      </c>
      <c r="D1547" s="3" t="s">
        <v>7273</v>
      </c>
      <c r="E1547" s="3" t="s">
        <v>42</v>
      </c>
      <c r="F1547" s="3" t="s">
        <v>538</v>
      </c>
      <c r="G1547" s="3" t="s">
        <v>497</v>
      </c>
      <c r="H1547" s="3" t="s">
        <v>5685</v>
      </c>
      <c r="I1547" s="3">
        <v>5</v>
      </c>
      <c r="J1547" s="3" t="s">
        <v>39</v>
      </c>
      <c r="K1547" s="3" t="s">
        <v>225</v>
      </c>
      <c r="L1547" s="3" t="s">
        <v>225</v>
      </c>
      <c r="M1547" s="3" t="s">
        <v>7274</v>
      </c>
      <c r="N1547" s="3" t="s">
        <v>256</v>
      </c>
      <c r="O1547" s="3" t="s">
        <v>27</v>
      </c>
      <c r="P1547" s="3" t="s">
        <v>257</v>
      </c>
      <c r="Q1547" s="3" t="s">
        <v>218</v>
      </c>
      <c r="R1547" s="3">
        <v>1</v>
      </c>
      <c r="S1547" s="3">
        <v>13980.5</v>
      </c>
      <c r="T1547" s="3">
        <v>5</v>
      </c>
      <c r="U1547" s="3">
        <v>13281.47</v>
      </c>
      <c r="V1547" s="3">
        <v>8765.11</v>
      </c>
      <c r="W1547" s="3">
        <v>4516.3599999999997</v>
      </c>
      <c r="X1547" s="3">
        <v>34</v>
      </c>
      <c r="Y1547" s="3">
        <v>0</v>
      </c>
      <c r="Z1547" s="3" t="s">
        <v>15</v>
      </c>
      <c r="AA1547" s="3" t="s">
        <v>100</v>
      </c>
      <c r="AB1547" s="3" t="s">
        <v>101</v>
      </c>
      <c r="AC1547" s="3">
        <v>5</v>
      </c>
    </row>
    <row r="1548" spans="1:29" x14ac:dyDescent="0.3">
      <c r="A1548" s="2" t="s">
        <v>7275</v>
      </c>
      <c r="B1548" s="2" t="s">
        <v>440</v>
      </c>
      <c r="C1548" s="2" t="s">
        <v>651</v>
      </c>
      <c r="D1548" s="2" t="s">
        <v>7276</v>
      </c>
      <c r="E1548" s="2" t="s">
        <v>18</v>
      </c>
      <c r="F1548" s="2" t="s">
        <v>1678</v>
      </c>
      <c r="G1548" s="2" t="s">
        <v>1679</v>
      </c>
      <c r="H1548" s="2" t="s">
        <v>3717</v>
      </c>
      <c r="I1548" s="2">
        <v>5</v>
      </c>
      <c r="J1548" s="2" t="s">
        <v>14</v>
      </c>
      <c r="K1548" s="2" t="s">
        <v>95</v>
      </c>
      <c r="L1548" s="2" t="s">
        <v>95</v>
      </c>
      <c r="M1548" s="2" t="s">
        <v>7277</v>
      </c>
      <c r="N1548" s="2" t="s">
        <v>805</v>
      </c>
      <c r="O1548" s="2" t="s">
        <v>28</v>
      </c>
      <c r="P1548" s="2" t="s">
        <v>151</v>
      </c>
      <c r="Q1548" s="2" t="s">
        <v>287</v>
      </c>
      <c r="R1548" s="2">
        <v>2</v>
      </c>
      <c r="S1548" s="2">
        <v>23088.560000000001</v>
      </c>
      <c r="T1548" s="2">
        <v>20</v>
      </c>
      <c r="U1548" s="2">
        <v>36941.699999999997</v>
      </c>
      <c r="V1548" s="2">
        <v>23840.22</v>
      </c>
      <c r="W1548" s="2">
        <v>13101.48</v>
      </c>
      <c r="X1548" s="2">
        <v>35.47</v>
      </c>
      <c r="Y1548" s="2">
        <v>49</v>
      </c>
      <c r="Z1548" s="2" t="s">
        <v>30</v>
      </c>
      <c r="AA1548" s="2" t="s">
        <v>100</v>
      </c>
      <c r="AB1548" s="2" t="s">
        <v>101</v>
      </c>
      <c r="AC1548" s="2"/>
    </row>
    <row r="1549" spans="1:29" x14ac:dyDescent="0.3">
      <c r="A1549" s="3" t="s">
        <v>7278</v>
      </c>
      <c r="B1549" s="3" t="s">
        <v>7279</v>
      </c>
      <c r="C1549" s="3" t="s">
        <v>1606</v>
      </c>
      <c r="D1549" s="3" t="s">
        <v>7280</v>
      </c>
      <c r="E1549" s="3" t="s">
        <v>42</v>
      </c>
      <c r="F1549" s="3" t="s">
        <v>2659</v>
      </c>
      <c r="G1549" s="3" t="s">
        <v>1206</v>
      </c>
      <c r="H1549" s="3" t="s">
        <v>4895</v>
      </c>
      <c r="I1549" s="3">
        <v>5</v>
      </c>
      <c r="J1549" s="3" t="s">
        <v>39</v>
      </c>
      <c r="K1549" s="3" t="s">
        <v>109</v>
      </c>
      <c r="L1549" s="3" t="s">
        <v>134</v>
      </c>
      <c r="M1549" s="3" t="s">
        <v>7281</v>
      </c>
      <c r="N1549" s="3" t="s">
        <v>185</v>
      </c>
      <c r="O1549" s="3" t="s">
        <v>28</v>
      </c>
      <c r="P1549" s="3" t="s">
        <v>151</v>
      </c>
      <c r="Q1549" s="3" t="s">
        <v>355</v>
      </c>
      <c r="R1549" s="3">
        <v>5</v>
      </c>
      <c r="S1549" s="3">
        <v>43076.52</v>
      </c>
      <c r="T1549" s="3">
        <v>15</v>
      </c>
      <c r="U1549" s="3">
        <v>183075.21</v>
      </c>
      <c r="V1549" s="3">
        <v>97871.039999999994</v>
      </c>
      <c r="W1549" s="3">
        <v>85204.17</v>
      </c>
      <c r="X1549" s="3">
        <v>46.54</v>
      </c>
      <c r="Y1549" s="3">
        <v>199</v>
      </c>
      <c r="Z1549" s="3" t="s">
        <v>15</v>
      </c>
      <c r="AA1549" s="3" t="s">
        <v>100</v>
      </c>
      <c r="AB1549" s="3" t="s">
        <v>101</v>
      </c>
      <c r="AC1549" s="3">
        <v>4</v>
      </c>
    </row>
    <row r="1550" spans="1:29" x14ac:dyDescent="0.3">
      <c r="A1550" s="2" t="s">
        <v>7282</v>
      </c>
      <c r="B1550" s="2" t="s">
        <v>5911</v>
      </c>
      <c r="C1550" s="2" t="s">
        <v>1233</v>
      </c>
      <c r="D1550" s="2" t="s">
        <v>7283</v>
      </c>
      <c r="E1550" s="2" t="s">
        <v>26</v>
      </c>
      <c r="F1550" s="2" t="s">
        <v>1360</v>
      </c>
      <c r="G1550" s="2" t="s">
        <v>1667</v>
      </c>
      <c r="H1550" s="2" t="s">
        <v>1407</v>
      </c>
      <c r="I1550" s="2">
        <v>4</v>
      </c>
      <c r="J1550" s="2" t="s">
        <v>29</v>
      </c>
      <c r="K1550" s="2" t="s">
        <v>427</v>
      </c>
      <c r="L1550" s="2" t="s">
        <v>1871</v>
      </c>
      <c r="M1550" s="2" t="s">
        <v>7284</v>
      </c>
      <c r="N1550" s="2" t="s">
        <v>316</v>
      </c>
      <c r="O1550" s="2" t="s">
        <v>28</v>
      </c>
      <c r="P1550" s="2" t="s">
        <v>137</v>
      </c>
      <c r="Q1550" s="2" t="s">
        <v>466</v>
      </c>
      <c r="R1550" s="2">
        <v>1</v>
      </c>
      <c r="S1550" s="2">
        <v>27454.2</v>
      </c>
      <c r="T1550" s="2">
        <v>5</v>
      </c>
      <c r="U1550" s="2">
        <v>26081.49</v>
      </c>
      <c r="V1550" s="2">
        <v>17839</v>
      </c>
      <c r="W1550" s="2">
        <v>8242.49</v>
      </c>
      <c r="X1550" s="2">
        <v>31.6</v>
      </c>
      <c r="Y1550" s="2">
        <v>149</v>
      </c>
      <c r="Z1550" s="2" t="s">
        <v>47</v>
      </c>
      <c r="AA1550" s="2" t="s">
        <v>100</v>
      </c>
      <c r="AB1550" s="2" t="s">
        <v>101</v>
      </c>
      <c r="AC1550" s="2">
        <v>3</v>
      </c>
    </row>
    <row r="1551" spans="1:29" x14ac:dyDescent="0.3">
      <c r="A1551" s="3" t="s">
        <v>7285</v>
      </c>
      <c r="B1551" s="3" t="s">
        <v>6172</v>
      </c>
      <c r="C1551" s="3" t="s">
        <v>4617</v>
      </c>
      <c r="D1551" s="3" t="s">
        <v>7286</v>
      </c>
      <c r="E1551" s="3" t="s">
        <v>18</v>
      </c>
      <c r="F1551" s="3" t="s">
        <v>1766</v>
      </c>
      <c r="G1551" s="3" t="s">
        <v>2752</v>
      </c>
      <c r="H1551" s="3" t="s">
        <v>1264</v>
      </c>
      <c r="I1551" s="3">
        <v>7</v>
      </c>
      <c r="J1551" s="3" t="s">
        <v>39</v>
      </c>
      <c r="K1551" s="3" t="s">
        <v>193</v>
      </c>
      <c r="L1551" s="3" t="s">
        <v>193</v>
      </c>
      <c r="M1551" s="3" t="s">
        <v>7287</v>
      </c>
      <c r="N1551" s="3" t="s">
        <v>484</v>
      </c>
      <c r="O1551" s="3" t="s">
        <v>13</v>
      </c>
      <c r="P1551" s="3" t="s">
        <v>98</v>
      </c>
      <c r="Q1551" s="3" t="s">
        <v>127</v>
      </c>
      <c r="R1551" s="3">
        <v>3</v>
      </c>
      <c r="S1551" s="3">
        <v>17091.509999999998</v>
      </c>
      <c r="T1551" s="3">
        <v>20</v>
      </c>
      <c r="U1551" s="3">
        <v>41019.620000000003</v>
      </c>
      <c r="V1551" s="3">
        <v>18790.43</v>
      </c>
      <c r="W1551" s="3">
        <v>22229.19</v>
      </c>
      <c r="X1551" s="3">
        <v>54.19</v>
      </c>
      <c r="Y1551" s="3">
        <v>149</v>
      </c>
      <c r="Z1551" s="3" t="s">
        <v>43</v>
      </c>
      <c r="AA1551" s="3" t="s">
        <v>275</v>
      </c>
      <c r="AB1551" s="3" t="s">
        <v>101</v>
      </c>
      <c r="AC1551" s="3"/>
    </row>
    <row r="1552" spans="1:29" x14ac:dyDescent="0.3">
      <c r="A1552" s="2" t="s">
        <v>7288</v>
      </c>
      <c r="B1552" s="2" t="s">
        <v>7289</v>
      </c>
      <c r="C1552" s="2" t="s">
        <v>1261</v>
      </c>
      <c r="D1552" s="2" t="s">
        <v>7290</v>
      </c>
      <c r="E1552" s="2" t="s">
        <v>18</v>
      </c>
      <c r="F1552" s="2" t="s">
        <v>6327</v>
      </c>
      <c r="G1552" s="2" t="s">
        <v>4127</v>
      </c>
      <c r="H1552" s="2" t="s">
        <v>7291</v>
      </c>
      <c r="I1552" s="2">
        <v>5</v>
      </c>
      <c r="J1552" s="2" t="s">
        <v>22</v>
      </c>
      <c r="K1552" s="2" t="s">
        <v>122</v>
      </c>
      <c r="L1552" s="2" t="s">
        <v>123</v>
      </c>
      <c r="M1552" s="2" t="s">
        <v>7292</v>
      </c>
      <c r="N1552" s="2" t="s">
        <v>889</v>
      </c>
      <c r="O1552" s="2" t="s">
        <v>27</v>
      </c>
      <c r="P1552" s="2" t="s">
        <v>257</v>
      </c>
      <c r="Q1552" s="2" t="s">
        <v>608</v>
      </c>
      <c r="R1552" s="2">
        <v>3</v>
      </c>
      <c r="S1552" s="2">
        <v>22627.43</v>
      </c>
      <c r="T1552" s="2">
        <v>25</v>
      </c>
      <c r="U1552" s="2">
        <v>50911.72</v>
      </c>
      <c r="V1552" s="2">
        <v>29541.67</v>
      </c>
      <c r="W1552" s="2">
        <v>21370.05</v>
      </c>
      <c r="X1552" s="2">
        <v>41.97</v>
      </c>
      <c r="Y1552" s="2">
        <v>29</v>
      </c>
      <c r="Z1552" s="2" t="s">
        <v>43</v>
      </c>
      <c r="AA1552" s="2" t="s">
        <v>100</v>
      </c>
      <c r="AB1552" s="2" t="s">
        <v>101</v>
      </c>
      <c r="AC1552" s="2">
        <v>1</v>
      </c>
    </row>
    <row r="1553" spans="1:29" x14ac:dyDescent="0.3">
      <c r="A1553" s="3" t="s">
        <v>7293</v>
      </c>
      <c r="B1553" s="3" t="s">
        <v>6136</v>
      </c>
      <c r="C1553" s="3" t="s">
        <v>2729</v>
      </c>
      <c r="D1553" s="3" t="s">
        <v>7294</v>
      </c>
      <c r="E1553" s="3" t="s">
        <v>18</v>
      </c>
      <c r="F1553" s="3" t="s">
        <v>1640</v>
      </c>
      <c r="G1553" s="3" t="s">
        <v>1354</v>
      </c>
      <c r="H1553" s="3" t="s">
        <v>4863</v>
      </c>
      <c r="I1553" s="3">
        <v>8</v>
      </c>
      <c r="J1553" s="3" t="s">
        <v>39</v>
      </c>
      <c r="K1553" s="3" t="s">
        <v>314</v>
      </c>
      <c r="L1553" s="3" t="s">
        <v>314</v>
      </c>
      <c r="M1553" s="3" t="s">
        <v>7295</v>
      </c>
      <c r="N1553" s="3" t="s">
        <v>648</v>
      </c>
      <c r="O1553" s="3" t="s">
        <v>27</v>
      </c>
      <c r="P1553" s="3" t="s">
        <v>113</v>
      </c>
      <c r="Q1553" s="3" t="s">
        <v>207</v>
      </c>
      <c r="R1553" s="3">
        <v>3</v>
      </c>
      <c r="S1553" s="3">
        <v>48883.45</v>
      </c>
      <c r="T1553" s="3">
        <v>20</v>
      </c>
      <c r="U1553" s="3">
        <v>117320.28</v>
      </c>
      <c r="V1553" s="3">
        <v>75825.13</v>
      </c>
      <c r="W1553" s="3">
        <v>41495.15</v>
      </c>
      <c r="X1553" s="3">
        <v>35.369999999999997</v>
      </c>
      <c r="Y1553" s="3">
        <v>49</v>
      </c>
      <c r="Z1553" s="3" t="s">
        <v>43</v>
      </c>
      <c r="AA1553" s="3" t="s">
        <v>100</v>
      </c>
      <c r="AB1553" s="3" t="s">
        <v>101</v>
      </c>
      <c r="AC1553" s="3">
        <v>4</v>
      </c>
    </row>
    <row r="1554" spans="1:29" x14ac:dyDescent="0.3">
      <c r="A1554" s="2" t="s">
        <v>7296</v>
      </c>
      <c r="B1554" s="2" t="s">
        <v>7297</v>
      </c>
      <c r="C1554" s="2" t="s">
        <v>1011</v>
      </c>
      <c r="D1554" s="2" t="s">
        <v>5264</v>
      </c>
      <c r="E1554" s="2" t="s">
        <v>42</v>
      </c>
      <c r="F1554" s="2" t="s">
        <v>3679</v>
      </c>
      <c r="G1554" s="2" t="s">
        <v>2842</v>
      </c>
      <c r="H1554" s="2" t="s">
        <v>1659</v>
      </c>
      <c r="I1554" s="2">
        <v>2</v>
      </c>
      <c r="J1554" s="2" t="s">
        <v>14</v>
      </c>
      <c r="K1554" s="2" t="s">
        <v>712</v>
      </c>
      <c r="L1554" s="2" t="s">
        <v>712</v>
      </c>
      <c r="M1554" s="2" t="s">
        <v>7298</v>
      </c>
      <c r="N1554" s="2" t="s">
        <v>256</v>
      </c>
      <c r="O1554" s="2" t="s">
        <v>27</v>
      </c>
      <c r="P1554" s="2" t="s">
        <v>257</v>
      </c>
      <c r="Q1554" s="2" t="s">
        <v>509</v>
      </c>
      <c r="R1554" s="2">
        <v>1</v>
      </c>
      <c r="S1554" s="2">
        <v>4435.1000000000004</v>
      </c>
      <c r="T1554" s="2">
        <v>10</v>
      </c>
      <c r="U1554" s="2">
        <v>3991.59</v>
      </c>
      <c r="V1554" s="2">
        <v>2608.2399999999998</v>
      </c>
      <c r="W1554" s="2">
        <v>1383.35</v>
      </c>
      <c r="X1554" s="2">
        <v>34.659999999999997</v>
      </c>
      <c r="Y1554" s="2">
        <v>99</v>
      </c>
      <c r="Z1554" s="2" t="s">
        <v>47</v>
      </c>
      <c r="AA1554" s="2" t="s">
        <v>100</v>
      </c>
      <c r="AB1554" s="2" t="s">
        <v>101</v>
      </c>
      <c r="AC1554" s="2">
        <v>5</v>
      </c>
    </row>
    <row r="1555" spans="1:29" x14ac:dyDescent="0.3">
      <c r="A1555" s="3" t="s">
        <v>7299</v>
      </c>
      <c r="B1555" s="3" t="s">
        <v>7300</v>
      </c>
      <c r="C1555" s="3" t="s">
        <v>1822</v>
      </c>
      <c r="D1555" s="3" t="s">
        <v>7301</v>
      </c>
      <c r="E1555" s="3" t="s">
        <v>26</v>
      </c>
      <c r="F1555" s="3" t="s">
        <v>192</v>
      </c>
      <c r="G1555" s="3" t="s">
        <v>1265</v>
      </c>
      <c r="H1555" s="3" t="s">
        <v>5308</v>
      </c>
      <c r="I1555" s="3">
        <v>7</v>
      </c>
      <c r="J1555" s="3" t="s">
        <v>29</v>
      </c>
      <c r="K1555" s="3" t="s">
        <v>334</v>
      </c>
      <c r="L1555" s="3" t="s">
        <v>614</v>
      </c>
      <c r="M1555" s="3" t="s">
        <v>7302</v>
      </c>
      <c r="N1555" s="3" t="s">
        <v>266</v>
      </c>
      <c r="O1555" s="3" t="s">
        <v>28</v>
      </c>
      <c r="P1555" s="3" t="s">
        <v>151</v>
      </c>
      <c r="Q1555" s="3" t="s">
        <v>127</v>
      </c>
      <c r="R1555" s="3">
        <v>5</v>
      </c>
      <c r="S1555" s="3">
        <v>43659.33</v>
      </c>
      <c r="T1555" s="3">
        <v>30</v>
      </c>
      <c r="U1555" s="3">
        <v>152807.65</v>
      </c>
      <c r="V1555" s="3">
        <v>90696.11</v>
      </c>
      <c r="W1555" s="3">
        <v>62111.54</v>
      </c>
      <c r="X1555" s="3">
        <v>40.65</v>
      </c>
      <c r="Y1555" s="3">
        <v>29</v>
      </c>
      <c r="Z1555" s="3" t="s">
        <v>23</v>
      </c>
      <c r="AA1555" s="3" t="s">
        <v>100</v>
      </c>
      <c r="AB1555" s="3" t="s">
        <v>101</v>
      </c>
      <c r="AC1555" s="3">
        <v>5</v>
      </c>
    </row>
    <row r="1556" spans="1:29" x14ac:dyDescent="0.3">
      <c r="A1556" s="2" t="s">
        <v>7303</v>
      </c>
      <c r="B1556" s="2" t="s">
        <v>7304</v>
      </c>
      <c r="C1556" s="2" t="s">
        <v>1326</v>
      </c>
      <c r="D1556" s="2" t="s">
        <v>7305</v>
      </c>
      <c r="E1556" s="2" t="s">
        <v>26</v>
      </c>
      <c r="F1556" s="2" t="s">
        <v>182</v>
      </c>
      <c r="G1556" s="2" t="s">
        <v>6712</v>
      </c>
      <c r="H1556" s="2" t="s">
        <v>2866</v>
      </c>
      <c r="I1556" s="2">
        <v>2</v>
      </c>
      <c r="J1556" s="2" t="s">
        <v>29</v>
      </c>
      <c r="K1556" s="2" t="s">
        <v>334</v>
      </c>
      <c r="L1556" s="2" t="s">
        <v>335</v>
      </c>
      <c r="M1556" s="2" t="s">
        <v>7306</v>
      </c>
      <c r="N1556" s="2" t="s">
        <v>296</v>
      </c>
      <c r="O1556" s="2" t="s">
        <v>19</v>
      </c>
      <c r="P1556" s="2" t="s">
        <v>297</v>
      </c>
      <c r="Q1556" s="2" t="s">
        <v>400</v>
      </c>
      <c r="R1556" s="2">
        <v>5</v>
      </c>
      <c r="S1556" s="2">
        <v>46809.95</v>
      </c>
      <c r="T1556" s="2">
        <v>0</v>
      </c>
      <c r="U1556" s="2">
        <v>234049.75</v>
      </c>
      <c r="V1556" s="2">
        <v>114458.49</v>
      </c>
      <c r="W1556" s="2">
        <v>119591.26</v>
      </c>
      <c r="X1556" s="2">
        <v>51.1</v>
      </c>
      <c r="Y1556" s="2">
        <v>149</v>
      </c>
      <c r="Z1556" s="2" t="s">
        <v>40</v>
      </c>
      <c r="AA1556" s="2" t="s">
        <v>100</v>
      </c>
      <c r="AB1556" s="2" t="s">
        <v>101</v>
      </c>
      <c r="AC1556" s="2">
        <v>2</v>
      </c>
    </row>
    <row r="1557" spans="1:29" x14ac:dyDescent="0.3">
      <c r="A1557" s="3" t="s">
        <v>7307</v>
      </c>
      <c r="B1557" s="3" t="s">
        <v>7308</v>
      </c>
      <c r="C1557" s="3" t="s">
        <v>469</v>
      </c>
      <c r="D1557" s="3" t="s">
        <v>7309</v>
      </c>
      <c r="E1557" s="3" t="s">
        <v>33</v>
      </c>
      <c r="F1557" s="3" t="s">
        <v>1034</v>
      </c>
      <c r="G1557" s="3" t="s">
        <v>6786</v>
      </c>
      <c r="H1557" s="3" t="s">
        <v>928</v>
      </c>
      <c r="I1557" s="3">
        <v>5</v>
      </c>
      <c r="J1557" s="3" t="s">
        <v>22</v>
      </c>
      <c r="K1557" s="3" t="s">
        <v>254</v>
      </c>
      <c r="L1557" s="3" t="s">
        <v>254</v>
      </c>
      <c r="M1557" s="3" t="s">
        <v>4645</v>
      </c>
      <c r="N1557" s="3" t="s">
        <v>765</v>
      </c>
      <c r="O1557" s="3" t="s">
        <v>27</v>
      </c>
      <c r="P1557" s="3" t="s">
        <v>113</v>
      </c>
      <c r="Q1557" s="3" t="s">
        <v>218</v>
      </c>
      <c r="R1557" s="3">
        <v>2</v>
      </c>
      <c r="S1557" s="3">
        <v>26008.66</v>
      </c>
      <c r="T1557" s="3">
        <v>0</v>
      </c>
      <c r="U1557" s="3">
        <v>52017.32</v>
      </c>
      <c r="V1557" s="3">
        <v>28820.43</v>
      </c>
      <c r="W1557" s="3">
        <v>23196.89</v>
      </c>
      <c r="X1557" s="3">
        <v>44.59</v>
      </c>
      <c r="Y1557" s="3">
        <v>49</v>
      </c>
      <c r="Z1557" s="3" t="s">
        <v>47</v>
      </c>
      <c r="AA1557" s="3" t="s">
        <v>100</v>
      </c>
      <c r="AB1557" s="3" t="s">
        <v>101</v>
      </c>
      <c r="AC1557" s="3">
        <v>5</v>
      </c>
    </row>
    <row r="1558" spans="1:29" x14ac:dyDescent="0.3">
      <c r="A1558" s="2" t="s">
        <v>7310</v>
      </c>
      <c r="B1558" s="2" t="s">
        <v>7311</v>
      </c>
      <c r="C1558" s="2" t="s">
        <v>1899</v>
      </c>
      <c r="D1558" s="2" t="s">
        <v>7312</v>
      </c>
      <c r="E1558" s="2" t="s">
        <v>26</v>
      </c>
      <c r="F1558" s="2" t="s">
        <v>280</v>
      </c>
      <c r="G1558" s="2" t="s">
        <v>3191</v>
      </c>
      <c r="H1558" s="2" t="s">
        <v>3119</v>
      </c>
      <c r="I1558" s="2">
        <v>3</v>
      </c>
      <c r="J1558" s="2" t="s">
        <v>22</v>
      </c>
      <c r="K1558" s="2" t="s">
        <v>254</v>
      </c>
      <c r="L1558" s="2" t="s">
        <v>254</v>
      </c>
      <c r="M1558" s="2" t="s">
        <v>7313</v>
      </c>
      <c r="N1558" s="2" t="s">
        <v>1188</v>
      </c>
      <c r="O1558" s="2" t="s">
        <v>27</v>
      </c>
      <c r="P1558" s="2" t="s">
        <v>257</v>
      </c>
      <c r="Q1558" s="2" t="s">
        <v>355</v>
      </c>
      <c r="R1558" s="2">
        <v>3</v>
      </c>
      <c r="S1558" s="2">
        <v>13078.35</v>
      </c>
      <c r="T1558" s="2">
        <v>0</v>
      </c>
      <c r="U1558" s="2">
        <v>39235.050000000003</v>
      </c>
      <c r="V1558" s="2">
        <v>25801.58</v>
      </c>
      <c r="W1558" s="2">
        <v>13433.47</v>
      </c>
      <c r="X1558" s="2">
        <v>34.24</v>
      </c>
      <c r="Y1558" s="2">
        <v>149</v>
      </c>
      <c r="Z1558" s="2" t="s">
        <v>23</v>
      </c>
      <c r="AA1558" s="2" t="s">
        <v>100</v>
      </c>
      <c r="AB1558" s="2" t="s">
        <v>101</v>
      </c>
      <c r="AC1558" s="2">
        <v>3</v>
      </c>
    </row>
    <row r="1559" spans="1:29" x14ac:dyDescent="0.3">
      <c r="A1559" s="3" t="s">
        <v>7314</v>
      </c>
      <c r="B1559" s="3" t="s">
        <v>6175</v>
      </c>
      <c r="C1559" s="3" t="s">
        <v>619</v>
      </c>
      <c r="D1559" s="3" t="s">
        <v>7315</v>
      </c>
      <c r="E1559" s="3" t="s">
        <v>18</v>
      </c>
      <c r="F1559" s="3" t="s">
        <v>1366</v>
      </c>
      <c r="G1559" s="3" t="s">
        <v>1367</v>
      </c>
      <c r="H1559" s="3" t="s">
        <v>471</v>
      </c>
      <c r="I1559" s="3">
        <v>4</v>
      </c>
      <c r="J1559" s="3" t="s">
        <v>29</v>
      </c>
      <c r="K1559" s="3" t="s">
        <v>834</v>
      </c>
      <c r="L1559" s="3" t="s">
        <v>835</v>
      </c>
      <c r="M1559" s="3" t="s">
        <v>7316</v>
      </c>
      <c r="N1559" s="3" t="s">
        <v>174</v>
      </c>
      <c r="O1559" s="3" t="s">
        <v>27</v>
      </c>
      <c r="P1559" s="3" t="s">
        <v>175</v>
      </c>
      <c r="Q1559" s="3" t="s">
        <v>207</v>
      </c>
      <c r="R1559" s="3">
        <v>3</v>
      </c>
      <c r="S1559" s="3">
        <v>13644.55</v>
      </c>
      <c r="T1559" s="3">
        <v>0</v>
      </c>
      <c r="U1559" s="3">
        <v>40933.65</v>
      </c>
      <c r="V1559" s="3">
        <v>25150.39</v>
      </c>
      <c r="W1559" s="3">
        <v>15783.26</v>
      </c>
      <c r="X1559" s="3">
        <v>38.56</v>
      </c>
      <c r="Y1559" s="3">
        <v>29</v>
      </c>
      <c r="Z1559" s="3" t="s">
        <v>48</v>
      </c>
      <c r="AA1559" s="3" t="s">
        <v>100</v>
      </c>
      <c r="AB1559" s="3" t="s">
        <v>101</v>
      </c>
      <c r="AC1559" s="3">
        <v>3</v>
      </c>
    </row>
    <row r="1560" spans="1:29" x14ac:dyDescent="0.3">
      <c r="A1560" s="2" t="s">
        <v>7317</v>
      </c>
      <c r="B1560" s="2" t="s">
        <v>7318</v>
      </c>
      <c r="C1560" s="2" t="s">
        <v>1217</v>
      </c>
      <c r="D1560" s="2" t="s">
        <v>2036</v>
      </c>
      <c r="E1560" s="2" t="s">
        <v>42</v>
      </c>
      <c r="F1560" s="2" t="s">
        <v>2167</v>
      </c>
      <c r="G1560" s="2" t="s">
        <v>1889</v>
      </c>
      <c r="H1560" s="2" t="s">
        <v>654</v>
      </c>
      <c r="I1560" s="2">
        <v>5</v>
      </c>
      <c r="J1560" s="2" t="s">
        <v>22</v>
      </c>
      <c r="K1560" s="2" t="s">
        <v>122</v>
      </c>
      <c r="L1560" s="2" t="s">
        <v>812</v>
      </c>
      <c r="M1560" s="2" t="s">
        <v>7319</v>
      </c>
      <c r="N1560" s="2" t="s">
        <v>3017</v>
      </c>
      <c r="O1560" s="2" t="s">
        <v>13</v>
      </c>
      <c r="P1560" s="2" t="s">
        <v>419</v>
      </c>
      <c r="Q1560" s="2" t="s">
        <v>218</v>
      </c>
      <c r="R1560" s="2">
        <v>4</v>
      </c>
      <c r="S1560" s="2">
        <v>29312.47</v>
      </c>
      <c r="T1560" s="2">
        <v>30</v>
      </c>
      <c r="U1560" s="2">
        <v>82074.92</v>
      </c>
      <c r="V1560" s="2">
        <v>52236.46</v>
      </c>
      <c r="W1560" s="2">
        <v>29838.46</v>
      </c>
      <c r="X1560" s="2">
        <v>36.36</v>
      </c>
      <c r="Y1560" s="2">
        <v>29</v>
      </c>
      <c r="Z1560" s="2" t="s">
        <v>30</v>
      </c>
      <c r="AA1560" s="2" t="s">
        <v>100</v>
      </c>
      <c r="AB1560" s="2" t="s">
        <v>101</v>
      </c>
      <c r="AC1560" s="2"/>
    </row>
    <row r="1561" spans="1:29" x14ac:dyDescent="0.3">
      <c r="A1561" s="3" t="s">
        <v>7320</v>
      </c>
      <c r="B1561" s="3" t="s">
        <v>7321</v>
      </c>
      <c r="C1561" s="3" t="s">
        <v>1326</v>
      </c>
      <c r="D1561" s="3" t="s">
        <v>7322</v>
      </c>
      <c r="E1561" s="3" t="s">
        <v>33</v>
      </c>
      <c r="F1561" s="3" t="s">
        <v>1049</v>
      </c>
      <c r="G1561" s="3" t="s">
        <v>3015</v>
      </c>
      <c r="H1561" s="3" t="s">
        <v>1101</v>
      </c>
      <c r="I1561" s="3">
        <v>8</v>
      </c>
      <c r="J1561" s="3" t="s">
        <v>29</v>
      </c>
      <c r="K1561" s="3" t="s">
        <v>334</v>
      </c>
      <c r="L1561" s="3" t="s">
        <v>614</v>
      </c>
      <c r="M1561" s="3" t="s">
        <v>7323</v>
      </c>
      <c r="N1561" s="3" t="s">
        <v>704</v>
      </c>
      <c r="O1561" s="3" t="s">
        <v>13</v>
      </c>
      <c r="P1561" s="3" t="s">
        <v>419</v>
      </c>
      <c r="Q1561" s="3" t="s">
        <v>509</v>
      </c>
      <c r="R1561" s="3">
        <v>3</v>
      </c>
      <c r="S1561" s="3">
        <v>38087.93</v>
      </c>
      <c r="T1561" s="3">
        <v>0</v>
      </c>
      <c r="U1561" s="3">
        <v>114263.79</v>
      </c>
      <c r="V1561" s="3">
        <v>66631.16</v>
      </c>
      <c r="W1561" s="3">
        <v>47632.63</v>
      </c>
      <c r="X1561" s="3">
        <v>41.69</v>
      </c>
      <c r="Y1561" s="3">
        <v>29</v>
      </c>
      <c r="Z1561" s="3" t="s">
        <v>30</v>
      </c>
      <c r="AA1561" s="3" t="s">
        <v>100</v>
      </c>
      <c r="AB1561" s="3" t="s">
        <v>101</v>
      </c>
      <c r="AC1561" s="3">
        <v>3</v>
      </c>
    </row>
    <row r="1562" spans="1:29" x14ac:dyDescent="0.3">
      <c r="A1562" s="2" t="s">
        <v>7324</v>
      </c>
      <c r="B1562" s="2" t="s">
        <v>5060</v>
      </c>
      <c r="C1562" s="2" t="s">
        <v>166</v>
      </c>
      <c r="D1562" s="2" t="s">
        <v>7325</v>
      </c>
      <c r="E1562" s="2" t="s">
        <v>42</v>
      </c>
      <c r="F1562" s="2" t="s">
        <v>3128</v>
      </c>
      <c r="G1562" s="2" t="s">
        <v>2935</v>
      </c>
      <c r="H1562" s="2" t="s">
        <v>2294</v>
      </c>
      <c r="I1562" s="2">
        <v>8</v>
      </c>
      <c r="J1562" s="2" t="s">
        <v>29</v>
      </c>
      <c r="K1562" s="2" t="s">
        <v>160</v>
      </c>
      <c r="L1562" s="2" t="s">
        <v>161</v>
      </c>
      <c r="M1562" s="2" t="s">
        <v>7326</v>
      </c>
      <c r="N1562" s="2" t="s">
        <v>266</v>
      </c>
      <c r="O1562" s="2" t="s">
        <v>28</v>
      </c>
      <c r="P1562" s="2" t="s">
        <v>151</v>
      </c>
      <c r="Q1562" s="2" t="s">
        <v>218</v>
      </c>
      <c r="R1562" s="2">
        <v>1</v>
      </c>
      <c r="S1562" s="2">
        <v>36397.129999999997</v>
      </c>
      <c r="T1562" s="2">
        <v>10</v>
      </c>
      <c r="U1562" s="2">
        <v>32757.42</v>
      </c>
      <c r="V1562" s="2">
        <v>15191.11</v>
      </c>
      <c r="W1562" s="2">
        <v>17566.310000000001</v>
      </c>
      <c r="X1562" s="2">
        <v>53.63</v>
      </c>
      <c r="Y1562" s="2">
        <v>199</v>
      </c>
      <c r="Z1562" s="2" t="s">
        <v>47</v>
      </c>
      <c r="AA1562" s="2" t="s">
        <v>275</v>
      </c>
      <c r="AB1562" s="2" t="s">
        <v>101</v>
      </c>
      <c r="AC1562" s="2"/>
    </row>
    <row r="1563" spans="1:29" x14ac:dyDescent="0.3">
      <c r="A1563" s="3" t="s">
        <v>7327</v>
      </c>
      <c r="B1563" s="3" t="s">
        <v>7328</v>
      </c>
      <c r="C1563" s="3" t="s">
        <v>4068</v>
      </c>
      <c r="D1563" s="3" t="s">
        <v>7329</v>
      </c>
      <c r="E1563" s="3" t="s">
        <v>18</v>
      </c>
      <c r="F1563" s="3" t="s">
        <v>434</v>
      </c>
      <c r="G1563" s="3" t="s">
        <v>435</v>
      </c>
      <c r="H1563" s="3" t="s">
        <v>436</v>
      </c>
      <c r="I1563" s="3">
        <v>3</v>
      </c>
      <c r="J1563" s="3" t="s">
        <v>39</v>
      </c>
      <c r="K1563" s="3" t="s">
        <v>225</v>
      </c>
      <c r="L1563" s="3" t="s">
        <v>225</v>
      </c>
      <c r="M1563" s="3" t="s">
        <v>6674</v>
      </c>
      <c r="N1563" s="3" t="s">
        <v>136</v>
      </c>
      <c r="O1563" s="3" t="s">
        <v>28</v>
      </c>
      <c r="P1563" s="3" t="s">
        <v>137</v>
      </c>
      <c r="Q1563" s="3" t="s">
        <v>99</v>
      </c>
      <c r="R1563" s="3">
        <v>1</v>
      </c>
      <c r="S1563" s="3">
        <v>19971.169999999998</v>
      </c>
      <c r="T1563" s="3">
        <v>25</v>
      </c>
      <c r="U1563" s="3">
        <v>14978.38</v>
      </c>
      <c r="V1563" s="3">
        <v>9245.27</v>
      </c>
      <c r="W1563" s="3">
        <v>5733.11</v>
      </c>
      <c r="X1563" s="3">
        <v>38.28</v>
      </c>
      <c r="Y1563" s="3">
        <v>99</v>
      </c>
      <c r="Z1563" s="3" t="s">
        <v>23</v>
      </c>
      <c r="AA1563" s="3" t="s">
        <v>275</v>
      </c>
      <c r="AB1563" s="3" t="s">
        <v>101</v>
      </c>
      <c r="AC1563" s="3"/>
    </row>
    <row r="1564" spans="1:29" x14ac:dyDescent="0.3">
      <c r="A1564" s="2" t="s">
        <v>7330</v>
      </c>
      <c r="B1564" s="2" t="s">
        <v>7331</v>
      </c>
      <c r="C1564" s="2" t="s">
        <v>1131</v>
      </c>
      <c r="D1564" s="2" t="s">
        <v>7332</v>
      </c>
      <c r="E1564" s="2" t="s">
        <v>18</v>
      </c>
      <c r="F1564" s="2" t="s">
        <v>313</v>
      </c>
      <c r="G1564" s="2" t="s">
        <v>3989</v>
      </c>
      <c r="H1564" s="2" t="s">
        <v>1192</v>
      </c>
      <c r="I1564" s="2">
        <v>7</v>
      </c>
      <c r="J1564" s="2" t="s">
        <v>14</v>
      </c>
      <c r="K1564" s="2" t="s">
        <v>183</v>
      </c>
      <c r="L1564" s="2" t="s">
        <v>183</v>
      </c>
      <c r="M1564" s="2" t="s">
        <v>7176</v>
      </c>
      <c r="N1564" s="2" t="s">
        <v>704</v>
      </c>
      <c r="O1564" s="2" t="s">
        <v>13</v>
      </c>
      <c r="P1564" s="2" t="s">
        <v>419</v>
      </c>
      <c r="Q1564" s="2" t="s">
        <v>152</v>
      </c>
      <c r="R1564" s="2">
        <v>2</v>
      </c>
      <c r="S1564" s="2">
        <v>27522.21</v>
      </c>
      <c r="T1564" s="2">
        <v>30</v>
      </c>
      <c r="U1564" s="2">
        <v>38531.089999999997</v>
      </c>
      <c r="V1564" s="2">
        <v>22657.82</v>
      </c>
      <c r="W1564" s="2">
        <v>15873.27</v>
      </c>
      <c r="X1564" s="2">
        <v>41.2</v>
      </c>
      <c r="Y1564" s="2">
        <v>199</v>
      </c>
      <c r="Z1564" s="2" t="s">
        <v>47</v>
      </c>
      <c r="AA1564" s="2" t="s">
        <v>100</v>
      </c>
      <c r="AB1564" s="2" t="s">
        <v>101</v>
      </c>
      <c r="AC1564" s="2">
        <v>1</v>
      </c>
    </row>
    <row r="1565" spans="1:29" x14ac:dyDescent="0.3">
      <c r="A1565" s="3" t="s">
        <v>7333</v>
      </c>
      <c r="B1565" s="3" t="s">
        <v>5355</v>
      </c>
      <c r="C1565" s="3" t="s">
        <v>1085</v>
      </c>
      <c r="D1565" s="3" t="s">
        <v>7334</v>
      </c>
      <c r="E1565" s="3" t="s">
        <v>26</v>
      </c>
      <c r="F1565" s="3" t="s">
        <v>424</v>
      </c>
      <c r="G1565" s="3" t="s">
        <v>425</v>
      </c>
      <c r="H1565" s="3" t="s">
        <v>224</v>
      </c>
      <c r="I1565" s="3">
        <v>2</v>
      </c>
      <c r="J1565" s="3" t="s">
        <v>39</v>
      </c>
      <c r="K1565" s="3" t="s">
        <v>109</v>
      </c>
      <c r="L1565" s="3" t="s">
        <v>344</v>
      </c>
      <c r="M1565" s="3" t="s">
        <v>7335</v>
      </c>
      <c r="N1565" s="3" t="s">
        <v>750</v>
      </c>
      <c r="O1565" s="3" t="s">
        <v>13</v>
      </c>
      <c r="P1565" s="3" t="s">
        <v>419</v>
      </c>
      <c r="Q1565" s="3" t="s">
        <v>207</v>
      </c>
      <c r="R1565" s="3">
        <v>4</v>
      </c>
      <c r="S1565" s="3">
        <v>23138.77</v>
      </c>
      <c r="T1565" s="3">
        <v>15</v>
      </c>
      <c r="U1565" s="3">
        <v>78671.820000000007</v>
      </c>
      <c r="V1565" s="3">
        <v>37126.879999999997</v>
      </c>
      <c r="W1565" s="3">
        <v>41544.94</v>
      </c>
      <c r="X1565" s="3">
        <v>52.81</v>
      </c>
      <c r="Y1565" s="3">
        <v>199</v>
      </c>
      <c r="Z1565" s="3" t="s">
        <v>23</v>
      </c>
      <c r="AA1565" s="3" t="s">
        <v>100</v>
      </c>
      <c r="AB1565" s="3" t="s">
        <v>101</v>
      </c>
      <c r="AC1565" s="3">
        <v>2</v>
      </c>
    </row>
    <row r="1566" spans="1:29" x14ac:dyDescent="0.3">
      <c r="A1566" s="2" t="s">
        <v>7336</v>
      </c>
      <c r="B1566" s="2" t="s">
        <v>7337</v>
      </c>
      <c r="C1566" s="2" t="s">
        <v>1335</v>
      </c>
      <c r="D1566" s="2" t="s">
        <v>7338</v>
      </c>
      <c r="E1566" s="2" t="s">
        <v>42</v>
      </c>
      <c r="F1566" s="2" t="s">
        <v>4218</v>
      </c>
      <c r="G1566" s="2" t="s">
        <v>4486</v>
      </c>
      <c r="H1566" s="2" t="s">
        <v>4416</v>
      </c>
      <c r="I1566" s="2">
        <v>5</v>
      </c>
      <c r="J1566" s="2" t="s">
        <v>29</v>
      </c>
      <c r="K1566" s="2" t="s">
        <v>427</v>
      </c>
      <c r="L1566" s="2" t="s">
        <v>1081</v>
      </c>
      <c r="M1566" s="2" t="s">
        <v>1169</v>
      </c>
      <c r="N1566" s="2" t="s">
        <v>163</v>
      </c>
      <c r="O1566" s="2" t="s">
        <v>21</v>
      </c>
      <c r="P1566" s="2" t="s">
        <v>126</v>
      </c>
      <c r="Q1566" s="2" t="s">
        <v>114</v>
      </c>
      <c r="R1566" s="2">
        <v>4</v>
      </c>
      <c r="S1566" s="2">
        <v>30066.65</v>
      </c>
      <c r="T1566" s="2">
        <v>20</v>
      </c>
      <c r="U1566" s="2">
        <v>96213.28</v>
      </c>
      <c r="V1566" s="2">
        <v>43405.63</v>
      </c>
      <c r="W1566" s="2">
        <v>52807.65</v>
      </c>
      <c r="X1566" s="2">
        <v>54.89</v>
      </c>
      <c r="Y1566" s="2">
        <v>0</v>
      </c>
      <c r="Z1566" s="2" t="s">
        <v>47</v>
      </c>
      <c r="AA1566" s="2" t="s">
        <v>100</v>
      </c>
      <c r="AB1566" s="2" t="s">
        <v>101</v>
      </c>
      <c r="AC1566" s="2">
        <v>3</v>
      </c>
    </row>
    <row r="1567" spans="1:29" x14ac:dyDescent="0.3">
      <c r="A1567" s="3" t="s">
        <v>7339</v>
      </c>
      <c r="B1567" s="3" t="s">
        <v>7340</v>
      </c>
      <c r="C1567" s="3" t="s">
        <v>1326</v>
      </c>
      <c r="D1567" s="3" t="s">
        <v>7341</v>
      </c>
      <c r="E1567" s="3" t="s">
        <v>42</v>
      </c>
      <c r="F1567" s="3" t="s">
        <v>2860</v>
      </c>
      <c r="G1567" s="3" t="s">
        <v>3296</v>
      </c>
      <c r="H1567" s="3" t="s">
        <v>2861</v>
      </c>
      <c r="I1567" s="3">
        <v>4</v>
      </c>
      <c r="J1567" s="3" t="s">
        <v>14</v>
      </c>
      <c r="K1567" s="3" t="s">
        <v>171</v>
      </c>
      <c r="L1567" s="3" t="s">
        <v>541</v>
      </c>
      <c r="M1567" s="3" t="s">
        <v>2217</v>
      </c>
      <c r="N1567" s="3" t="s">
        <v>639</v>
      </c>
      <c r="O1567" s="3" t="s">
        <v>27</v>
      </c>
      <c r="P1567" s="3" t="s">
        <v>175</v>
      </c>
      <c r="Q1567" s="3" t="s">
        <v>152</v>
      </c>
      <c r="R1567" s="3">
        <v>4</v>
      </c>
      <c r="S1567" s="3">
        <v>49518.5</v>
      </c>
      <c r="T1567" s="3">
        <v>0</v>
      </c>
      <c r="U1567" s="3">
        <v>198074</v>
      </c>
      <c r="V1567" s="3">
        <v>101133</v>
      </c>
      <c r="W1567" s="3">
        <v>96941</v>
      </c>
      <c r="X1567" s="3">
        <v>48.94</v>
      </c>
      <c r="Y1567" s="3">
        <v>149</v>
      </c>
      <c r="Z1567" s="3" t="s">
        <v>30</v>
      </c>
      <c r="AA1567" s="3" t="s">
        <v>100</v>
      </c>
      <c r="AB1567" s="3" t="s">
        <v>101</v>
      </c>
      <c r="AC1567" s="3">
        <v>4</v>
      </c>
    </row>
    <row r="1568" spans="1:29" x14ac:dyDescent="0.3">
      <c r="A1568" s="2" t="s">
        <v>7342</v>
      </c>
      <c r="B1568" s="2" t="s">
        <v>7343</v>
      </c>
      <c r="C1568" s="2" t="s">
        <v>1717</v>
      </c>
      <c r="D1568" s="2" t="s">
        <v>7344</v>
      </c>
      <c r="E1568" s="2" t="s">
        <v>26</v>
      </c>
      <c r="F1568" s="2" t="s">
        <v>4723</v>
      </c>
      <c r="G1568" s="2" t="s">
        <v>661</v>
      </c>
      <c r="H1568" s="2" t="s">
        <v>662</v>
      </c>
      <c r="I1568" s="2">
        <v>8</v>
      </c>
      <c r="J1568" s="2" t="s">
        <v>22</v>
      </c>
      <c r="K1568" s="2" t="s">
        <v>738</v>
      </c>
      <c r="L1568" s="2" t="s">
        <v>738</v>
      </c>
      <c r="M1568" s="2" t="s">
        <v>7345</v>
      </c>
      <c r="N1568" s="2" t="s">
        <v>163</v>
      </c>
      <c r="O1568" s="2" t="s">
        <v>21</v>
      </c>
      <c r="P1568" s="2" t="s">
        <v>126</v>
      </c>
      <c r="Q1568" s="2" t="s">
        <v>138</v>
      </c>
      <c r="R1568" s="2">
        <v>4</v>
      </c>
      <c r="S1568" s="2">
        <v>38093.050000000003</v>
      </c>
      <c r="T1568" s="2">
        <v>30</v>
      </c>
      <c r="U1568" s="2">
        <v>106660.54</v>
      </c>
      <c r="V1568" s="2">
        <v>73847.820000000007</v>
      </c>
      <c r="W1568" s="2">
        <v>32812.720000000001</v>
      </c>
      <c r="X1568" s="2">
        <v>30.76</v>
      </c>
      <c r="Y1568" s="2">
        <v>0</v>
      </c>
      <c r="Z1568" s="2" t="s">
        <v>47</v>
      </c>
      <c r="AA1568" s="2" t="s">
        <v>672</v>
      </c>
      <c r="AB1568" s="2" t="s">
        <v>101</v>
      </c>
      <c r="AC1568" s="2"/>
    </row>
    <row r="1569" spans="1:29" x14ac:dyDescent="0.3">
      <c r="A1569" s="3" t="s">
        <v>7346</v>
      </c>
      <c r="B1569" s="3" t="s">
        <v>7347</v>
      </c>
      <c r="C1569" s="3" t="s">
        <v>2286</v>
      </c>
      <c r="D1569" s="3" t="s">
        <v>7348</v>
      </c>
      <c r="E1569" s="3" t="s">
        <v>18</v>
      </c>
      <c r="F1569" s="3" t="s">
        <v>2132</v>
      </c>
      <c r="G1569" s="3" t="s">
        <v>2552</v>
      </c>
      <c r="H1569" s="3" t="s">
        <v>1599</v>
      </c>
      <c r="I1569" s="3">
        <v>4</v>
      </c>
      <c r="J1569" s="3" t="s">
        <v>22</v>
      </c>
      <c r="K1569" s="3" t="s">
        <v>443</v>
      </c>
      <c r="L1569" s="3" t="s">
        <v>444</v>
      </c>
      <c r="M1569" s="3" t="s">
        <v>7349</v>
      </c>
      <c r="N1569" s="3" t="s">
        <v>364</v>
      </c>
      <c r="O1569" s="3" t="s">
        <v>19</v>
      </c>
      <c r="P1569" s="3" t="s">
        <v>365</v>
      </c>
      <c r="Q1569" s="3" t="s">
        <v>114</v>
      </c>
      <c r="R1569" s="3">
        <v>1</v>
      </c>
      <c r="S1569" s="3">
        <v>11871.48</v>
      </c>
      <c r="T1569" s="3">
        <v>0</v>
      </c>
      <c r="U1569" s="3">
        <v>11871.48</v>
      </c>
      <c r="V1569" s="3">
        <v>6249.48</v>
      </c>
      <c r="W1569" s="3">
        <v>5622</v>
      </c>
      <c r="X1569" s="3">
        <v>47.36</v>
      </c>
      <c r="Y1569" s="3">
        <v>29</v>
      </c>
      <c r="Z1569" s="3" t="s">
        <v>23</v>
      </c>
      <c r="AA1569" s="3" t="s">
        <v>100</v>
      </c>
      <c r="AB1569" s="3" t="s">
        <v>101</v>
      </c>
      <c r="AC1569" s="3">
        <v>4</v>
      </c>
    </row>
    <row r="1570" spans="1:29" x14ac:dyDescent="0.3">
      <c r="A1570" s="2" t="s">
        <v>7350</v>
      </c>
      <c r="B1570" s="2" t="s">
        <v>7351</v>
      </c>
      <c r="C1570" s="2" t="s">
        <v>221</v>
      </c>
      <c r="D1570" s="2" t="s">
        <v>2080</v>
      </c>
      <c r="E1570" s="2" t="s">
        <v>42</v>
      </c>
      <c r="F1570" s="2" t="s">
        <v>360</v>
      </c>
      <c r="G1570" s="2" t="s">
        <v>361</v>
      </c>
      <c r="H1570" s="2" t="s">
        <v>4706</v>
      </c>
      <c r="I1570" s="2">
        <v>7</v>
      </c>
      <c r="J1570" s="2" t="s">
        <v>39</v>
      </c>
      <c r="K1570" s="2" t="s">
        <v>225</v>
      </c>
      <c r="L1570" s="2" t="s">
        <v>225</v>
      </c>
      <c r="M1570" s="2" t="s">
        <v>3129</v>
      </c>
      <c r="N1570" s="2" t="s">
        <v>316</v>
      </c>
      <c r="O1570" s="2" t="s">
        <v>28</v>
      </c>
      <c r="P1570" s="2" t="s">
        <v>137</v>
      </c>
      <c r="Q1570" s="2" t="s">
        <v>152</v>
      </c>
      <c r="R1570" s="2">
        <v>3</v>
      </c>
      <c r="S1570" s="2">
        <v>29663.25</v>
      </c>
      <c r="T1570" s="2">
        <v>30</v>
      </c>
      <c r="U1570" s="2">
        <v>62292.82</v>
      </c>
      <c r="V1570" s="2">
        <v>35067.1</v>
      </c>
      <c r="W1570" s="2">
        <v>27225.72</v>
      </c>
      <c r="X1570" s="2">
        <v>43.71</v>
      </c>
      <c r="Y1570" s="2">
        <v>29</v>
      </c>
      <c r="Z1570" s="2" t="s">
        <v>30</v>
      </c>
      <c r="AA1570" s="2" t="s">
        <v>275</v>
      </c>
      <c r="AB1570" s="2" t="s">
        <v>101</v>
      </c>
      <c r="AC1570" s="2"/>
    </row>
    <row r="1571" spans="1:29" x14ac:dyDescent="0.3">
      <c r="A1571" s="3" t="s">
        <v>7352</v>
      </c>
      <c r="B1571" s="3" t="s">
        <v>7353</v>
      </c>
      <c r="C1571" s="3" t="s">
        <v>2097</v>
      </c>
      <c r="D1571" s="3" t="s">
        <v>7354</v>
      </c>
      <c r="E1571" s="3" t="s">
        <v>18</v>
      </c>
      <c r="F1571" s="3" t="s">
        <v>747</v>
      </c>
      <c r="G1571" s="3" t="s">
        <v>4144</v>
      </c>
      <c r="H1571" s="3" t="s">
        <v>1654</v>
      </c>
      <c r="I1571" s="3">
        <v>5</v>
      </c>
      <c r="J1571" s="3" t="s">
        <v>14</v>
      </c>
      <c r="K1571" s="3" t="s">
        <v>712</v>
      </c>
      <c r="L1571" s="3" t="s">
        <v>712</v>
      </c>
      <c r="M1571" s="3" t="s">
        <v>7355</v>
      </c>
      <c r="N1571" s="3" t="s">
        <v>623</v>
      </c>
      <c r="O1571" s="3" t="s">
        <v>19</v>
      </c>
      <c r="P1571" s="3" t="s">
        <v>297</v>
      </c>
      <c r="Q1571" s="3" t="s">
        <v>466</v>
      </c>
      <c r="R1571" s="3">
        <v>1</v>
      </c>
      <c r="S1571" s="3">
        <v>30052.49</v>
      </c>
      <c r="T1571" s="3">
        <v>10</v>
      </c>
      <c r="U1571" s="3">
        <v>27047.24</v>
      </c>
      <c r="V1571" s="3">
        <v>12971.07</v>
      </c>
      <c r="W1571" s="3">
        <v>14076.17</v>
      </c>
      <c r="X1571" s="3">
        <v>52.04</v>
      </c>
      <c r="Y1571" s="3">
        <v>99</v>
      </c>
      <c r="Z1571" s="3" t="s">
        <v>40</v>
      </c>
      <c r="AA1571" s="3" t="s">
        <v>275</v>
      </c>
      <c r="AB1571" s="3" t="s">
        <v>101</v>
      </c>
      <c r="AC1571" s="3"/>
    </row>
    <row r="1572" spans="1:29" x14ac:dyDescent="0.3">
      <c r="A1572" s="2" t="s">
        <v>7356</v>
      </c>
      <c r="B1572" s="2" t="s">
        <v>7357</v>
      </c>
      <c r="C1572" s="2" t="s">
        <v>2622</v>
      </c>
      <c r="D1572" s="2" t="s">
        <v>7358</v>
      </c>
      <c r="E1572" s="2" t="s">
        <v>42</v>
      </c>
      <c r="F1572" s="2" t="s">
        <v>304</v>
      </c>
      <c r="G1572" s="2" t="s">
        <v>3124</v>
      </c>
      <c r="H1572" s="2" t="s">
        <v>7359</v>
      </c>
      <c r="I1572" s="2">
        <v>8</v>
      </c>
      <c r="J1572" s="2" t="s">
        <v>39</v>
      </c>
      <c r="K1572" s="2" t="s">
        <v>314</v>
      </c>
      <c r="L1572" s="2" t="s">
        <v>314</v>
      </c>
      <c r="M1572" s="2" t="s">
        <v>2144</v>
      </c>
      <c r="N1572" s="2" t="s">
        <v>1611</v>
      </c>
      <c r="O1572" s="2" t="s">
        <v>19</v>
      </c>
      <c r="P1572" s="2" t="s">
        <v>365</v>
      </c>
      <c r="Q1572" s="2" t="s">
        <v>287</v>
      </c>
      <c r="R1572" s="2">
        <v>2</v>
      </c>
      <c r="S1572" s="2">
        <v>27575.48</v>
      </c>
      <c r="T1572" s="2">
        <v>0</v>
      </c>
      <c r="U1572" s="2">
        <v>55150.96</v>
      </c>
      <c r="V1572" s="2">
        <v>30719.24</v>
      </c>
      <c r="W1572" s="2">
        <v>24431.72</v>
      </c>
      <c r="X1572" s="2">
        <v>44.3</v>
      </c>
      <c r="Y1572" s="2">
        <v>49</v>
      </c>
      <c r="Z1572" s="2" t="s">
        <v>30</v>
      </c>
      <c r="AA1572" s="2" t="s">
        <v>186</v>
      </c>
      <c r="AB1572" s="2" t="s">
        <v>101</v>
      </c>
      <c r="AC1572" s="2"/>
    </row>
    <row r="1573" spans="1:29" x14ac:dyDescent="0.3">
      <c r="A1573" s="3" t="s">
        <v>7360</v>
      </c>
      <c r="B1573" s="3" t="s">
        <v>7361</v>
      </c>
      <c r="C1573" s="3" t="s">
        <v>1544</v>
      </c>
      <c r="D1573" s="3" t="s">
        <v>7362</v>
      </c>
      <c r="E1573" s="3" t="s">
        <v>42</v>
      </c>
      <c r="F1573" s="3" t="s">
        <v>1384</v>
      </c>
      <c r="G1573" s="3" t="s">
        <v>1385</v>
      </c>
      <c r="H1573" s="3" t="s">
        <v>1950</v>
      </c>
      <c r="I1573" s="3">
        <v>3</v>
      </c>
      <c r="J1573" s="3" t="s">
        <v>14</v>
      </c>
      <c r="K1573" s="3" t="s">
        <v>712</v>
      </c>
      <c r="L1573" s="3" t="s">
        <v>712</v>
      </c>
      <c r="M1573" s="3" t="s">
        <v>7363</v>
      </c>
      <c r="N1573" s="3" t="s">
        <v>446</v>
      </c>
      <c r="O1573" s="3" t="s">
        <v>19</v>
      </c>
      <c r="P1573" s="3" t="s">
        <v>447</v>
      </c>
      <c r="Q1573" s="3" t="s">
        <v>152</v>
      </c>
      <c r="R1573" s="3">
        <v>5</v>
      </c>
      <c r="S1573" s="3">
        <v>34440.53</v>
      </c>
      <c r="T1573" s="3">
        <v>5</v>
      </c>
      <c r="U1573" s="3">
        <v>163592.51999999999</v>
      </c>
      <c r="V1573" s="3">
        <v>100644</v>
      </c>
      <c r="W1573" s="3">
        <v>62948.52</v>
      </c>
      <c r="X1573" s="3">
        <v>38.479999999999997</v>
      </c>
      <c r="Y1573" s="3">
        <v>0</v>
      </c>
      <c r="Z1573" s="3" t="s">
        <v>40</v>
      </c>
      <c r="AA1573" s="3" t="s">
        <v>139</v>
      </c>
      <c r="AB1573" s="3" t="s">
        <v>140</v>
      </c>
      <c r="AC1573" s="3"/>
    </row>
    <row r="1574" spans="1:29" x14ac:dyDescent="0.3">
      <c r="A1574" s="2" t="s">
        <v>7364</v>
      </c>
      <c r="B1574" s="2" t="s">
        <v>7365</v>
      </c>
      <c r="C1574" s="2" t="s">
        <v>1717</v>
      </c>
      <c r="D1574" s="2" t="s">
        <v>7366</v>
      </c>
      <c r="E1574" s="2" t="s">
        <v>18</v>
      </c>
      <c r="F1574" s="2" t="s">
        <v>3317</v>
      </c>
      <c r="G1574" s="2" t="s">
        <v>2387</v>
      </c>
      <c r="H1574" s="2" t="s">
        <v>3872</v>
      </c>
      <c r="I1574" s="2">
        <v>4</v>
      </c>
      <c r="J1574" s="2" t="s">
        <v>29</v>
      </c>
      <c r="K1574" s="2" t="s">
        <v>834</v>
      </c>
      <c r="L1574" s="2" t="s">
        <v>835</v>
      </c>
      <c r="M1574" s="2" t="s">
        <v>7367</v>
      </c>
      <c r="N1574" s="2" t="s">
        <v>185</v>
      </c>
      <c r="O1574" s="2" t="s">
        <v>28</v>
      </c>
      <c r="P1574" s="2" t="s">
        <v>151</v>
      </c>
      <c r="Q1574" s="2" t="s">
        <v>246</v>
      </c>
      <c r="R1574" s="2">
        <v>3</v>
      </c>
      <c r="S1574" s="2">
        <v>465.7</v>
      </c>
      <c r="T1574" s="2">
        <v>15</v>
      </c>
      <c r="U1574" s="2">
        <v>1187.53</v>
      </c>
      <c r="V1574" s="2">
        <v>541.98</v>
      </c>
      <c r="W1574" s="2">
        <v>645.54999999999995</v>
      </c>
      <c r="X1574" s="2">
        <v>54.36</v>
      </c>
      <c r="Y1574" s="2">
        <v>0</v>
      </c>
      <c r="Z1574" s="2" t="s">
        <v>30</v>
      </c>
      <c r="AA1574" s="2" t="s">
        <v>100</v>
      </c>
      <c r="AB1574" s="2" t="s">
        <v>101</v>
      </c>
      <c r="AC1574" s="2"/>
    </row>
    <row r="1575" spans="1:29" x14ac:dyDescent="0.3">
      <c r="A1575" s="3" t="s">
        <v>7368</v>
      </c>
      <c r="B1575" s="3" t="s">
        <v>7369</v>
      </c>
      <c r="C1575" s="3" t="s">
        <v>2729</v>
      </c>
      <c r="D1575" s="3" t="s">
        <v>7370</v>
      </c>
      <c r="E1575" s="3" t="s">
        <v>33</v>
      </c>
      <c r="F1575" s="3" t="s">
        <v>203</v>
      </c>
      <c r="G1575" s="3" t="s">
        <v>2712</v>
      </c>
      <c r="H1575" s="3" t="s">
        <v>1295</v>
      </c>
      <c r="I1575" s="3">
        <v>7</v>
      </c>
      <c r="J1575" s="3" t="s">
        <v>14</v>
      </c>
      <c r="K1575" s="3" t="s">
        <v>183</v>
      </c>
      <c r="L1575" s="3" t="s">
        <v>183</v>
      </c>
      <c r="M1575" s="3" t="s">
        <v>7371</v>
      </c>
      <c r="N1575" s="3" t="s">
        <v>136</v>
      </c>
      <c r="O1575" s="3" t="s">
        <v>28</v>
      </c>
      <c r="P1575" s="3" t="s">
        <v>137</v>
      </c>
      <c r="Q1575" s="3" t="s">
        <v>246</v>
      </c>
      <c r="R1575" s="3">
        <v>4</v>
      </c>
      <c r="S1575" s="3">
        <v>32735.41</v>
      </c>
      <c r="T1575" s="3">
        <v>10</v>
      </c>
      <c r="U1575" s="3">
        <v>117847.48</v>
      </c>
      <c r="V1575" s="3">
        <v>65505.51</v>
      </c>
      <c r="W1575" s="3">
        <v>52341.97</v>
      </c>
      <c r="X1575" s="3">
        <v>44.42</v>
      </c>
      <c r="Y1575" s="3">
        <v>199</v>
      </c>
      <c r="Z1575" s="3" t="s">
        <v>43</v>
      </c>
      <c r="AA1575" s="3" t="s">
        <v>186</v>
      </c>
      <c r="AB1575" s="3" t="s">
        <v>101</v>
      </c>
      <c r="AC1575" s="3"/>
    </row>
    <row r="1576" spans="1:29" x14ac:dyDescent="0.3">
      <c r="A1576" s="2" t="s">
        <v>7372</v>
      </c>
      <c r="B1576" s="2" t="s">
        <v>7373</v>
      </c>
      <c r="C1576" s="2" t="s">
        <v>1505</v>
      </c>
      <c r="D1576" s="2" t="s">
        <v>7374</v>
      </c>
      <c r="E1576" s="2" t="s">
        <v>42</v>
      </c>
      <c r="F1576" s="2" t="s">
        <v>605</v>
      </c>
      <c r="G1576" s="2" t="s">
        <v>233</v>
      </c>
      <c r="H1576" s="2" t="s">
        <v>235</v>
      </c>
      <c r="I1576" s="2">
        <v>6</v>
      </c>
      <c r="J1576" s="2" t="s">
        <v>29</v>
      </c>
      <c r="K1576" s="2" t="s">
        <v>148</v>
      </c>
      <c r="L1576" s="2" t="s">
        <v>148</v>
      </c>
      <c r="M1576" s="2" t="s">
        <v>7375</v>
      </c>
      <c r="N1576" s="2" t="s">
        <v>306</v>
      </c>
      <c r="O1576" s="2" t="s">
        <v>21</v>
      </c>
      <c r="P1576" s="2" t="s">
        <v>126</v>
      </c>
      <c r="Q1576" s="2" t="s">
        <v>138</v>
      </c>
      <c r="R1576" s="2">
        <v>5</v>
      </c>
      <c r="S1576" s="2">
        <v>30150.59</v>
      </c>
      <c r="T1576" s="2">
        <v>5</v>
      </c>
      <c r="U1576" s="2">
        <v>143215.29999999999</v>
      </c>
      <c r="V1576" s="2">
        <v>82135.520000000004</v>
      </c>
      <c r="W1576" s="2">
        <v>61079.78</v>
      </c>
      <c r="X1576" s="2">
        <v>42.65</v>
      </c>
      <c r="Y1576" s="2">
        <v>29</v>
      </c>
      <c r="Z1576" s="2" t="s">
        <v>40</v>
      </c>
      <c r="AA1576" s="2" t="s">
        <v>186</v>
      </c>
      <c r="AB1576" s="2" t="s">
        <v>101</v>
      </c>
      <c r="AC1576" s="2"/>
    </row>
    <row r="1577" spans="1:29" x14ac:dyDescent="0.3">
      <c r="A1577" s="3" t="s">
        <v>7376</v>
      </c>
      <c r="B1577" s="3" t="s">
        <v>4106</v>
      </c>
      <c r="C1577" s="3" t="s">
        <v>1364</v>
      </c>
      <c r="D1577" s="3" t="s">
        <v>7377</v>
      </c>
      <c r="E1577" s="3" t="s">
        <v>18</v>
      </c>
      <c r="F1577" s="3" t="s">
        <v>3721</v>
      </c>
      <c r="G1577" s="3" t="s">
        <v>2611</v>
      </c>
      <c r="H1577" s="3" t="s">
        <v>1070</v>
      </c>
      <c r="I1577" s="3">
        <v>4</v>
      </c>
      <c r="J1577" s="3" t="s">
        <v>22</v>
      </c>
      <c r="K1577" s="3" t="s">
        <v>122</v>
      </c>
      <c r="L1577" s="3" t="s">
        <v>236</v>
      </c>
      <c r="M1577" s="3" t="s">
        <v>7378</v>
      </c>
      <c r="N1577" s="3" t="s">
        <v>648</v>
      </c>
      <c r="O1577" s="3" t="s">
        <v>27</v>
      </c>
      <c r="P1577" s="3" t="s">
        <v>113</v>
      </c>
      <c r="Q1577" s="3" t="s">
        <v>99</v>
      </c>
      <c r="R1577" s="3">
        <v>5</v>
      </c>
      <c r="S1577" s="3">
        <v>44273.96</v>
      </c>
      <c r="T1577" s="3">
        <v>15</v>
      </c>
      <c r="U1577" s="3">
        <v>188164.33</v>
      </c>
      <c r="V1577" s="3">
        <v>100219.72</v>
      </c>
      <c r="W1577" s="3">
        <v>87944.61</v>
      </c>
      <c r="X1577" s="3">
        <v>46.74</v>
      </c>
      <c r="Y1577" s="3">
        <v>99</v>
      </c>
      <c r="Z1577" s="3" t="s">
        <v>15</v>
      </c>
      <c r="AA1577" s="3" t="s">
        <v>672</v>
      </c>
      <c r="AB1577" s="3" t="s">
        <v>101</v>
      </c>
      <c r="AC1577" s="3"/>
    </row>
    <row r="1578" spans="1:29" x14ac:dyDescent="0.3">
      <c r="A1578" s="2" t="s">
        <v>7379</v>
      </c>
      <c r="B1578" s="2" t="s">
        <v>7380</v>
      </c>
      <c r="C1578" s="2" t="s">
        <v>3547</v>
      </c>
      <c r="D1578" s="2" t="s">
        <v>7381</v>
      </c>
      <c r="E1578" s="2" t="s">
        <v>18</v>
      </c>
      <c r="F1578" s="2" t="s">
        <v>2883</v>
      </c>
      <c r="G1578" s="2" t="s">
        <v>1501</v>
      </c>
      <c r="H1578" s="2" t="s">
        <v>453</v>
      </c>
      <c r="I1578" s="2">
        <v>7</v>
      </c>
      <c r="J1578" s="2" t="s">
        <v>29</v>
      </c>
      <c r="K1578" s="2" t="s">
        <v>834</v>
      </c>
      <c r="L1578" s="2" t="s">
        <v>835</v>
      </c>
      <c r="M1578" s="2" t="s">
        <v>7382</v>
      </c>
      <c r="N1578" s="2" t="s">
        <v>765</v>
      </c>
      <c r="O1578" s="2" t="s">
        <v>27</v>
      </c>
      <c r="P1578" s="2" t="s">
        <v>113</v>
      </c>
      <c r="Q1578" s="2" t="s">
        <v>218</v>
      </c>
      <c r="R1578" s="2">
        <v>1</v>
      </c>
      <c r="S1578" s="2">
        <v>44992.36</v>
      </c>
      <c r="T1578" s="2">
        <v>0</v>
      </c>
      <c r="U1578" s="2">
        <v>44992.36</v>
      </c>
      <c r="V1578" s="2">
        <v>20838.34</v>
      </c>
      <c r="W1578" s="2">
        <v>24154.02</v>
      </c>
      <c r="X1578" s="2">
        <v>53.68</v>
      </c>
      <c r="Y1578" s="2">
        <v>199</v>
      </c>
      <c r="Z1578" s="2" t="s">
        <v>48</v>
      </c>
      <c r="AA1578" s="2" t="s">
        <v>100</v>
      </c>
      <c r="AB1578" s="2" t="s">
        <v>101</v>
      </c>
      <c r="AC1578" s="2">
        <v>3</v>
      </c>
    </row>
    <row r="1579" spans="1:29" x14ac:dyDescent="0.3">
      <c r="A1579" s="3" t="s">
        <v>7383</v>
      </c>
      <c r="B1579" s="3" t="s">
        <v>7384</v>
      </c>
      <c r="C1579" s="3" t="s">
        <v>1011</v>
      </c>
      <c r="D1579" s="3" t="s">
        <v>7385</v>
      </c>
      <c r="E1579" s="3" t="s">
        <v>18</v>
      </c>
      <c r="F1579" s="3" t="s">
        <v>5197</v>
      </c>
      <c r="G1579" s="3" t="s">
        <v>1592</v>
      </c>
      <c r="H1579" s="3" t="s">
        <v>548</v>
      </c>
      <c r="I1579" s="3">
        <v>3</v>
      </c>
      <c r="J1579" s="3" t="s">
        <v>14</v>
      </c>
      <c r="K1579" s="3" t="s">
        <v>95</v>
      </c>
      <c r="L1579" s="3" t="s">
        <v>95</v>
      </c>
      <c r="M1579" s="3" t="s">
        <v>7386</v>
      </c>
      <c r="N1579" s="3" t="s">
        <v>533</v>
      </c>
      <c r="O1579" s="3" t="s">
        <v>19</v>
      </c>
      <c r="P1579" s="3" t="s">
        <v>297</v>
      </c>
      <c r="Q1579" s="3" t="s">
        <v>197</v>
      </c>
      <c r="R1579" s="3">
        <v>3</v>
      </c>
      <c r="S1579" s="3">
        <v>33209.42</v>
      </c>
      <c r="T1579" s="3">
        <v>30</v>
      </c>
      <c r="U1579" s="3">
        <v>69739.78</v>
      </c>
      <c r="V1579" s="3">
        <v>34904.550000000003</v>
      </c>
      <c r="W1579" s="3">
        <v>34835.230000000003</v>
      </c>
      <c r="X1579" s="3">
        <v>49.95</v>
      </c>
      <c r="Y1579" s="3">
        <v>29</v>
      </c>
      <c r="Z1579" s="3" t="s">
        <v>30</v>
      </c>
      <c r="AA1579" s="3" t="s">
        <v>100</v>
      </c>
      <c r="AB1579" s="3" t="s">
        <v>101</v>
      </c>
      <c r="AC1579" s="3">
        <v>5</v>
      </c>
    </row>
    <row r="1580" spans="1:29" x14ac:dyDescent="0.3">
      <c r="A1580" s="2" t="s">
        <v>7387</v>
      </c>
      <c r="B1580" s="2" t="s">
        <v>4142</v>
      </c>
      <c r="C1580" s="2" t="s">
        <v>459</v>
      </c>
      <c r="D1580" s="2" t="s">
        <v>3204</v>
      </c>
      <c r="E1580" s="2" t="s">
        <v>18</v>
      </c>
      <c r="F1580" s="2" t="s">
        <v>4169</v>
      </c>
      <c r="G1580" s="2" t="s">
        <v>4044</v>
      </c>
      <c r="H1580" s="2" t="s">
        <v>2476</v>
      </c>
      <c r="I1580" s="2">
        <v>8</v>
      </c>
      <c r="J1580" s="2" t="s">
        <v>29</v>
      </c>
      <c r="K1580" s="2" t="s">
        <v>427</v>
      </c>
      <c r="L1580" s="2" t="s">
        <v>1081</v>
      </c>
      <c r="M1580" s="2" t="s">
        <v>7388</v>
      </c>
      <c r="N1580" s="2" t="s">
        <v>456</v>
      </c>
      <c r="O1580" s="2" t="s">
        <v>21</v>
      </c>
      <c r="P1580" s="2" t="s">
        <v>206</v>
      </c>
      <c r="Q1580" s="2" t="s">
        <v>608</v>
      </c>
      <c r="R1580" s="2">
        <v>1</v>
      </c>
      <c r="S1580" s="2">
        <v>11982.27</v>
      </c>
      <c r="T1580" s="2">
        <v>5</v>
      </c>
      <c r="U1580" s="2">
        <v>11383.16</v>
      </c>
      <c r="V1580" s="2">
        <v>7916.87</v>
      </c>
      <c r="W1580" s="2">
        <v>3466.29</v>
      </c>
      <c r="X1580" s="2">
        <v>30.45</v>
      </c>
      <c r="Y1580" s="2">
        <v>99</v>
      </c>
      <c r="Z1580" s="2" t="s">
        <v>40</v>
      </c>
      <c r="AA1580" s="2" t="s">
        <v>100</v>
      </c>
      <c r="AB1580" s="2" t="s">
        <v>101</v>
      </c>
      <c r="AC1580" s="2">
        <v>3</v>
      </c>
    </row>
    <row r="1581" spans="1:29" x14ac:dyDescent="0.3">
      <c r="A1581" s="3" t="s">
        <v>7389</v>
      </c>
      <c r="B1581" s="3" t="s">
        <v>7390</v>
      </c>
      <c r="C1581" s="3" t="s">
        <v>934</v>
      </c>
      <c r="D1581" s="3" t="s">
        <v>7391</v>
      </c>
      <c r="E1581" s="3" t="s">
        <v>18</v>
      </c>
      <c r="F1581" s="3" t="s">
        <v>2007</v>
      </c>
      <c r="G1581" s="3" t="s">
        <v>2424</v>
      </c>
      <c r="H1581" s="3" t="s">
        <v>627</v>
      </c>
      <c r="I1581" s="3">
        <v>7</v>
      </c>
      <c r="J1581" s="3" t="s">
        <v>22</v>
      </c>
      <c r="K1581" s="3" t="s">
        <v>254</v>
      </c>
      <c r="L1581" s="3" t="s">
        <v>254</v>
      </c>
      <c r="M1581" s="3" t="s">
        <v>7392</v>
      </c>
      <c r="N1581" s="3" t="s">
        <v>150</v>
      </c>
      <c r="O1581" s="3" t="s">
        <v>28</v>
      </c>
      <c r="P1581" s="3" t="s">
        <v>151</v>
      </c>
      <c r="Q1581" s="3" t="s">
        <v>127</v>
      </c>
      <c r="R1581" s="3">
        <v>4</v>
      </c>
      <c r="S1581" s="3">
        <v>24050.44</v>
      </c>
      <c r="T1581" s="3">
        <v>10</v>
      </c>
      <c r="U1581" s="3">
        <v>86581.58</v>
      </c>
      <c r="V1581" s="3">
        <v>46311.27</v>
      </c>
      <c r="W1581" s="3">
        <v>40270.31</v>
      </c>
      <c r="X1581" s="3">
        <v>46.51</v>
      </c>
      <c r="Y1581" s="3">
        <v>29</v>
      </c>
      <c r="Z1581" s="3" t="s">
        <v>48</v>
      </c>
      <c r="AA1581" s="3" t="s">
        <v>100</v>
      </c>
      <c r="AB1581" s="3" t="s">
        <v>101</v>
      </c>
      <c r="AC1581" s="3">
        <v>2</v>
      </c>
    </row>
    <row r="1582" spans="1:29" x14ac:dyDescent="0.3">
      <c r="A1582" s="2" t="s">
        <v>7393</v>
      </c>
      <c r="B1582" s="2" t="s">
        <v>7394</v>
      </c>
      <c r="C1582" s="2" t="s">
        <v>2151</v>
      </c>
      <c r="D1582" s="2" t="s">
        <v>7395</v>
      </c>
      <c r="E1582" s="2" t="s">
        <v>26</v>
      </c>
      <c r="F1582" s="2" t="s">
        <v>4101</v>
      </c>
      <c r="G1582" s="2" t="s">
        <v>303</v>
      </c>
      <c r="H1582" s="2" t="s">
        <v>304</v>
      </c>
      <c r="I1582" s="2">
        <v>5</v>
      </c>
      <c r="J1582" s="2" t="s">
        <v>22</v>
      </c>
      <c r="K1582" s="2" t="s">
        <v>122</v>
      </c>
      <c r="L1582" s="2" t="s">
        <v>812</v>
      </c>
      <c r="M1582" s="2" t="s">
        <v>7396</v>
      </c>
      <c r="N1582" s="2" t="s">
        <v>592</v>
      </c>
      <c r="O1582" s="2" t="s">
        <v>21</v>
      </c>
      <c r="P1582" s="2" t="s">
        <v>206</v>
      </c>
      <c r="Q1582" s="2" t="s">
        <v>99</v>
      </c>
      <c r="R1582" s="2">
        <v>4</v>
      </c>
      <c r="S1582" s="2">
        <v>43384.31</v>
      </c>
      <c r="T1582" s="2">
        <v>5</v>
      </c>
      <c r="U1582" s="2">
        <v>164860.38</v>
      </c>
      <c r="V1582" s="2">
        <v>90330.96</v>
      </c>
      <c r="W1582" s="2">
        <v>74529.42</v>
      </c>
      <c r="X1582" s="2">
        <v>45.21</v>
      </c>
      <c r="Y1582" s="2">
        <v>99</v>
      </c>
      <c r="Z1582" s="2" t="s">
        <v>43</v>
      </c>
      <c r="AA1582" s="2" t="s">
        <v>100</v>
      </c>
      <c r="AB1582" s="2" t="s">
        <v>101</v>
      </c>
      <c r="AC1582" s="2"/>
    </row>
    <row r="1583" spans="1:29" x14ac:dyDescent="0.3">
      <c r="A1583" s="3" t="s">
        <v>7397</v>
      </c>
      <c r="B1583" s="3" t="s">
        <v>7398</v>
      </c>
      <c r="C1583" s="3" t="s">
        <v>1085</v>
      </c>
      <c r="D1583" s="3" t="s">
        <v>7399</v>
      </c>
      <c r="E1583" s="3" t="s">
        <v>26</v>
      </c>
      <c r="F1583" s="3" t="s">
        <v>7400</v>
      </c>
      <c r="G1583" s="3" t="s">
        <v>2731</v>
      </c>
      <c r="H1583" s="3" t="s">
        <v>3428</v>
      </c>
      <c r="I1583" s="3">
        <v>4</v>
      </c>
      <c r="J1583" s="3" t="s">
        <v>39</v>
      </c>
      <c r="K1583" s="3" t="s">
        <v>193</v>
      </c>
      <c r="L1583" s="3" t="s">
        <v>193</v>
      </c>
      <c r="M1583" s="3" t="s">
        <v>7401</v>
      </c>
      <c r="N1583" s="3" t="s">
        <v>97</v>
      </c>
      <c r="O1583" s="3" t="s">
        <v>13</v>
      </c>
      <c r="P1583" s="3" t="s">
        <v>98</v>
      </c>
      <c r="Q1583" s="3" t="s">
        <v>608</v>
      </c>
      <c r="R1583" s="3">
        <v>2</v>
      </c>
      <c r="S1583" s="3">
        <v>20654.599999999999</v>
      </c>
      <c r="T1583" s="3">
        <v>30</v>
      </c>
      <c r="U1583" s="3">
        <v>28916.44</v>
      </c>
      <c r="V1583" s="3">
        <v>14226.71</v>
      </c>
      <c r="W1583" s="3">
        <v>14689.73</v>
      </c>
      <c r="X1583" s="3">
        <v>50.8</v>
      </c>
      <c r="Y1583" s="3">
        <v>29</v>
      </c>
      <c r="Z1583" s="3" t="s">
        <v>23</v>
      </c>
      <c r="AA1583" s="3" t="s">
        <v>100</v>
      </c>
      <c r="AB1583" s="3" t="s">
        <v>101</v>
      </c>
      <c r="AC1583" s="3">
        <v>1</v>
      </c>
    </row>
    <row r="1584" spans="1:29" x14ac:dyDescent="0.3">
      <c r="A1584" s="2" t="s">
        <v>7402</v>
      </c>
      <c r="B1584" s="2" t="s">
        <v>7403</v>
      </c>
      <c r="C1584" s="2" t="s">
        <v>1045</v>
      </c>
      <c r="D1584" s="2" t="s">
        <v>7404</v>
      </c>
      <c r="E1584" s="2" t="s">
        <v>33</v>
      </c>
      <c r="F1584" s="2" t="s">
        <v>4045</v>
      </c>
      <c r="G1584" s="2" t="s">
        <v>1435</v>
      </c>
      <c r="H1584" s="2" t="s">
        <v>1719</v>
      </c>
      <c r="I1584" s="2">
        <v>7</v>
      </c>
      <c r="J1584" s="2" t="s">
        <v>39</v>
      </c>
      <c r="K1584" s="2" t="s">
        <v>193</v>
      </c>
      <c r="L1584" s="2" t="s">
        <v>193</v>
      </c>
      <c r="M1584" s="2" t="s">
        <v>7405</v>
      </c>
      <c r="N1584" s="2" t="s">
        <v>327</v>
      </c>
      <c r="O1584" s="2" t="s">
        <v>27</v>
      </c>
      <c r="P1584" s="2" t="s">
        <v>113</v>
      </c>
      <c r="Q1584" s="2" t="s">
        <v>152</v>
      </c>
      <c r="R1584" s="2">
        <v>1</v>
      </c>
      <c r="S1584" s="2">
        <v>6546.29</v>
      </c>
      <c r="T1584" s="2">
        <v>20</v>
      </c>
      <c r="U1584" s="2">
        <v>5237.03</v>
      </c>
      <c r="V1584" s="2">
        <v>2752.62</v>
      </c>
      <c r="W1584" s="2">
        <v>2484.41</v>
      </c>
      <c r="X1584" s="2">
        <v>47.44</v>
      </c>
      <c r="Y1584" s="2">
        <v>0</v>
      </c>
      <c r="Z1584" s="2" t="s">
        <v>15</v>
      </c>
      <c r="AA1584" s="2" t="s">
        <v>100</v>
      </c>
      <c r="AB1584" s="2" t="s">
        <v>101</v>
      </c>
      <c r="AC1584" s="2">
        <v>1</v>
      </c>
    </row>
    <row r="1585" spans="1:29" x14ac:dyDescent="0.3">
      <c r="A1585" s="3" t="s">
        <v>7406</v>
      </c>
      <c r="B1585" s="3" t="s">
        <v>7407</v>
      </c>
      <c r="C1585" s="3" t="s">
        <v>2090</v>
      </c>
      <c r="D1585" s="3" t="s">
        <v>7408</v>
      </c>
      <c r="E1585" s="3" t="s">
        <v>26</v>
      </c>
      <c r="F1585" s="3" t="s">
        <v>1751</v>
      </c>
      <c r="G1585" s="3" t="s">
        <v>1320</v>
      </c>
      <c r="H1585" s="3" t="s">
        <v>4032</v>
      </c>
      <c r="I1585" s="3">
        <v>2</v>
      </c>
      <c r="J1585" s="3" t="s">
        <v>39</v>
      </c>
      <c r="K1585" s="3" t="s">
        <v>225</v>
      </c>
      <c r="L1585" s="3" t="s">
        <v>225</v>
      </c>
      <c r="M1585" s="3" t="s">
        <v>7409</v>
      </c>
      <c r="N1585" s="3" t="s">
        <v>1122</v>
      </c>
      <c r="O1585" s="3" t="s">
        <v>27</v>
      </c>
      <c r="P1585" s="3" t="s">
        <v>257</v>
      </c>
      <c r="Q1585" s="3" t="s">
        <v>218</v>
      </c>
      <c r="R1585" s="3">
        <v>3</v>
      </c>
      <c r="S1585" s="3">
        <v>31600.27</v>
      </c>
      <c r="T1585" s="3">
        <v>10</v>
      </c>
      <c r="U1585" s="3">
        <v>85320.73</v>
      </c>
      <c r="V1585" s="3">
        <v>57538.84</v>
      </c>
      <c r="W1585" s="3">
        <v>27781.89</v>
      </c>
      <c r="X1585" s="3">
        <v>32.56</v>
      </c>
      <c r="Y1585" s="3">
        <v>49</v>
      </c>
      <c r="Z1585" s="3" t="s">
        <v>15</v>
      </c>
      <c r="AA1585" s="3" t="s">
        <v>186</v>
      </c>
      <c r="AB1585" s="3" t="s">
        <v>101</v>
      </c>
      <c r="AC1585" s="3"/>
    </row>
    <row r="1586" spans="1:29" x14ac:dyDescent="0.3">
      <c r="A1586" s="2" t="s">
        <v>7410</v>
      </c>
      <c r="B1586" s="2" t="s">
        <v>4346</v>
      </c>
      <c r="C1586" s="2" t="s">
        <v>1899</v>
      </c>
      <c r="D1586" s="2" t="s">
        <v>7411</v>
      </c>
      <c r="E1586" s="2" t="s">
        <v>26</v>
      </c>
      <c r="F1586" s="2" t="s">
        <v>2489</v>
      </c>
      <c r="G1586" s="2" t="s">
        <v>4628</v>
      </c>
      <c r="H1586" s="2" t="s">
        <v>2143</v>
      </c>
      <c r="I1586" s="2">
        <v>2</v>
      </c>
      <c r="J1586" s="2" t="s">
        <v>14</v>
      </c>
      <c r="K1586" s="2" t="s">
        <v>183</v>
      </c>
      <c r="L1586" s="2" t="s">
        <v>183</v>
      </c>
      <c r="M1586" s="2" t="s">
        <v>7412</v>
      </c>
      <c r="N1586" s="2" t="s">
        <v>533</v>
      </c>
      <c r="O1586" s="2" t="s">
        <v>19</v>
      </c>
      <c r="P1586" s="2" t="s">
        <v>297</v>
      </c>
      <c r="Q1586" s="2" t="s">
        <v>207</v>
      </c>
      <c r="R1586" s="2">
        <v>3</v>
      </c>
      <c r="S1586" s="2">
        <v>36834.35</v>
      </c>
      <c r="T1586" s="2">
        <v>5</v>
      </c>
      <c r="U1586" s="2">
        <v>104977.9</v>
      </c>
      <c r="V1586" s="2">
        <v>50593.96</v>
      </c>
      <c r="W1586" s="2">
        <v>54383.94</v>
      </c>
      <c r="X1586" s="2">
        <v>51.81</v>
      </c>
      <c r="Y1586" s="2">
        <v>29</v>
      </c>
      <c r="Z1586" s="2" t="s">
        <v>40</v>
      </c>
      <c r="AA1586" s="2" t="s">
        <v>100</v>
      </c>
      <c r="AB1586" s="2" t="s">
        <v>101</v>
      </c>
      <c r="AC1586" s="2">
        <v>2</v>
      </c>
    </row>
    <row r="1587" spans="1:29" x14ac:dyDescent="0.3">
      <c r="A1587" s="3" t="s">
        <v>7413</v>
      </c>
      <c r="B1587" s="3" t="s">
        <v>7414</v>
      </c>
      <c r="C1587" s="3" t="s">
        <v>586</v>
      </c>
      <c r="D1587" s="3" t="s">
        <v>7415</v>
      </c>
      <c r="E1587" s="3" t="s">
        <v>26</v>
      </c>
      <c r="F1587" s="3" t="s">
        <v>2554</v>
      </c>
      <c r="G1587" s="3" t="s">
        <v>3128</v>
      </c>
      <c r="H1587" s="3" t="s">
        <v>3740</v>
      </c>
      <c r="I1587" s="3">
        <v>3</v>
      </c>
      <c r="J1587" s="3" t="s">
        <v>29</v>
      </c>
      <c r="K1587" s="3" t="s">
        <v>148</v>
      </c>
      <c r="L1587" s="3" t="s">
        <v>148</v>
      </c>
      <c r="M1587" s="3" t="s">
        <v>5349</v>
      </c>
      <c r="N1587" s="3" t="s">
        <v>740</v>
      </c>
      <c r="O1587" s="3" t="s">
        <v>21</v>
      </c>
      <c r="P1587" s="3" t="s">
        <v>126</v>
      </c>
      <c r="Q1587" s="3" t="s">
        <v>127</v>
      </c>
      <c r="R1587" s="3">
        <v>5</v>
      </c>
      <c r="S1587" s="3">
        <v>24543.91</v>
      </c>
      <c r="T1587" s="3">
        <v>5</v>
      </c>
      <c r="U1587" s="3">
        <v>116583.57</v>
      </c>
      <c r="V1587" s="3">
        <v>53231.76</v>
      </c>
      <c r="W1587" s="3">
        <v>63351.81</v>
      </c>
      <c r="X1587" s="3">
        <v>54.34</v>
      </c>
      <c r="Y1587" s="3">
        <v>0</v>
      </c>
      <c r="Z1587" s="3" t="s">
        <v>15</v>
      </c>
      <c r="AA1587" s="3" t="s">
        <v>100</v>
      </c>
      <c r="AB1587" s="3" t="s">
        <v>101</v>
      </c>
      <c r="AC1587" s="3">
        <v>2</v>
      </c>
    </row>
    <row r="1588" spans="1:29" x14ac:dyDescent="0.3">
      <c r="A1588" s="2" t="s">
        <v>7416</v>
      </c>
      <c r="B1588" s="2" t="s">
        <v>7417</v>
      </c>
      <c r="C1588" s="2" t="s">
        <v>4964</v>
      </c>
      <c r="D1588" s="2" t="s">
        <v>7418</v>
      </c>
      <c r="E1588" s="2" t="s">
        <v>18</v>
      </c>
      <c r="F1588" s="2" t="s">
        <v>606</v>
      </c>
      <c r="G1588" s="2" t="s">
        <v>234</v>
      </c>
      <c r="H1588" s="2" t="s">
        <v>235</v>
      </c>
      <c r="I1588" s="2">
        <v>4</v>
      </c>
      <c r="J1588" s="2" t="s">
        <v>39</v>
      </c>
      <c r="K1588" s="2" t="s">
        <v>109</v>
      </c>
      <c r="L1588" s="2" t="s">
        <v>134</v>
      </c>
      <c r="M1588" s="2" t="s">
        <v>5901</v>
      </c>
      <c r="N1588" s="2" t="s">
        <v>631</v>
      </c>
      <c r="O1588" s="2" t="s">
        <v>19</v>
      </c>
      <c r="P1588" s="2" t="s">
        <v>297</v>
      </c>
      <c r="Q1588" s="2" t="s">
        <v>287</v>
      </c>
      <c r="R1588" s="2">
        <v>2</v>
      </c>
      <c r="S1588" s="2">
        <v>26363.119999999999</v>
      </c>
      <c r="T1588" s="2">
        <v>10</v>
      </c>
      <c r="U1588" s="2">
        <v>47453.62</v>
      </c>
      <c r="V1588" s="2">
        <v>24932.98</v>
      </c>
      <c r="W1588" s="2">
        <v>22520.639999999999</v>
      </c>
      <c r="X1588" s="2">
        <v>47.46</v>
      </c>
      <c r="Y1588" s="2">
        <v>99</v>
      </c>
      <c r="Z1588" s="2" t="s">
        <v>43</v>
      </c>
      <c r="AA1588" s="2" t="s">
        <v>100</v>
      </c>
      <c r="AB1588" s="2" t="s">
        <v>101</v>
      </c>
      <c r="AC1588" s="2">
        <v>3</v>
      </c>
    </row>
    <row r="1589" spans="1:29" x14ac:dyDescent="0.3">
      <c r="A1589" s="3" t="s">
        <v>7419</v>
      </c>
      <c r="B1589" s="3" t="s">
        <v>7420</v>
      </c>
      <c r="C1589" s="3" t="s">
        <v>1286</v>
      </c>
      <c r="D1589" s="3" t="s">
        <v>1493</v>
      </c>
      <c r="E1589" s="3" t="s">
        <v>42</v>
      </c>
      <c r="F1589" s="3" t="s">
        <v>2617</v>
      </c>
      <c r="G1589" s="3" t="s">
        <v>1870</v>
      </c>
      <c r="H1589" s="3" t="s">
        <v>676</v>
      </c>
      <c r="I1589" s="3">
        <v>6</v>
      </c>
      <c r="J1589" s="3" t="s">
        <v>39</v>
      </c>
      <c r="K1589" s="3" t="s">
        <v>314</v>
      </c>
      <c r="L1589" s="3" t="s">
        <v>314</v>
      </c>
      <c r="M1589" s="3" t="s">
        <v>7421</v>
      </c>
      <c r="N1589" s="3" t="s">
        <v>1611</v>
      </c>
      <c r="O1589" s="3" t="s">
        <v>19</v>
      </c>
      <c r="P1589" s="3" t="s">
        <v>365</v>
      </c>
      <c r="Q1589" s="3" t="s">
        <v>152</v>
      </c>
      <c r="R1589" s="3">
        <v>2</v>
      </c>
      <c r="S1589" s="3">
        <v>30380.59</v>
      </c>
      <c r="T1589" s="3">
        <v>15</v>
      </c>
      <c r="U1589" s="3">
        <v>51647</v>
      </c>
      <c r="V1589" s="3">
        <v>29513.439999999999</v>
      </c>
      <c r="W1589" s="3">
        <v>22133.56</v>
      </c>
      <c r="X1589" s="3">
        <v>42.86</v>
      </c>
      <c r="Y1589" s="3">
        <v>49</v>
      </c>
      <c r="Z1589" s="3" t="s">
        <v>30</v>
      </c>
      <c r="AA1589" s="3" t="s">
        <v>100</v>
      </c>
      <c r="AB1589" s="3" t="s">
        <v>101</v>
      </c>
      <c r="AC1589" s="3">
        <v>3</v>
      </c>
    </row>
    <row r="1590" spans="1:29" x14ac:dyDescent="0.3">
      <c r="A1590" s="2" t="s">
        <v>7422</v>
      </c>
      <c r="B1590" s="2" t="s">
        <v>7423</v>
      </c>
      <c r="C1590" s="2" t="s">
        <v>210</v>
      </c>
      <c r="D1590" s="2" t="s">
        <v>7424</v>
      </c>
      <c r="E1590" s="2" t="s">
        <v>33</v>
      </c>
      <c r="F1590" s="2" t="s">
        <v>5029</v>
      </c>
      <c r="G1590" s="2" t="s">
        <v>820</v>
      </c>
      <c r="H1590" s="2" t="s">
        <v>929</v>
      </c>
      <c r="I1590" s="2">
        <v>6</v>
      </c>
      <c r="J1590" s="2" t="s">
        <v>22</v>
      </c>
      <c r="K1590" s="2" t="s">
        <v>738</v>
      </c>
      <c r="L1590" s="2" t="s">
        <v>738</v>
      </c>
      <c r="M1590" s="2" t="s">
        <v>7425</v>
      </c>
      <c r="N1590" s="2" t="s">
        <v>354</v>
      </c>
      <c r="O1590" s="2" t="s">
        <v>21</v>
      </c>
      <c r="P1590" s="2" t="s">
        <v>196</v>
      </c>
      <c r="Q1590" s="2" t="s">
        <v>466</v>
      </c>
      <c r="R1590" s="2">
        <v>2</v>
      </c>
      <c r="S1590" s="2">
        <v>29485.72</v>
      </c>
      <c r="T1590" s="2">
        <v>20</v>
      </c>
      <c r="U1590" s="2">
        <v>47177.15</v>
      </c>
      <c r="V1590" s="2">
        <v>26792.78</v>
      </c>
      <c r="W1590" s="2">
        <v>20384.37</v>
      </c>
      <c r="X1590" s="2">
        <v>43.21</v>
      </c>
      <c r="Y1590" s="2">
        <v>149</v>
      </c>
      <c r="Z1590" s="2" t="s">
        <v>40</v>
      </c>
      <c r="AA1590" s="2" t="s">
        <v>100</v>
      </c>
      <c r="AB1590" s="2" t="s">
        <v>101</v>
      </c>
      <c r="AC1590" s="2"/>
    </row>
    <row r="1591" spans="1:29" x14ac:dyDescent="0.3">
      <c r="A1591" s="3" t="s">
        <v>7426</v>
      </c>
      <c r="B1591" s="3" t="s">
        <v>7427</v>
      </c>
      <c r="C1591" s="3" t="s">
        <v>847</v>
      </c>
      <c r="D1591" s="3" t="s">
        <v>7428</v>
      </c>
      <c r="E1591" s="3" t="s">
        <v>33</v>
      </c>
      <c r="F1591" s="3" t="s">
        <v>1315</v>
      </c>
      <c r="G1591" s="3" t="s">
        <v>504</v>
      </c>
      <c r="H1591" s="3" t="s">
        <v>5736</v>
      </c>
      <c r="I1591" s="3">
        <v>6</v>
      </c>
      <c r="J1591" s="3" t="s">
        <v>29</v>
      </c>
      <c r="K1591" s="3" t="s">
        <v>148</v>
      </c>
      <c r="L1591" s="3" t="s">
        <v>148</v>
      </c>
      <c r="M1591" s="3" t="s">
        <v>4408</v>
      </c>
      <c r="N1591" s="3" t="s">
        <v>125</v>
      </c>
      <c r="O1591" s="3" t="s">
        <v>21</v>
      </c>
      <c r="P1591" s="3" t="s">
        <v>126</v>
      </c>
      <c r="Q1591" s="3" t="s">
        <v>355</v>
      </c>
      <c r="R1591" s="3">
        <v>5</v>
      </c>
      <c r="S1591" s="3">
        <v>18372.82</v>
      </c>
      <c r="T1591" s="3">
        <v>25</v>
      </c>
      <c r="U1591" s="3">
        <v>68898.080000000002</v>
      </c>
      <c r="V1591" s="3">
        <v>34823.550000000003</v>
      </c>
      <c r="W1591" s="3">
        <v>34074.53</v>
      </c>
      <c r="X1591" s="3">
        <v>49.46</v>
      </c>
      <c r="Y1591" s="3">
        <v>0</v>
      </c>
      <c r="Z1591" s="3" t="s">
        <v>48</v>
      </c>
      <c r="AA1591" s="3" t="s">
        <v>186</v>
      </c>
      <c r="AB1591" s="3" t="s">
        <v>101</v>
      </c>
      <c r="AC1591" s="3"/>
    </row>
    <row r="1592" spans="1:29" x14ac:dyDescent="0.3">
      <c r="A1592" s="2" t="s">
        <v>7429</v>
      </c>
      <c r="B1592" s="2" t="s">
        <v>209</v>
      </c>
      <c r="C1592" s="2" t="s">
        <v>200</v>
      </c>
      <c r="D1592" s="2" t="s">
        <v>7430</v>
      </c>
      <c r="E1592" s="2" t="s">
        <v>33</v>
      </c>
      <c r="F1592" s="2" t="s">
        <v>962</v>
      </c>
      <c r="G1592" s="2" t="s">
        <v>497</v>
      </c>
      <c r="H1592" s="2" t="s">
        <v>3885</v>
      </c>
      <c r="I1592" s="2">
        <v>6</v>
      </c>
      <c r="J1592" s="2" t="s">
        <v>39</v>
      </c>
      <c r="K1592" s="2" t="s">
        <v>225</v>
      </c>
      <c r="L1592" s="2" t="s">
        <v>225</v>
      </c>
      <c r="M1592" s="2" t="s">
        <v>2505</v>
      </c>
      <c r="N1592" s="2" t="s">
        <v>409</v>
      </c>
      <c r="O1592" s="2" t="s">
        <v>21</v>
      </c>
      <c r="P1592" s="2" t="s">
        <v>196</v>
      </c>
      <c r="Q1592" s="2" t="s">
        <v>114</v>
      </c>
      <c r="R1592" s="2">
        <v>4</v>
      </c>
      <c r="S1592" s="2">
        <v>13120.72</v>
      </c>
      <c r="T1592" s="2">
        <v>15</v>
      </c>
      <c r="U1592" s="2">
        <v>44610.45</v>
      </c>
      <c r="V1592" s="2">
        <v>29302.71</v>
      </c>
      <c r="W1592" s="2">
        <v>15307.74</v>
      </c>
      <c r="X1592" s="2">
        <v>34.31</v>
      </c>
      <c r="Y1592" s="2">
        <v>29</v>
      </c>
      <c r="Z1592" s="2" t="s">
        <v>40</v>
      </c>
      <c r="AA1592" s="2" t="s">
        <v>100</v>
      </c>
      <c r="AB1592" s="2" t="s">
        <v>101</v>
      </c>
      <c r="AC1592" s="2">
        <v>5</v>
      </c>
    </row>
    <row r="1593" spans="1:29" x14ac:dyDescent="0.3">
      <c r="A1593" s="3" t="s">
        <v>7431</v>
      </c>
      <c r="B1593" s="3" t="s">
        <v>3265</v>
      </c>
      <c r="C1593" s="3" t="s">
        <v>1464</v>
      </c>
      <c r="D1593" s="3" t="s">
        <v>7432</v>
      </c>
      <c r="E1593" s="3" t="s">
        <v>33</v>
      </c>
      <c r="F1593" s="3" t="s">
        <v>3005</v>
      </c>
      <c r="G1593" s="3" t="s">
        <v>3394</v>
      </c>
      <c r="H1593" s="3" t="s">
        <v>2757</v>
      </c>
      <c r="I1593" s="3">
        <v>4</v>
      </c>
      <c r="J1593" s="3" t="s">
        <v>29</v>
      </c>
      <c r="K1593" s="3" t="s">
        <v>834</v>
      </c>
      <c r="L1593" s="3" t="s">
        <v>835</v>
      </c>
      <c r="M1593" s="3" t="s">
        <v>7433</v>
      </c>
      <c r="N1593" s="3" t="s">
        <v>227</v>
      </c>
      <c r="O1593" s="3" t="s">
        <v>13</v>
      </c>
      <c r="P1593" s="3" t="s">
        <v>228</v>
      </c>
      <c r="Q1593" s="3" t="s">
        <v>99</v>
      </c>
      <c r="R1593" s="3">
        <v>1</v>
      </c>
      <c r="S1593" s="3">
        <v>20620.64</v>
      </c>
      <c r="T1593" s="3">
        <v>20</v>
      </c>
      <c r="U1593" s="3">
        <v>16496.509999999998</v>
      </c>
      <c r="V1593" s="3">
        <v>10286.42</v>
      </c>
      <c r="W1593" s="3">
        <v>6210.09</v>
      </c>
      <c r="X1593" s="3">
        <v>37.64</v>
      </c>
      <c r="Y1593" s="3">
        <v>99</v>
      </c>
      <c r="Z1593" s="3" t="s">
        <v>40</v>
      </c>
      <c r="AA1593" s="3" t="s">
        <v>100</v>
      </c>
      <c r="AB1593" s="3" t="s">
        <v>101</v>
      </c>
      <c r="AC1593" s="3">
        <v>1</v>
      </c>
    </row>
    <row r="1594" spans="1:29" x14ac:dyDescent="0.3">
      <c r="A1594" s="2" t="s">
        <v>7434</v>
      </c>
      <c r="B1594" s="2" t="s">
        <v>7435</v>
      </c>
      <c r="C1594" s="2" t="s">
        <v>300</v>
      </c>
      <c r="D1594" s="2" t="s">
        <v>7436</v>
      </c>
      <c r="E1594" s="2" t="s">
        <v>33</v>
      </c>
      <c r="F1594" s="2" t="s">
        <v>294</v>
      </c>
      <c r="G1594" s="2" t="s">
        <v>1343</v>
      </c>
      <c r="H1594" s="2" t="s">
        <v>1633</v>
      </c>
      <c r="I1594" s="2">
        <v>4</v>
      </c>
      <c r="J1594" s="2" t="s">
        <v>29</v>
      </c>
      <c r="K1594" s="2" t="s">
        <v>160</v>
      </c>
      <c r="L1594" s="2" t="s">
        <v>559</v>
      </c>
      <c r="M1594" s="2" t="s">
        <v>7437</v>
      </c>
      <c r="N1594" s="2" t="s">
        <v>750</v>
      </c>
      <c r="O1594" s="2" t="s">
        <v>13</v>
      </c>
      <c r="P1594" s="2" t="s">
        <v>419</v>
      </c>
      <c r="Q1594" s="2" t="s">
        <v>197</v>
      </c>
      <c r="R1594" s="2">
        <v>4</v>
      </c>
      <c r="S1594" s="2">
        <v>32857.29</v>
      </c>
      <c r="T1594" s="2">
        <v>5</v>
      </c>
      <c r="U1594" s="2">
        <v>124857.7</v>
      </c>
      <c r="V1594" s="2">
        <v>81791.350000000006</v>
      </c>
      <c r="W1594" s="2">
        <v>43066.35</v>
      </c>
      <c r="X1594" s="2">
        <v>34.49</v>
      </c>
      <c r="Y1594" s="2">
        <v>29</v>
      </c>
      <c r="Z1594" s="2" t="s">
        <v>15</v>
      </c>
      <c r="AA1594" s="2" t="s">
        <v>275</v>
      </c>
      <c r="AB1594" s="2" t="s">
        <v>101</v>
      </c>
      <c r="AC1594" s="2"/>
    </row>
    <row r="1595" spans="1:29" x14ac:dyDescent="0.3">
      <c r="A1595" s="3" t="s">
        <v>7438</v>
      </c>
      <c r="B1595" s="3" t="s">
        <v>7439</v>
      </c>
      <c r="C1595" s="3" t="s">
        <v>450</v>
      </c>
      <c r="D1595" s="3" t="s">
        <v>7440</v>
      </c>
      <c r="E1595" s="3" t="s">
        <v>42</v>
      </c>
      <c r="F1595" s="3" t="s">
        <v>3871</v>
      </c>
      <c r="G1595" s="3" t="s">
        <v>3317</v>
      </c>
      <c r="H1595" s="3" t="s">
        <v>6667</v>
      </c>
      <c r="I1595" s="3">
        <v>5</v>
      </c>
      <c r="J1595" s="3" t="s">
        <v>29</v>
      </c>
      <c r="K1595" s="3" t="s">
        <v>160</v>
      </c>
      <c r="L1595" s="3" t="s">
        <v>161</v>
      </c>
      <c r="M1595" s="3" t="s">
        <v>7441</v>
      </c>
      <c r="N1595" s="3" t="s">
        <v>484</v>
      </c>
      <c r="O1595" s="3" t="s">
        <v>13</v>
      </c>
      <c r="P1595" s="3" t="s">
        <v>98</v>
      </c>
      <c r="Q1595" s="3" t="s">
        <v>287</v>
      </c>
      <c r="R1595" s="3">
        <v>3</v>
      </c>
      <c r="S1595" s="3">
        <v>18924.79</v>
      </c>
      <c r="T1595" s="3">
        <v>15</v>
      </c>
      <c r="U1595" s="3">
        <v>48258.21</v>
      </c>
      <c r="V1595" s="3">
        <v>24415.15</v>
      </c>
      <c r="W1595" s="3">
        <v>23843.06</v>
      </c>
      <c r="X1595" s="3">
        <v>49.41</v>
      </c>
      <c r="Y1595" s="3">
        <v>29</v>
      </c>
      <c r="Z1595" s="3" t="s">
        <v>48</v>
      </c>
      <c r="AA1595" s="3" t="s">
        <v>186</v>
      </c>
      <c r="AB1595" s="3" t="s">
        <v>101</v>
      </c>
      <c r="AC1595" s="3"/>
    </row>
    <row r="1596" spans="1:29" x14ac:dyDescent="0.3">
      <c r="A1596" s="2" t="s">
        <v>7442</v>
      </c>
      <c r="B1596" s="2" t="s">
        <v>7443</v>
      </c>
      <c r="C1596" s="2" t="s">
        <v>1484</v>
      </c>
      <c r="D1596" s="2" t="s">
        <v>7444</v>
      </c>
      <c r="E1596" s="2" t="s">
        <v>42</v>
      </c>
      <c r="F1596" s="2" t="s">
        <v>1541</v>
      </c>
      <c r="G1596" s="2" t="s">
        <v>1679</v>
      </c>
      <c r="H1596" s="2" t="s">
        <v>2301</v>
      </c>
      <c r="I1596" s="2">
        <v>4</v>
      </c>
      <c r="J1596" s="2" t="s">
        <v>22</v>
      </c>
      <c r="K1596" s="2" t="s">
        <v>443</v>
      </c>
      <c r="L1596" s="2" t="s">
        <v>567</v>
      </c>
      <c r="M1596" s="2" t="s">
        <v>5025</v>
      </c>
      <c r="N1596" s="2" t="s">
        <v>217</v>
      </c>
      <c r="O1596" s="2" t="s">
        <v>21</v>
      </c>
      <c r="P1596" s="2" t="s">
        <v>206</v>
      </c>
      <c r="Q1596" s="2" t="s">
        <v>152</v>
      </c>
      <c r="R1596" s="2">
        <v>1</v>
      </c>
      <c r="S1596" s="2">
        <v>1217.6500000000001</v>
      </c>
      <c r="T1596" s="2">
        <v>15</v>
      </c>
      <c r="U1596" s="2">
        <v>1035</v>
      </c>
      <c r="V1596" s="2">
        <v>661.58</v>
      </c>
      <c r="W1596" s="2">
        <v>373.42</v>
      </c>
      <c r="X1596" s="2">
        <v>36.08</v>
      </c>
      <c r="Y1596" s="2">
        <v>0</v>
      </c>
      <c r="Z1596" s="2" t="s">
        <v>15</v>
      </c>
      <c r="AA1596" s="2" t="s">
        <v>100</v>
      </c>
      <c r="AB1596" s="2" t="s">
        <v>101</v>
      </c>
      <c r="AC1596" s="2">
        <v>1</v>
      </c>
    </row>
    <row r="1597" spans="1:29" x14ac:dyDescent="0.3">
      <c r="A1597" s="3" t="s">
        <v>7445</v>
      </c>
      <c r="B1597" s="3" t="s">
        <v>2390</v>
      </c>
      <c r="C1597" s="3" t="s">
        <v>1683</v>
      </c>
      <c r="D1597" s="3" t="s">
        <v>7446</v>
      </c>
      <c r="E1597" s="3" t="s">
        <v>18</v>
      </c>
      <c r="F1597" s="3" t="s">
        <v>3378</v>
      </c>
      <c r="G1597" s="3" t="s">
        <v>3124</v>
      </c>
      <c r="H1597" s="3" t="s">
        <v>2198</v>
      </c>
      <c r="I1597" s="3">
        <v>2</v>
      </c>
      <c r="J1597" s="3" t="s">
        <v>22</v>
      </c>
      <c r="K1597" s="3" t="s">
        <v>283</v>
      </c>
      <c r="L1597" s="3" t="s">
        <v>748</v>
      </c>
      <c r="M1597" s="3" t="s">
        <v>7447</v>
      </c>
      <c r="N1597" s="3" t="s">
        <v>286</v>
      </c>
      <c r="O1597" s="3" t="s">
        <v>28</v>
      </c>
      <c r="P1597" s="3" t="s">
        <v>137</v>
      </c>
      <c r="Q1597" s="3" t="s">
        <v>207</v>
      </c>
      <c r="R1597" s="3">
        <v>3</v>
      </c>
      <c r="S1597" s="3">
        <v>27075.7</v>
      </c>
      <c r="T1597" s="3">
        <v>20</v>
      </c>
      <c r="U1597" s="3">
        <v>64981.68</v>
      </c>
      <c r="V1597" s="3">
        <v>34291.370000000003</v>
      </c>
      <c r="W1597" s="3">
        <v>30690.31</v>
      </c>
      <c r="X1597" s="3">
        <v>47.23</v>
      </c>
      <c r="Y1597" s="3">
        <v>199</v>
      </c>
      <c r="Z1597" s="3" t="s">
        <v>40</v>
      </c>
      <c r="AA1597" s="3" t="s">
        <v>100</v>
      </c>
      <c r="AB1597" s="3" t="s">
        <v>101</v>
      </c>
      <c r="AC1597" s="3">
        <v>4</v>
      </c>
    </row>
    <row r="1598" spans="1:29" x14ac:dyDescent="0.3">
      <c r="A1598" s="2" t="s">
        <v>7448</v>
      </c>
      <c r="B1598" s="2" t="s">
        <v>7449</v>
      </c>
      <c r="C1598" s="2" t="s">
        <v>1484</v>
      </c>
      <c r="D1598" s="2" t="s">
        <v>7450</v>
      </c>
      <c r="E1598" s="2" t="s">
        <v>33</v>
      </c>
      <c r="F1598" s="2" t="s">
        <v>2801</v>
      </c>
      <c r="G1598" s="2" t="s">
        <v>7451</v>
      </c>
      <c r="H1598" s="2" t="s">
        <v>2433</v>
      </c>
      <c r="I1598" s="2">
        <v>5</v>
      </c>
      <c r="J1598" s="2" t="s">
        <v>22</v>
      </c>
      <c r="K1598" s="2" t="s">
        <v>443</v>
      </c>
      <c r="L1598" s="2" t="s">
        <v>498</v>
      </c>
      <c r="M1598" s="2" t="s">
        <v>6716</v>
      </c>
      <c r="N1598" s="2" t="s">
        <v>583</v>
      </c>
      <c r="O1598" s="2" t="s">
        <v>19</v>
      </c>
      <c r="P1598" s="2" t="s">
        <v>447</v>
      </c>
      <c r="Q1598" s="2" t="s">
        <v>152</v>
      </c>
      <c r="R1598" s="2">
        <v>2</v>
      </c>
      <c r="S1598" s="2">
        <v>37104.85</v>
      </c>
      <c r="T1598" s="2">
        <v>20</v>
      </c>
      <c r="U1598" s="2">
        <v>59367.76</v>
      </c>
      <c r="V1598" s="2">
        <v>31359</v>
      </c>
      <c r="W1598" s="2">
        <v>28008.76</v>
      </c>
      <c r="X1598" s="2">
        <v>47.18</v>
      </c>
      <c r="Y1598" s="2">
        <v>29</v>
      </c>
      <c r="Z1598" s="2" t="s">
        <v>43</v>
      </c>
      <c r="AA1598" s="2" t="s">
        <v>100</v>
      </c>
      <c r="AB1598" s="2" t="s">
        <v>101</v>
      </c>
      <c r="AC1598" s="2">
        <v>5</v>
      </c>
    </row>
    <row r="1599" spans="1:29" x14ac:dyDescent="0.3">
      <c r="A1599" s="3" t="s">
        <v>7452</v>
      </c>
      <c r="B1599" s="3" t="s">
        <v>7453</v>
      </c>
      <c r="C1599" s="3" t="s">
        <v>782</v>
      </c>
      <c r="D1599" s="3" t="s">
        <v>4791</v>
      </c>
      <c r="E1599" s="3" t="s">
        <v>26</v>
      </c>
      <c r="F1599" s="3" t="s">
        <v>1777</v>
      </c>
      <c r="G1599" s="3" t="s">
        <v>6124</v>
      </c>
      <c r="H1599" s="3" t="s">
        <v>4191</v>
      </c>
      <c r="I1599" s="3">
        <v>4</v>
      </c>
      <c r="J1599" s="3" t="s">
        <v>39</v>
      </c>
      <c r="K1599" s="3" t="s">
        <v>314</v>
      </c>
      <c r="L1599" s="3" t="s">
        <v>314</v>
      </c>
      <c r="M1599" s="3" t="s">
        <v>7454</v>
      </c>
      <c r="N1599" s="3" t="s">
        <v>185</v>
      </c>
      <c r="O1599" s="3" t="s">
        <v>28</v>
      </c>
      <c r="P1599" s="3" t="s">
        <v>151</v>
      </c>
      <c r="Q1599" s="3" t="s">
        <v>246</v>
      </c>
      <c r="R1599" s="3">
        <v>2</v>
      </c>
      <c r="S1599" s="3">
        <v>22522.09</v>
      </c>
      <c r="T1599" s="3">
        <v>15</v>
      </c>
      <c r="U1599" s="3">
        <v>38287.550000000003</v>
      </c>
      <c r="V1599" s="3">
        <v>25113.82</v>
      </c>
      <c r="W1599" s="3">
        <v>13173.73</v>
      </c>
      <c r="X1599" s="3">
        <v>34.409999999999997</v>
      </c>
      <c r="Y1599" s="3">
        <v>199</v>
      </c>
      <c r="Z1599" s="3" t="s">
        <v>43</v>
      </c>
      <c r="AA1599" s="3" t="s">
        <v>100</v>
      </c>
      <c r="AB1599" s="3" t="s">
        <v>101</v>
      </c>
      <c r="AC1599" s="3">
        <v>4</v>
      </c>
    </row>
    <row r="1600" spans="1:29" x14ac:dyDescent="0.3">
      <c r="A1600" s="2" t="s">
        <v>7455</v>
      </c>
      <c r="B1600" s="2" t="s">
        <v>7456</v>
      </c>
      <c r="C1600" s="2" t="s">
        <v>1606</v>
      </c>
      <c r="D1600" s="2" t="s">
        <v>7457</v>
      </c>
      <c r="E1600" s="2" t="s">
        <v>26</v>
      </c>
      <c r="F1600" s="2" t="s">
        <v>3669</v>
      </c>
      <c r="G1600" s="2" t="s">
        <v>1118</v>
      </c>
      <c r="H1600" s="2" t="s">
        <v>7458</v>
      </c>
      <c r="I1600" s="2">
        <v>7</v>
      </c>
      <c r="J1600" s="2" t="s">
        <v>22</v>
      </c>
      <c r="K1600" s="2" t="s">
        <v>122</v>
      </c>
      <c r="L1600" s="2" t="s">
        <v>812</v>
      </c>
      <c r="M1600" s="2" t="s">
        <v>7459</v>
      </c>
      <c r="N1600" s="2" t="s">
        <v>765</v>
      </c>
      <c r="O1600" s="2" t="s">
        <v>27</v>
      </c>
      <c r="P1600" s="2" t="s">
        <v>113</v>
      </c>
      <c r="Q1600" s="2" t="s">
        <v>138</v>
      </c>
      <c r="R1600" s="2">
        <v>2</v>
      </c>
      <c r="S1600" s="2">
        <v>23941.42</v>
      </c>
      <c r="T1600" s="2">
        <v>20</v>
      </c>
      <c r="U1600" s="2">
        <v>38306.269999999997</v>
      </c>
      <c r="V1600" s="2">
        <v>25267.87</v>
      </c>
      <c r="W1600" s="2">
        <v>13038.4</v>
      </c>
      <c r="X1600" s="2">
        <v>34.04</v>
      </c>
      <c r="Y1600" s="2">
        <v>49</v>
      </c>
      <c r="Z1600" s="2" t="s">
        <v>48</v>
      </c>
      <c r="AA1600" s="2" t="s">
        <v>100</v>
      </c>
      <c r="AB1600" s="2" t="s">
        <v>101</v>
      </c>
      <c r="AC1600" s="2">
        <v>3</v>
      </c>
    </row>
    <row r="1601" spans="1:29" x14ac:dyDescent="0.3">
      <c r="A1601" s="3" t="s">
        <v>7460</v>
      </c>
      <c r="B1601" s="3" t="s">
        <v>7461</v>
      </c>
      <c r="C1601" s="3" t="s">
        <v>967</v>
      </c>
      <c r="D1601" s="3" t="s">
        <v>7462</v>
      </c>
      <c r="E1601" s="3" t="s">
        <v>33</v>
      </c>
      <c r="F1601" s="3" t="s">
        <v>182</v>
      </c>
      <c r="G1601" s="3" t="s">
        <v>2866</v>
      </c>
      <c r="H1601" s="3" t="s">
        <v>523</v>
      </c>
      <c r="I1601" s="3">
        <v>2</v>
      </c>
      <c r="J1601" s="3" t="s">
        <v>14</v>
      </c>
      <c r="K1601" s="3" t="s">
        <v>215</v>
      </c>
      <c r="L1601" s="3" t="s">
        <v>215</v>
      </c>
      <c r="M1601" s="3" t="s">
        <v>749</v>
      </c>
      <c r="N1601" s="3" t="s">
        <v>174</v>
      </c>
      <c r="O1601" s="3" t="s">
        <v>27</v>
      </c>
      <c r="P1601" s="3" t="s">
        <v>175</v>
      </c>
      <c r="Q1601" s="3" t="s">
        <v>152</v>
      </c>
      <c r="R1601" s="3">
        <v>4</v>
      </c>
      <c r="S1601" s="3">
        <v>6712.96</v>
      </c>
      <c r="T1601" s="3">
        <v>25</v>
      </c>
      <c r="U1601" s="3">
        <v>20138.88</v>
      </c>
      <c r="V1601" s="3">
        <v>13972.59</v>
      </c>
      <c r="W1601" s="3">
        <v>6166.29</v>
      </c>
      <c r="X1601" s="3">
        <v>30.62</v>
      </c>
      <c r="Y1601" s="3">
        <v>29</v>
      </c>
      <c r="Z1601" s="3" t="s">
        <v>43</v>
      </c>
      <c r="AA1601" s="3" t="s">
        <v>100</v>
      </c>
      <c r="AB1601" s="3" t="s">
        <v>101</v>
      </c>
      <c r="AC1601" s="3">
        <v>5</v>
      </c>
    </row>
    <row r="1602" spans="1:29" x14ac:dyDescent="0.3">
      <c r="A1602" s="2" t="s">
        <v>7463</v>
      </c>
      <c r="B1602" s="2" t="s">
        <v>7464</v>
      </c>
      <c r="C1602" s="2" t="s">
        <v>1152</v>
      </c>
      <c r="D1602" s="2" t="s">
        <v>7465</v>
      </c>
      <c r="E1602" s="2" t="s">
        <v>18</v>
      </c>
      <c r="F1602" s="2" t="s">
        <v>1841</v>
      </c>
      <c r="G1602" s="2" t="s">
        <v>1868</v>
      </c>
      <c r="H1602" s="2" t="s">
        <v>395</v>
      </c>
      <c r="I1602" s="2">
        <v>3</v>
      </c>
      <c r="J1602" s="2" t="s">
        <v>29</v>
      </c>
      <c r="K1602" s="2" t="s">
        <v>427</v>
      </c>
      <c r="L1602" s="2" t="s">
        <v>428</v>
      </c>
      <c r="M1602" s="2" t="s">
        <v>6808</v>
      </c>
      <c r="N1602" s="2" t="s">
        <v>1535</v>
      </c>
      <c r="O1602" s="2" t="s">
        <v>13</v>
      </c>
      <c r="P1602" s="2" t="s">
        <v>98</v>
      </c>
      <c r="Q1602" s="2" t="s">
        <v>99</v>
      </c>
      <c r="R1602" s="2">
        <v>2</v>
      </c>
      <c r="S1602" s="2">
        <v>12044.87</v>
      </c>
      <c r="T1602" s="2">
        <v>30</v>
      </c>
      <c r="U1602" s="2">
        <v>16862.82</v>
      </c>
      <c r="V1602" s="2">
        <v>7895.61</v>
      </c>
      <c r="W1602" s="2">
        <v>8967.2099999999991</v>
      </c>
      <c r="X1602" s="2">
        <v>53.18</v>
      </c>
      <c r="Y1602" s="2">
        <v>199</v>
      </c>
      <c r="Z1602" s="2" t="s">
        <v>23</v>
      </c>
      <c r="AA1602" s="2" t="s">
        <v>100</v>
      </c>
      <c r="AB1602" s="2" t="s">
        <v>101</v>
      </c>
      <c r="AC1602" s="2">
        <v>2</v>
      </c>
    </row>
    <row r="1603" spans="1:29" x14ac:dyDescent="0.3">
      <c r="A1603" s="3" t="s">
        <v>7466</v>
      </c>
      <c r="B1603" s="3" t="s">
        <v>5258</v>
      </c>
      <c r="C1603" s="3" t="s">
        <v>2651</v>
      </c>
      <c r="D1603" s="3" t="s">
        <v>7467</v>
      </c>
      <c r="E1603" s="3" t="s">
        <v>26</v>
      </c>
      <c r="F1603" s="3" t="s">
        <v>1408</v>
      </c>
      <c r="G1603" s="3" t="s">
        <v>372</v>
      </c>
      <c r="H1603" s="3" t="s">
        <v>785</v>
      </c>
      <c r="I1603" s="3">
        <v>4</v>
      </c>
      <c r="J1603" s="3" t="s">
        <v>14</v>
      </c>
      <c r="K1603" s="3" t="s">
        <v>95</v>
      </c>
      <c r="L1603" s="3" t="s">
        <v>95</v>
      </c>
      <c r="M1603" s="3" t="s">
        <v>7468</v>
      </c>
      <c r="N1603" s="3" t="s">
        <v>686</v>
      </c>
      <c r="O1603" s="3" t="s">
        <v>13</v>
      </c>
      <c r="P1603" s="3" t="s">
        <v>228</v>
      </c>
      <c r="Q1603" s="3" t="s">
        <v>207</v>
      </c>
      <c r="R1603" s="3">
        <v>4</v>
      </c>
      <c r="S1603" s="3">
        <v>47349.34</v>
      </c>
      <c r="T1603" s="3">
        <v>20</v>
      </c>
      <c r="U1603" s="3">
        <v>151517.89000000001</v>
      </c>
      <c r="V1603" s="3">
        <v>102270.57</v>
      </c>
      <c r="W1603" s="3">
        <v>49247.32</v>
      </c>
      <c r="X1603" s="3">
        <v>32.5</v>
      </c>
      <c r="Y1603" s="3">
        <v>149</v>
      </c>
      <c r="Z1603" s="3" t="s">
        <v>15</v>
      </c>
      <c r="AA1603" s="3" t="s">
        <v>100</v>
      </c>
      <c r="AB1603" s="3" t="s">
        <v>101</v>
      </c>
      <c r="AC1603" s="3">
        <v>4</v>
      </c>
    </row>
    <row r="1604" spans="1:29" x14ac:dyDescent="0.3">
      <c r="A1604" s="2" t="s">
        <v>7469</v>
      </c>
      <c r="B1604" s="2" t="s">
        <v>7470</v>
      </c>
      <c r="C1604" s="2" t="s">
        <v>521</v>
      </c>
      <c r="D1604" s="2" t="s">
        <v>7471</v>
      </c>
      <c r="E1604" s="2" t="s">
        <v>26</v>
      </c>
      <c r="F1604" s="2" t="s">
        <v>5402</v>
      </c>
      <c r="G1604" s="2" t="s">
        <v>2493</v>
      </c>
      <c r="H1604" s="2" t="s">
        <v>4168</v>
      </c>
      <c r="I1604" s="2">
        <v>5</v>
      </c>
      <c r="J1604" s="2" t="s">
        <v>29</v>
      </c>
      <c r="K1604" s="2" t="s">
        <v>834</v>
      </c>
      <c r="L1604" s="2" t="s">
        <v>835</v>
      </c>
      <c r="M1604" s="2" t="s">
        <v>5256</v>
      </c>
      <c r="N1604" s="2" t="s">
        <v>924</v>
      </c>
      <c r="O1604" s="2" t="s">
        <v>13</v>
      </c>
      <c r="P1604" s="2" t="s">
        <v>228</v>
      </c>
      <c r="Q1604" s="2" t="s">
        <v>138</v>
      </c>
      <c r="R1604" s="2">
        <v>3</v>
      </c>
      <c r="S1604" s="2">
        <v>41590.74</v>
      </c>
      <c r="T1604" s="2">
        <v>5</v>
      </c>
      <c r="U1604" s="2">
        <v>118533.61</v>
      </c>
      <c r="V1604" s="2">
        <v>66453.570000000007</v>
      </c>
      <c r="W1604" s="2">
        <v>52080.04</v>
      </c>
      <c r="X1604" s="2">
        <v>43.94</v>
      </c>
      <c r="Y1604" s="2">
        <v>99</v>
      </c>
      <c r="Z1604" s="2" t="s">
        <v>47</v>
      </c>
      <c r="AA1604" s="2" t="s">
        <v>100</v>
      </c>
      <c r="AB1604" s="2" t="s">
        <v>101</v>
      </c>
      <c r="AC1604" s="2">
        <v>3</v>
      </c>
    </row>
    <row r="1605" spans="1:29" x14ac:dyDescent="0.3">
      <c r="A1605" s="3" t="s">
        <v>7472</v>
      </c>
      <c r="B1605" s="3" t="s">
        <v>7473</v>
      </c>
      <c r="C1605" s="3" t="s">
        <v>1782</v>
      </c>
      <c r="D1605" s="3" t="s">
        <v>7474</v>
      </c>
      <c r="E1605" s="3" t="s">
        <v>18</v>
      </c>
      <c r="F1605" s="3" t="s">
        <v>2013</v>
      </c>
      <c r="G1605" s="3" t="s">
        <v>2294</v>
      </c>
      <c r="H1605" s="3" t="s">
        <v>7475</v>
      </c>
      <c r="I1605" s="3">
        <v>7</v>
      </c>
      <c r="J1605" s="3" t="s">
        <v>22</v>
      </c>
      <c r="K1605" s="3" t="s">
        <v>254</v>
      </c>
      <c r="L1605" s="3" t="s">
        <v>254</v>
      </c>
      <c r="M1605" s="3" t="s">
        <v>7476</v>
      </c>
      <c r="N1605" s="3" t="s">
        <v>390</v>
      </c>
      <c r="O1605" s="3" t="s">
        <v>19</v>
      </c>
      <c r="P1605" s="3" t="s">
        <v>297</v>
      </c>
      <c r="Q1605" s="3" t="s">
        <v>509</v>
      </c>
      <c r="R1605" s="3">
        <v>2</v>
      </c>
      <c r="S1605" s="3">
        <v>11373.37</v>
      </c>
      <c r="T1605" s="3">
        <v>0</v>
      </c>
      <c r="U1605" s="3">
        <v>22746.74</v>
      </c>
      <c r="V1605" s="3">
        <v>15862.67</v>
      </c>
      <c r="W1605" s="3">
        <v>6884.07</v>
      </c>
      <c r="X1605" s="3">
        <v>30.26</v>
      </c>
      <c r="Y1605" s="3">
        <v>199</v>
      </c>
      <c r="Z1605" s="3" t="s">
        <v>30</v>
      </c>
      <c r="AA1605" s="3" t="s">
        <v>139</v>
      </c>
      <c r="AB1605" s="3" t="s">
        <v>140</v>
      </c>
      <c r="AC1605" s="3"/>
    </row>
    <row r="1606" spans="1:29" x14ac:dyDescent="0.3">
      <c r="A1606" s="2" t="s">
        <v>7477</v>
      </c>
      <c r="B1606" s="2" t="s">
        <v>7478</v>
      </c>
      <c r="C1606" s="2" t="s">
        <v>377</v>
      </c>
      <c r="D1606" s="2" t="s">
        <v>6211</v>
      </c>
      <c r="E1606" s="2" t="s">
        <v>18</v>
      </c>
      <c r="F1606" s="2" t="s">
        <v>133</v>
      </c>
      <c r="G1606" s="2" t="s">
        <v>2327</v>
      </c>
      <c r="H1606" s="2" t="s">
        <v>3010</v>
      </c>
      <c r="I1606" s="2">
        <v>8</v>
      </c>
      <c r="J1606" s="2" t="s">
        <v>29</v>
      </c>
      <c r="K1606" s="2" t="s">
        <v>834</v>
      </c>
      <c r="L1606" s="2" t="s">
        <v>901</v>
      </c>
      <c r="M1606" s="2" t="s">
        <v>7479</v>
      </c>
      <c r="N1606" s="2" t="s">
        <v>266</v>
      </c>
      <c r="O1606" s="2" t="s">
        <v>28</v>
      </c>
      <c r="P1606" s="2" t="s">
        <v>151</v>
      </c>
      <c r="Q1606" s="2" t="s">
        <v>114</v>
      </c>
      <c r="R1606" s="2">
        <v>1</v>
      </c>
      <c r="S1606" s="2">
        <v>4774.68</v>
      </c>
      <c r="T1606" s="2">
        <v>30</v>
      </c>
      <c r="U1606" s="2">
        <v>3342.28</v>
      </c>
      <c r="V1606" s="2">
        <v>1898.33</v>
      </c>
      <c r="W1606" s="2">
        <v>1443.95</v>
      </c>
      <c r="X1606" s="2">
        <v>43.2</v>
      </c>
      <c r="Y1606" s="2">
        <v>0</v>
      </c>
      <c r="Z1606" s="2" t="s">
        <v>15</v>
      </c>
      <c r="AA1606" s="2" t="s">
        <v>100</v>
      </c>
      <c r="AB1606" s="2" t="s">
        <v>101</v>
      </c>
      <c r="AC1606" s="2">
        <v>1</v>
      </c>
    </row>
    <row r="1607" spans="1:29" x14ac:dyDescent="0.3">
      <c r="A1607" s="3" t="s">
        <v>7480</v>
      </c>
      <c r="B1607" s="3" t="s">
        <v>7481</v>
      </c>
      <c r="C1607" s="3" t="s">
        <v>1159</v>
      </c>
      <c r="D1607" s="3" t="s">
        <v>7482</v>
      </c>
      <c r="E1607" s="3" t="s">
        <v>42</v>
      </c>
      <c r="F1607" s="3" t="s">
        <v>5295</v>
      </c>
      <c r="G1607" s="3" t="s">
        <v>1212</v>
      </c>
      <c r="H1607" s="3" t="s">
        <v>132</v>
      </c>
      <c r="I1607" s="3">
        <v>8</v>
      </c>
      <c r="J1607" s="3" t="s">
        <v>14</v>
      </c>
      <c r="K1607" s="3" t="s">
        <v>95</v>
      </c>
      <c r="L1607" s="3" t="s">
        <v>95</v>
      </c>
      <c r="M1607" s="3" t="s">
        <v>455</v>
      </c>
      <c r="N1607" s="3" t="s">
        <v>686</v>
      </c>
      <c r="O1607" s="3" t="s">
        <v>13</v>
      </c>
      <c r="P1607" s="3" t="s">
        <v>228</v>
      </c>
      <c r="Q1607" s="3" t="s">
        <v>466</v>
      </c>
      <c r="R1607" s="3">
        <v>5</v>
      </c>
      <c r="S1607" s="3">
        <v>40783.42</v>
      </c>
      <c r="T1607" s="3">
        <v>20</v>
      </c>
      <c r="U1607" s="3">
        <v>163133.68</v>
      </c>
      <c r="V1607" s="3">
        <v>107204.45</v>
      </c>
      <c r="W1607" s="3">
        <v>55929.23</v>
      </c>
      <c r="X1607" s="3">
        <v>34.28</v>
      </c>
      <c r="Y1607" s="3">
        <v>0</v>
      </c>
      <c r="Z1607" s="3" t="s">
        <v>15</v>
      </c>
      <c r="AA1607" s="3" t="s">
        <v>100</v>
      </c>
      <c r="AB1607" s="3" t="s">
        <v>101</v>
      </c>
      <c r="AC1607" s="3">
        <v>2</v>
      </c>
    </row>
    <row r="1608" spans="1:29" x14ac:dyDescent="0.3">
      <c r="A1608" s="2" t="s">
        <v>7483</v>
      </c>
      <c r="B1608" s="2" t="s">
        <v>7484</v>
      </c>
      <c r="C1608" s="2" t="s">
        <v>1981</v>
      </c>
      <c r="D1608" s="2" t="s">
        <v>7485</v>
      </c>
      <c r="E1608" s="2" t="s">
        <v>18</v>
      </c>
      <c r="F1608" s="2" t="s">
        <v>5977</v>
      </c>
      <c r="G1608" s="2" t="s">
        <v>192</v>
      </c>
      <c r="H1608" s="2" t="s">
        <v>936</v>
      </c>
      <c r="I1608" s="2">
        <v>6</v>
      </c>
      <c r="J1608" s="2" t="s">
        <v>39</v>
      </c>
      <c r="K1608" s="2" t="s">
        <v>225</v>
      </c>
      <c r="L1608" s="2" t="s">
        <v>225</v>
      </c>
      <c r="M1608" s="2" t="s">
        <v>7486</v>
      </c>
      <c r="N1608" s="2" t="s">
        <v>1535</v>
      </c>
      <c r="O1608" s="2" t="s">
        <v>13</v>
      </c>
      <c r="P1608" s="2" t="s">
        <v>98</v>
      </c>
      <c r="Q1608" s="2" t="s">
        <v>287</v>
      </c>
      <c r="R1608" s="2">
        <v>3</v>
      </c>
      <c r="S1608" s="2">
        <v>18814.46</v>
      </c>
      <c r="T1608" s="2">
        <v>15</v>
      </c>
      <c r="U1608" s="2">
        <v>47976.87</v>
      </c>
      <c r="V1608" s="2">
        <v>21652.71</v>
      </c>
      <c r="W1608" s="2">
        <v>26324.16</v>
      </c>
      <c r="X1608" s="2">
        <v>54.87</v>
      </c>
      <c r="Y1608" s="2">
        <v>199</v>
      </c>
      <c r="Z1608" s="2" t="s">
        <v>47</v>
      </c>
      <c r="AA1608" s="2" t="s">
        <v>100</v>
      </c>
      <c r="AB1608" s="2" t="s">
        <v>101</v>
      </c>
      <c r="AC1608" s="2">
        <v>4</v>
      </c>
    </row>
    <row r="1609" spans="1:29" x14ac:dyDescent="0.3">
      <c r="A1609" s="3" t="s">
        <v>7487</v>
      </c>
      <c r="B1609" s="3" t="s">
        <v>7488</v>
      </c>
      <c r="C1609" s="3" t="s">
        <v>816</v>
      </c>
      <c r="D1609" s="3" t="s">
        <v>7489</v>
      </c>
      <c r="E1609" s="3" t="s">
        <v>33</v>
      </c>
      <c r="F1609" s="3" t="s">
        <v>6327</v>
      </c>
      <c r="G1609" s="3" t="s">
        <v>605</v>
      </c>
      <c r="H1609" s="3" t="s">
        <v>233</v>
      </c>
      <c r="I1609" s="3">
        <v>2</v>
      </c>
      <c r="J1609" s="3" t="s">
        <v>22</v>
      </c>
      <c r="K1609" s="3" t="s">
        <v>283</v>
      </c>
      <c r="L1609" s="3" t="s">
        <v>748</v>
      </c>
      <c r="M1609" s="3" t="s">
        <v>7490</v>
      </c>
      <c r="N1609" s="3" t="s">
        <v>1332</v>
      </c>
      <c r="O1609" s="3" t="s">
        <v>19</v>
      </c>
      <c r="P1609" s="3" t="s">
        <v>447</v>
      </c>
      <c r="Q1609" s="3" t="s">
        <v>138</v>
      </c>
      <c r="R1609" s="3">
        <v>3</v>
      </c>
      <c r="S1609" s="3">
        <v>38524.870000000003</v>
      </c>
      <c r="T1609" s="3">
        <v>5</v>
      </c>
      <c r="U1609" s="3">
        <v>109795.88</v>
      </c>
      <c r="V1609" s="3">
        <v>76081.039999999994</v>
      </c>
      <c r="W1609" s="3">
        <v>33714.839999999997</v>
      </c>
      <c r="X1609" s="3">
        <v>30.71</v>
      </c>
      <c r="Y1609" s="3">
        <v>29</v>
      </c>
      <c r="Z1609" s="3" t="s">
        <v>15</v>
      </c>
      <c r="AA1609" s="3" t="s">
        <v>100</v>
      </c>
      <c r="AB1609" s="3" t="s">
        <v>101</v>
      </c>
      <c r="AC1609" s="3">
        <v>3</v>
      </c>
    </row>
    <row r="1610" spans="1:29" x14ac:dyDescent="0.3">
      <c r="A1610" s="2" t="s">
        <v>7491</v>
      </c>
      <c r="B1610" s="2" t="s">
        <v>7492</v>
      </c>
      <c r="C1610" s="2" t="s">
        <v>1885</v>
      </c>
      <c r="D1610" s="2" t="s">
        <v>7493</v>
      </c>
      <c r="E1610" s="2" t="s">
        <v>42</v>
      </c>
      <c r="F1610" s="2" t="s">
        <v>1026</v>
      </c>
      <c r="G1610" s="2" t="s">
        <v>131</v>
      </c>
      <c r="H1610" s="2" t="s">
        <v>2237</v>
      </c>
      <c r="I1610" s="2">
        <v>6</v>
      </c>
      <c r="J1610" s="2" t="s">
        <v>29</v>
      </c>
      <c r="K1610" s="2" t="s">
        <v>148</v>
      </c>
      <c r="L1610" s="2" t="s">
        <v>148</v>
      </c>
      <c r="M1610" s="2" t="s">
        <v>7494</v>
      </c>
      <c r="N1610" s="2" t="s">
        <v>97</v>
      </c>
      <c r="O1610" s="2" t="s">
        <v>13</v>
      </c>
      <c r="P1610" s="2" t="s">
        <v>98</v>
      </c>
      <c r="Q1610" s="2" t="s">
        <v>114</v>
      </c>
      <c r="R1610" s="2">
        <v>1</v>
      </c>
      <c r="S1610" s="2">
        <v>954.3</v>
      </c>
      <c r="T1610" s="2">
        <v>0</v>
      </c>
      <c r="U1610" s="2">
        <v>954.3</v>
      </c>
      <c r="V1610" s="2">
        <v>603.92999999999995</v>
      </c>
      <c r="W1610" s="2">
        <v>350.37</v>
      </c>
      <c r="X1610" s="2">
        <v>36.71</v>
      </c>
      <c r="Y1610" s="2">
        <v>29</v>
      </c>
      <c r="Z1610" s="2" t="s">
        <v>47</v>
      </c>
      <c r="AA1610" s="2" t="s">
        <v>100</v>
      </c>
      <c r="AB1610" s="2" t="s">
        <v>101</v>
      </c>
      <c r="AC1610" s="2">
        <v>5</v>
      </c>
    </row>
    <row r="1611" spans="1:29" x14ac:dyDescent="0.3">
      <c r="A1611" s="3" t="s">
        <v>7495</v>
      </c>
      <c r="B1611" s="3" t="s">
        <v>7496</v>
      </c>
      <c r="C1611" s="3" t="s">
        <v>707</v>
      </c>
      <c r="D1611" s="3" t="s">
        <v>7497</v>
      </c>
      <c r="E1611" s="3" t="s">
        <v>26</v>
      </c>
      <c r="F1611" s="3" t="s">
        <v>3596</v>
      </c>
      <c r="G1611" s="3" t="s">
        <v>1525</v>
      </c>
      <c r="H1611" s="3" t="s">
        <v>2617</v>
      </c>
      <c r="I1611" s="3">
        <v>2</v>
      </c>
      <c r="J1611" s="3" t="s">
        <v>22</v>
      </c>
      <c r="K1611" s="3" t="s">
        <v>254</v>
      </c>
      <c r="L1611" s="3" t="s">
        <v>254</v>
      </c>
      <c r="M1611" s="3" t="s">
        <v>7498</v>
      </c>
      <c r="N1611" s="3" t="s">
        <v>924</v>
      </c>
      <c r="O1611" s="3" t="s">
        <v>13</v>
      </c>
      <c r="P1611" s="3" t="s">
        <v>228</v>
      </c>
      <c r="Q1611" s="3" t="s">
        <v>138</v>
      </c>
      <c r="R1611" s="3">
        <v>1</v>
      </c>
      <c r="S1611" s="3">
        <v>35113.120000000003</v>
      </c>
      <c r="T1611" s="3">
        <v>10</v>
      </c>
      <c r="U1611" s="3">
        <v>31601.81</v>
      </c>
      <c r="V1611" s="3">
        <v>18022.39</v>
      </c>
      <c r="W1611" s="3">
        <v>13579.42</v>
      </c>
      <c r="X1611" s="3">
        <v>42.97</v>
      </c>
      <c r="Y1611" s="3">
        <v>99</v>
      </c>
      <c r="Z1611" s="3" t="s">
        <v>47</v>
      </c>
      <c r="AA1611" s="3" t="s">
        <v>100</v>
      </c>
      <c r="AB1611" s="3" t="s">
        <v>101</v>
      </c>
      <c r="AC1611" s="3"/>
    </row>
    <row r="1612" spans="1:29" x14ac:dyDescent="0.3">
      <c r="A1612" s="2" t="s">
        <v>7499</v>
      </c>
      <c r="B1612" s="2" t="s">
        <v>7500</v>
      </c>
      <c r="C1612" s="2" t="s">
        <v>1152</v>
      </c>
      <c r="D1612" s="2" t="s">
        <v>7501</v>
      </c>
      <c r="E1612" s="2" t="s">
        <v>26</v>
      </c>
      <c r="F1612" s="2" t="s">
        <v>1390</v>
      </c>
      <c r="G1612" s="2" t="s">
        <v>2987</v>
      </c>
      <c r="H1612" s="2" t="s">
        <v>872</v>
      </c>
      <c r="I1612" s="2">
        <v>8</v>
      </c>
      <c r="J1612" s="2" t="s">
        <v>29</v>
      </c>
      <c r="K1612" s="2" t="s">
        <v>834</v>
      </c>
      <c r="L1612" s="2" t="s">
        <v>901</v>
      </c>
      <c r="M1612" s="2" t="s">
        <v>1379</v>
      </c>
      <c r="N1612" s="2" t="s">
        <v>924</v>
      </c>
      <c r="O1612" s="2" t="s">
        <v>13</v>
      </c>
      <c r="P1612" s="2" t="s">
        <v>228</v>
      </c>
      <c r="Q1612" s="2" t="s">
        <v>207</v>
      </c>
      <c r="R1612" s="2">
        <v>3</v>
      </c>
      <c r="S1612" s="2">
        <v>5388.39</v>
      </c>
      <c r="T1612" s="2">
        <v>10</v>
      </c>
      <c r="U1612" s="2">
        <v>14548.65</v>
      </c>
      <c r="V1612" s="2">
        <v>7512.69</v>
      </c>
      <c r="W1612" s="2">
        <v>7035.96</v>
      </c>
      <c r="X1612" s="2">
        <v>48.36</v>
      </c>
      <c r="Y1612" s="2">
        <v>49</v>
      </c>
      <c r="Z1612" s="2" t="s">
        <v>43</v>
      </c>
      <c r="AA1612" s="2" t="s">
        <v>100</v>
      </c>
      <c r="AB1612" s="2" t="s">
        <v>101</v>
      </c>
      <c r="AC1612" s="2">
        <v>4</v>
      </c>
    </row>
    <row r="1613" spans="1:29" x14ac:dyDescent="0.3">
      <c r="A1613" s="3" t="s">
        <v>7502</v>
      </c>
      <c r="B1613" s="3" t="s">
        <v>2962</v>
      </c>
      <c r="C1613" s="3" t="s">
        <v>1590</v>
      </c>
      <c r="D1613" s="3" t="s">
        <v>7503</v>
      </c>
      <c r="E1613" s="3" t="s">
        <v>18</v>
      </c>
      <c r="F1613" s="3" t="s">
        <v>831</v>
      </c>
      <c r="G1613" s="3" t="s">
        <v>832</v>
      </c>
      <c r="H1613" s="3" t="s">
        <v>793</v>
      </c>
      <c r="I1613" s="3">
        <v>5</v>
      </c>
      <c r="J1613" s="3" t="s">
        <v>14</v>
      </c>
      <c r="K1613" s="3" t="s">
        <v>183</v>
      </c>
      <c r="L1613" s="3" t="s">
        <v>183</v>
      </c>
      <c r="M1613" s="3" t="s">
        <v>7504</v>
      </c>
      <c r="N1613" s="3" t="s">
        <v>765</v>
      </c>
      <c r="O1613" s="3" t="s">
        <v>27</v>
      </c>
      <c r="P1613" s="3" t="s">
        <v>113</v>
      </c>
      <c r="Q1613" s="3" t="s">
        <v>138</v>
      </c>
      <c r="R1613" s="3">
        <v>2</v>
      </c>
      <c r="S1613" s="3">
        <v>26790.82</v>
      </c>
      <c r="T1613" s="3">
        <v>0</v>
      </c>
      <c r="U1613" s="3">
        <v>53581.64</v>
      </c>
      <c r="V1613" s="3">
        <v>37378.080000000002</v>
      </c>
      <c r="W1613" s="3">
        <v>16203.56</v>
      </c>
      <c r="X1613" s="3">
        <v>30.24</v>
      </c>
      <c r="Y1613" s="3">
        <v>99</v>
      </c>
      <c r="Z1613" s="3" t="s">
        <v>48</v>
      </c>
      <c r="AA1613" s="3" t="s">
        <v>100</v>
      </c>
      <c r="AB1613" s="3" t="s">
        <v>101</v>
      </c>
      <c r="AC1613" s="3">
        <v>1</v>
      </c>
    </row>
    <row r="1614" spans="1:29" x14ac:dyDescent="0.3">
      <c r="A1614" s="2" t="s">
        <v>7505</v>
      </c>
      <c r="B1614" s="2" t="s">
        <v>7506</v>
      </c>
      <c r="C1614" s="2" t="s">
        <v>716</v>
      </c>
      <c r="D1614" s="2" t="s">
        <v>7507</v>
      </c>
      <c r="E1614" s="2" t="s">
        <v>26</v>
      </c>
      <c r="F1614" s="2" t="s">
        <v>343</v>
      </c>
      <c r="G1614" s="2" t="s">
        <v>1647</v>
      </c>
      <c r="H1614" s="2" t="s">
        <v>4263</v>
      </c>
      <c r="I1614" s="2">
        <v>4</v>
      </c>
      <c r="J1614" s="2" t="s">
        <v>22</v>
      </c>
      <c r="K1614" s="2" t="s">
        <v>254</v>
      </c>
      <c r="L1614" s="2" t="s">
        <v>254</v>
      </c>
      <c r="M1614" s="2" t="s">
        <v>3941</v>
      </c>
      <c r="N1614" s="2" t="s">
        <v>616</v>
      </c>
      <c r="O1614" s="2" t="s">
        <v>21</v>
      </c>
      <c r="P1614" s="2" t="s">
        <v>206</v>
      </c>
      <c r="Q1614" s="2" t="s">
        <v>114</v>
      </c>
      <c r="R1614" s="2">
        <v>3</v>
      </c>
      <c r="S1614" s="2">
        <v>1445.61</v>
      </c>
      <c r="T1614" s="2">
        <v>30</v>
      </c>
      <c r="U1614" s="2">
        <v>3035.78</v>
      </c>
      <c r="V1614" s="2">
        <v>1671.87</v>
      </c>
      <c r="W1614" s="2">
        <v>1363.91</v>
      </c>
      <c r="X1614" s="2">
        <v>44.93</v>
      </c>
      <c r="Y1614" s="2">
        <v>49</v>
      </c>
      <c r="Z1614" s="2" t="s">
        <v>23</v>
      </c>
      <c r="AA1614" s="2" t="s">
        <v>100</v>
      </c>
      <c r="AB1614" s="2" t="s">
        <v>101</v>
      </c>
      <c r="AC1614" s="2">
        <v>4</v>
      </c>
    </row>
    <row r="1615" spans="1:29" x14ac:dyDescent="0.3">
      <c r="A1615" s="3" t="s">
        <v>7508</v>
      </c>
      <c r="B1615" s="3" t="s">
        <v>7509</v>
      </c>
      <c r="C1615" s="3" t="s">
        <v>840</v>
      </c>
      <c r="D1615" s="3" t="s">
        <v>7510</v>
      </c>
      <c r="E1615" s="3" t="s">
        <v>26</v>
      </c>
      <c r="F1615" s="3" t="s">
        <v>7059</v>
      </c>
      <c r="G1615" s="3" t="s">
        <v>5685</v>
      </c>
      <c r="H1615" s="3" t="s">
        <v>3100</v>
      </c>
      <c r="I1615" s="3">
        <v>7</v>
      </c>
      <c r="J1615" s="3" t="s">
        <v>29</v>
      </c>
      <c r="K1615" s="3" t="s">
        <v>334</v>
      </c>
      <c r="L1615" s="3" t="s">
        <v>1073</v>
      </c>
      <c r="M1615" s="3" t="s">
        <v>7511</v>
      </c>
      <c r="N1615" s="3" t="s">
        <v>136</v>
      </c>
      <c r="O1615" s="3" t="s">
        <v>28</v>
      </c>
      <c r="P1615" s="3" t="s">
        <v>137</v>
      </c>
      <c r="Q1615" s="3" t="s">
        <v>400</v>
      </c>
      <c r="R1615" s="3">
        <v>5</v>
      </c>
      <c r="S1615" s="3">
        <v>5424.43</v>
      </c>
      <c r="T1615" s="3">
        <v>10</v>
      </c>
      <c r="U1615" s="3">
        <v>24409.94</v>
      </c>
      <c r="V1615" s="3">
        <v>14663.8</v>
      </c>
      <c r="W1615" s="3">
        <v>9746.14</v>
      </c>
      <c r="X1615" s="3">
        <v>39.93</v>
      </c>
      <c r="Y1615" s="3">
        <v>149</v>
      </c>
      <c r="Z1615" s="3" t="s">
        <v>15</v>
      </c>
      <c r="AA1615" s="3" t="s">
        <v>100</v>
      </c>
      <c r="AB1615" s="3" t="s">
        <v>101</v>
      </c>
      <c r="AC1615" s="3">
        <v>4</v>
      </c>
    </row>
    <row r="1616" spans="1:29" x14ac:dyDescent="0.3">
      <c r="A1616" s="2" t="s">
        <v>7512</v>
      </c>
      <c r="B1616" s="2" t="s">
        <v>7513</v>
      </c>
      <c r="C1616" s="2" t="s">
        <v>1484</v>
      </c>
      <c r="D1616" s="2" t="s">
        <v>7514</v>
      </c>
      <c r="E1616" s="2" t="s">
        <v>26</v>
      </c>
      <c r="F1616" s="2" t="s">
        <v>1586</v>
      </c>
      <c r="G1616" s="2" t="s">
        <v>1856</v>
      </c>
      <c r="H1616" s="2" t="s">
        <v>3825</v>
      </c>
      <c r="I1616" s="2">
        <v>6</v>
      </c>
      <c r="J1616" s="2" t="s">
        <v>29</v>
      </c>
      <c r="K1616" s="2" t="s">
        <v>160</v>
      </c>
      <c r="L1616" s="2" t="s">
        <v>559</v>
      </c>
      <c r="M1616" s="2" t="s">
        <v>7515</v>
      </c>
      <c r="N1616" s="2" t="s">
        <v>1188</v>
      </c>
      <c r="O1616" s="2" t="s">
        <v>27</v>
      </c>
      <c r="P1616" s="2" t="s">
        <v>257</v>
      </c>
      <c r="Q1616" s="2" t="s">
        <v>608</v>
      </c>
      <c r="R1616" s="2">
        <v>4</v>
      </c>
      <c r="S1616" s="2">
        <v>31735.31</v>
      </c>
      <c r="T1616" s="2">
        <v>0</v>
      </c>
      <c r="U1616" s="2">
        <v>126941.24</v>
      </c>
      <c r="V1616" s="2">
        <v>76583.679999999993</v>
      </c>
      <c r="W1616" s="2">
        <v>50357.56</v>
      </c>
      <c r="X1616" s="2">
        <v>39.67</v>
      </c>
      <c r="Y1616" s="2">
        <v>0</v>
      </c>
      <c r="Z1616" s="2" t="s">
        <v>23</v>
      </c>
      <c r="AA1616" s="2" t="s">
        <v>186</v>
      </c>
      <c r="AB1616" s="2" t="s">
        <v>101</v>
      </c>
      <c r="AC1616" s="2"/>
    </row>
    <row r="1617" spans="1:29" x14ac:dyDescent="0.3">
      <c r="A1617" s="3" t="s">
        <v>7516</v>
      </c>
      <c r="B1617" s="3" t="s">
        <v>7517</v>
      </c>
      <c r="C1617" s="3" t="s">
        <v>1730</v>
      </c>
      <c r="D1617" s="3" t="s">
        <v>7518</v>
      </c>
      <c r="E1617" s="3" t="s">
        <v>42</v>
      </c>
      <c r="F1617" s="3" t="s">
        <v>6456</v>
      </c>
      <c r="G1617" s="3" t="s">
        <v>1652</v>
      </c>
      <c r="H1617" s="3" t="s">
        <v>747</v>
      </c>
      <c r="I1617" s="3">
        <v>2</v>
      </c>
      <c r="J1617" s="3" t="s">
        <v>39</v>
      </c>
      <c r="K1617" s="3" t="s">
        <v>225</v>
      </c>
      <c r="L1617" s="3" t="s">
        <v>225</v>
      </c>
      <c r="M1617" s="3" t="s">
        <v>5291</v>
      </c>
      <c r="N1617" s="3" t="s">
        <v>765</v>
      </c>
      <c r="O1617" s="3" t="s">
        <v>27</v>
      </c>
      <c r="P1617" s="3" t="s">
        <v>113</v>
      </c>
      <c r="Q1617" s="3" t="s">
        <v>99</v>
      </c>
      <c r="R1617" s="3">
        <v>1</v>
      </c>
      <c r="S1617" s="3">
        <v>16693.189999999999</v>
      </c>
      <c r="T1617" s="3">
        <v>5</v>
      </c>
      <c r="U1617" s="3">
        <v>15858.53</v>
      </c>
      <c r="V1617" s="3">
        <v>10127.469999999999</v>
      </c>
      <c r="W1617" s="3">
        <v>5731.06</v>
      </c>
      <c r="X1617" s="3">
        <v>36.14</v>
      </c>
      <c r="Y1617" s="3">
        <v>49</v>
      </c>
      <c r="Z1617" s="3" t="s">
        <v>47</v>
      </c>
      <c r="AA1617" s="3" t="s">
        <v>275</v>
      </c>
      <c r="AB1617" s="3" t="s">
        <v>101</v>
      </c>
      <c r="AC1617" s="3"/>
    </row>
    <row r="1618" spans="1:29" x14ac:dyDescent="0.3">
      <c r="A1618" s="2" t="s">
        <v>7519</v>
      </c>
      <c r="B1618" s="2" t="s">
        <v>7520</v>
      </c>
      <c r="C1618" s="2" t="s">
        <v>743</v>
      </c>
      <c r="D1618" s="2" t="s">
        <v>7521</v>
      </c>
      <c r="E1618" s="2" t="s">
        <v>26</v>
      </c>
      <c r="F1618" s="2" t="s">
        <v>2629</v>
      </c>
      <c r="G1618" s="2" t="s">
        <v>2974</v>
      </c>
      <c r="H1618" s="2" t="s">
        <v>2076</v>
      </c>
      <c r="I1618" s="2">
        <v>3</v>
      </c>
      <c r="J1618" s="2" t="s">
        <v>14</v>
      </c>
      <c r="K1618" s="2" t="s">
        <v>712</v>
      </c>
      <c r="L1618" s="2" t="s">
        <v>712</v>
      </c>
      <c r="M1618" s="2" t="s">
        <v>7522</v>
      </c>
      <c r="N1618" s="2" t="s">
        <v>722</v>
      </c>
      <c r="O1618" s="2" t="s">
        <v>27</v>
      </c>
      <c r="P1618" s="2" t="s">
        <v>175</v>
      </c>
      <c r="Q1618" s="2" t="s">
        <v>207</v>
      </c>
      <c r="R1618" s="2">
        <v>5</v>
      </c>
      <c r="S1618" s="2">
        <v>23604.1</v>
      </c>
      <c r="T1618" s="2">
        <v>5</v>
      </c>
      <c r="U1618" s="2">
        <v>112119.47</v>
      </c>
      <c r="V1618" s="2">
        <v>74380.42</v>
      </c>
      <c r="W1618" s="2">
        <v>37739.050000000003</v>
      </c>
      <c r="X1618" s="2">
        <v>33.659999999999997</v>
      </c>
      <c r="Y1618" s="2">
        <v>149</v>
      </c>
      <c r="Z1618" s="2" t="s">
        <v>30</v>
      </c>
      <c r="AA1618" s="2" t="s">
        <v>100</v>
      </c>
      <c r="AB1618" s="2" t="s">
        <v>101</v>
      </c>
      <c r="AC1618" s="2">
        <v>5</v>
      </c>
    </row>
    <row r="1619" spans="1:29" x14ac:dyDescent="0.3">
      <c r="A1619" s="3" t="s">
        <v>7523</v>
      </c>
      <c r="B1619" s="3" t="s">
        <v>7524</v>
      </c>
      <c r="C1619" s="3" t="s">
        <v>1371</v>
      </c>
      <c r="D1619" s="3" t="s">
        <v>7525</v>
      </c>
      <c r="E1619" s="3" t="s">
        <v>18</v>
      </c>
      <c r="F1619" s="3" t="s">
        <v>1436</v>
      </c>
      <c r="G1619" s="3" t="s">
        <v>3623</v>
      </c>
      <c r="H1619" s="3" t="s">
        <v>4619</v>
      </c>
      <c r="I1619" s="3">
        <v>7</v>
      </c>
      <c r="J1619" s="3" t="s">
        <v>39</v>
      </c>
      <c r="K1619" s="3" t="s">
        <v>193</v>
      </c>
      <c r="L1619" s="3" t="s">
        <v>193</v>
      </c>
      <c r="M1619" s="3" t="s">
        <v>7526</v>
      </c>
      <c r="N1619" s="3" t="s">
        <v>418</v>
      </c>
      <c r="O1619" s="3" t="s">
        <v>13</v>
      </c>
      <c r="P1619" s="3" t="s">
        <v>419</v>
      </c>
      <c r="Q1619" s="3" t="s">
        <v>207</v>
      </c>
      <c r="R1619" s="3">
        <v>5</v>
      </c>
      <c r="S1619" s="3">
        <v>38090.94</v>
      </c>
      <c r="T1619" s="3">
        <v>5</v>
      </c>
      <c r="U1619" s="3">
        <v>180931.96</v>
      </c>
      <c r="V1619" s="3">
        <v>99544.55</v>
      </c>
      <c r="W1619" s="3">
        <v>81387.41</v>
      </c>
      <c r="X1619" s="3">
        <v>44.98</v>
      </c>
      <c r="Y1619" s="3">
        <v>199</v>
      </c>
      <c r="Z1619" s="3" t="s">
        <v>43</v>
      </c>
      <c r="AA1619" s="3" t="s">
        <v>100</v>
      </c>
      <c r="AB1619" s="3" t="s">
        <v>101</v>
      </c>
      <c r="AC1619" s="3"/>
    </row>
    <row r="1620" spans="1:29" x14ac:dyDescent="0.3">
      <c r="A1620" s="2" t="s">
        <v>7527</v>
      </c>
      <c r="B1620" s="2" t="s">
        <v>7528</v>
      </c>
      <c r="C1620" s="2" t="s">
        <v>1273</v>
      </c>
      <c r="D1620" s="2" t="s">
        <v>7529</v>
      </c>
      <c r="E1620" s="2" t="s">
        <v>33</v>
      </c>
      <c r="F1620" s="2" t="s">
        <v>1732</v>
      </c>
      <c r="G1620" s="2" t="s">
        <v>1733</v>
      </c>
      <c r="H1620" s="2" t="s">
        <v>4169</v>
      </c>
      <c r="I1620" s="2">
        <v>7</v>
      </c>
      <c r="J1620" s="2" t="s">
        <v>14</v>
      </c>
      <c r="K1620" s="2" t="s">
        <v>171</v>
      </c>
      <c r="L1620" s="2" t="s">
        <v>172</v>
      </c>
      <c r="M1620" s="2" t="s">
        <v>7530</v>
      </c>
      <c r="N1620" s="2" t="s">
        <v>446</v>
      </c>
      <c r="O1620" s="2" t="s">
        <v>19</v>
      </c>
      <c r="P1620" s="2" t="s">
        <v>447</v>
      </c>
      <c r="Q1620" s="2" t="s">
        <v>400</v>
      </c>
      <c r="R1620" s="2">
        <v>1</v>
      </c>
      <c r="S1620" s="2">
        <v>17709.400000000001</v>
      </c>
      <c r="T1620" s="2">
        <v>5</v>
      </c>
      <c r="U1620" s="2">
        <v>16823.93</v>
      </c>
      <c r="V1620" s="2">
        <v>7865.68</v>
      </c>
      <c r="W1620" s="2">
        <v>8958.25</v>
      </c>
      <c r="X1620" s="2">
        <v>53.25</v>
      </c>
      <c r="Y1620" s="2">
        <v>0</v>
      </c>
      <c r="Z1620" s="2" t="s">
        <v>23</v>
      </c>
      <c r="AA1620" s="2" t="s">
        <v>100</v>
      </c>
      <c r="AB1620" s="2" t="s">
        <v>101</v>
      </c>
      <c r="AC1620" s="2">
        <v>5</v>
      </c>
    </row>
    <row r="1621" spans="1:29" x14ac:dyDescent="0.3">
      <c r="A1621" s="3" t="s">
        <v>7531</v>
      </c>
      <c r="B1621" s="3" t="s">
        <v>7532</v>
      </c>
      <c r="C1621" s="3" t="s">
        <v>1606</v>
      </c>
      <c r="D1621" s="3" t="s">
        <v>7533</v>
      </c>
      <c r="E1621" s="3" t="s">
        <v>18</v>
      </c>
      <c r="F1621" s="3" t="s">
        <v>1725</v>
      </c>
      <c r="G1621" s="3" t="s">
        <v>1622</v>
      </c>
      <c r="H1621" s="3" t="s">
        <v>580</v>
      </c>
      <c r="I1621" s="3">
        <v>2</v>
      </c>
      <c r="J1621" s="3" t="s">
        <v>14</v>
      </c>
      <c r="K1621" s="3" t="s">
        <v>183</v>
      </c>
      <c r="L1621" s="3" t="s">
        <v>183</v>
      </c>
      <c r="M1621" s="3" t="s">
        <v>7534</v>
      </c>
      <c r="N1621" s="3" t="s">
        <v>354</v>
      </c>
      <c r="O1621" s="3" t="s">
        <v>21</v>
      </c>
      <c r="P1621" s="3" t="s">
        <v>196</v>
      </c>
      <c r="Q1621" s="3" t="s">
        <v>99</v>
      </c>
      <c r="R1621" s="3">
        <v>4</v>
      </c>
      <c r="S1621" s="3">
        <v>47327</v>
      </c>
      <c r="T1621" s="3">
        <v>10</v>
      </c>
      <c r="U1621" s="3">
        <v>170377.2</v>
      </c>
      <c r="V1621" s="3">
        <v>85978.41</v>
      </c>
      <c r="W1621" s="3">
        <v>84398.79</v>
      </c>
      <c r="X1621" s="3">
        <v>49.54</v>
      </c>
      <c r="Y1621" s="3">
        <v>99</v>
      </c>
      <c r="Z1621" s="3" t="s">
        <v>43</v>
      </c>
      <c r="AA1621" s="3" t="s">
        <v>186</v>
      </c>
      <c r="AB1621" s="3" t="s">
        <v>101</v>
      </c>
      <c r="AC1621" s="3"/>
    </row>
    <row r="1622" spans="1:29" x14ac:dyDescent="0.3">
      <c r="A1622" s="2" t="s">
        <v>7535</v>
      </c>
      <c r="B1622" s="2" t="s">
        <v>7536</v>
      </c>
      <c r="C1622" s="2" t="s">
        <v>586</v>
      </c>
      <c r="D1622" s="2" t="s">
        <v>7537</v>
      </c>
      <c r="E1622" s="2" t="s">
        <v>18</v>
      </c>
      <c r="F1622" s="2" t="s">
        <v>489</v>
      </c>
      <c r="G1622" s="2" t="s">
        <v>5440</v>
      </c>
      <c r="H1622" s="2" t="s">
        <v>3525</v>
      </c>
      <c r="I1622" s="2">
        <v>5</v>
      </c>
      <c r="J1622" s="2" t="s">
        <v>39</v>
      </c>
      <c r="K1622" s="2" t="s">
        <v>193</v>
      </c>
      <c r="L1622" s="2" t="s">
        <v>193</v>
      </c>
      <c r="M1622" s="2" t="s">
        <v>7538</v>
      </c>
      <c r="N1622" s="2" t="s">
        <v>1223</v>
      </c>
      <c r="O1622" s="2" t="s">
        <v>19</v>
      </c>
      <c r="P1622" s="2" t="s">
        <v>447</v>
      </c>
      <c r="Q1622" s="2" t="s">
        <v>509</v>
      </c>
      <c r="R1622" s="2">
        <v>3</v>
      </c>
      <c r="S1622" s="2">
        <v>33728.019999999997</v>
      </c>
      <c r="T1622" s="2">
        <v>15</v>
      </c>
      <c r="U1622" s="2">
        <v>86006.45</v>
      </c>
      <c r="V1622" s="2">
        <v>55054.22</v>
      </c>
      <c r="W1622" s="2">
        <v>30952.23</v>
      </c>
      <c r="X1622" s="2">
        <v>35.99</v>
      </c>
      <c r="Y1622" s="2">
        <v>149</v>
      </c>
      <c r="Z1622" s="2" t="s">
        <v>15</v>
      </c>
      <c r="AA1622" s="2" t="s">
        <v>100</v>
      </c>
      <c r="AB1622" s="2" t="s">
        <v>101</v>
      </c>
      <c r="AC1622" s="2">
        <v>4</v>
      </c>
    </row>
    <row r="1623" spans="1:29" x14ac:dyDescent="0.3">
      <c r="A1623" s="3" t="s">
        <v>7539</v>
      </c>
      <c r="B1623" s="3" t="s">
        <v>7540</v>
      </c>
      <c r="C1623" s="3" t="s">
        <v>586</v>
      </c>
      <c r="D1623" s="3" t="s">
        <v>7541</v>
      </c>
      <c r="E1623" s="3" t="s">
        <v>18</v>
      </c>
      <c r="F1623" s="3" t="s">
        <v>1931</v>
      </c>
      <c r="G1623" s="3" t="s">
        <v>1695</v>
      </c>
      <c r="H1623" s="3" t="s">
        <v>282</v>
      </c>
      <c r="I1623" s="3">
        <v>7</v>
      </c>
      <c r="J1623" s="3" t="s">
        <v>29</v>
      </c>
      <c r="K1623" s="3" t="s">
        <v>148</v>
      </c>
      <c r="L1623" s="3" t="s">
        <v>148</v>
      </c>
      <c r="M1623" s="3" t="s">
        <v>7542</v>
      </c>
      <c r="N1623" s="3" t="s">
        <v>1802</v>
      </c>
      <c r="O1623" s="3" t="s">
        <v>28</v>
      </c>
      <c r="P1623" s="3" t="s">
        <v>137</v>
      </c>
      <c r="Q1623" s="3" t="s">
        <v>99</v>
      </c>
      <c r="R1623" s="3">
        <v>3</v>
      </c>
      <c r="S1623" s="3">
        <v>11830.47</v>
      </c>
      <c r="T1623" s="3">
        <v>5</v>
      </c>
      <c r="U1623" s="3">
        <v>33716.839999999997</v>
      </c>
      <c r="V1623" s="3">
        <v>17527.98</v>
      </c>
      <c r="W1623" s="3">
        <v>16188.86</v>
      </c>
      <c r="X1623" s="3">
        <v>48.01</v>
      </c>
      <c r="Y1623" s="3">
        <v>49</v>
      </c>
      <c r="Z1623" s="3" t="s">
        <v>23</v>
      </c>
      <c r="AA1623" s="3" t="s">
        <v>100</v>
      </c>
      <c r="AB1623" s="3" t="s">
        <v>101</v>
      </c>
      <c r="AC1623" s="3">
        <v>4</v>
      </c>
    </row>
    <row r="1624" spans="1:29" x14ac:dyDescent="0.3">
      <c r="A1624" s="2" t="s">
        <v>7543</v>
      </c>
      <c r="B1624" s="2" t="s">
        <v>7544</v>
      </c>
      <c r="C1624" s="2" t="s">
        <v>422</v>
      </c>
      <c r="D1624" s="2" t="s">
        <v>7545</v>
      </c>
      <c r="E1624" s="2" t="s">
        <v>33</v>
      </c>
      <c r="F1624" s="2" t="s">
        <v>1106</v>
      </c>
      <c r="G1624" s="2" t="s">
        <v>2099</v>
      </c>
      <c r="H1624" s="2" t="s">
        <v>1241</v>
      </c>
      <c r="I1624" s="2">
        <v>8</v>
      </c>
      <c r="J1624" s="2" t="s">
        <v>39</v>
      </c>
      <c r="K1624" s="2" t="s">
        <v>193</v>
      </c>
      <c r="L1624" s="2" t="s">
        <v>193</v>
      </c>
      <c r="M1624" s="2" t="s">
        <v>7546</v>
      </c>
      <c r="N1624" s="2" t="s">
        <v>465</v>
      </c>
      <c r="O1624" s="2" t="s">
        <v>19</v>
      </c>
      <c r="P1624" s="2" t="s">
        <v>447</v>
      </c>
      <c r="Q1624" s="2" t="s">
        <v>127</v>
      </c>
      <c r="R1624" s="2">
        <v>5</v>
      </c>
      <c r="S1624" s="2">
        <v>8064.74</v>
      </c>
      <c r="T1624" s="2">
        <v>0</v>
      </c>
      <c r="U1624" s="2">
        <v>40323.699999999997</v>
      </c>
      <c r="V1624" s="2">
        <v>22533.25</v>
      </c>
      <c r="W1624" s="2">
        <v>17790.45</v>
      </c>
      <c r="X1624" s="2">
        <v>44.12</v>
      </c>
      <c r="Y1624" s="2">
        <v>149</v>
      </c>
      <c r="Z1624" s="2" t="s">
        <v>48</v>
      </c>
      <c r="AA1624" s="2" t="s">
        <v>100</v>
      </c>
      <c r="AB1624" s="2" t="s">
        <v>101</v>
      </c>
      <c r="AC1624" s="2">
        <v>5</v>
      </c>
    </row>
    <row r="1625" spans="1:29" x14ac:dyDescent="0.3">
      <c r="A1625" s="3" t="s">
        <v>7547</v>
      </c>
      <c r="B1625" s="3" t="s">
        <v>7548</v>
      </c>
      <c r="C1625" s="3" t="s">
        <v>1183</v>
      </c>
      <c r="D1625" s="3" t="s">
        <v>7549</v>
      </c>
      <c r="E1625" s="3" t="s">
        <v>33</v>
      </c>
      <c r="F1625" s="3" t="s">
        <v>997</v>
      </c>
      <c r="G1625" s="3" t="s">
        <v>998</v>
      </c>
      <c r="H1625" s="3" t="s">
        <v>999</v>
      </c>
      <c r="I1625" s="3">
        <v>3</v>
      </c>
      <c r="J1625" s="3" t="s">
        <v>22</v>
      </c>
      <c r="K1625" s="3" t="s">
        <v>443</v>
      </c>
      <c r="L1625" s="3" t="s">
        <v>444</v>
      </c>
      <c r="M1625" s="3" t="s">
        <v>7550</v>
      </c>
      <c r="N1625" s="3" t="s">
        <v>750</v>
      </c>
      <c r="O1625" s="3" t="s">
        <v>13</v>
      </c>
      <c r="P1625" s="3" t="s">
        <v>419</v>
      </c>
      <c r="Q1625" s="3" t="s">
        <v>608</v>
      </c>
      <c r="R1625" s="3">
        <v>3</v>
      </c>
      <c r="S1625" s="3">
        <v>14387.56</v>
      </c>
      <c r="T1625" s="3">
        <v>30</v>
      </c>
      <c r="U1625" s="3">
        <v>30213.88</v>
      </c>
      <c r="V1625" s="3">
        <v>14235.06</v>
      </c>
      <c r="W1625" s="3">
        <v>15978.82</v>
      </c>
      <c r="X1625" s="3">
        <v>52.89</v>
      </c>
      <c r="Y1625" s="3">
        <v>49</v>
      </c>
      <c r="Z1625" s="3" t="s">
        <v>40</v>
      </c>
      <c r="AA1625" s="3" t="s">
        <v>100</v>
      </c>
      <c r="AB1625" s="3" t="s">
        <v>101</v>
      </c>
      <c r="AC1625" s="3">
        <v>2</v>
      </c>
    </row>
    <row r="1626" spans="1:29" x14ac:dyDescent="0.3">
      <c r="A1626" s="2" t="s">
        <v>7551</v>
      </c>
      <c r="B1626" s="2" t="s">
        <v>7552</v>
      </c>
      <c r="C1626" s="2" t="s">
        <v>1464</v>
      </c>
      <c r="D1626" s="2" t="s">
        <v>7553</v>
      </c>
      <c r="E1626" s="2" t="s">
        <v>18</v>
      </c>
      <c r="F1626" s="2" t="s">
        <v>452</v>
      </c>
      <c r="G1626" s="2" t="s">
        <v>2448</v>
      </c>
      <c r="H1626" s="2" t="s">
        <v>2449</v>
      </c>
      <c r="I1626" s="2">
        <v>3</v>
      </c>
      <c r="J1626" s="2" t="s">
        <v>14</v>
      </c>
      <c r="K1626" s="2" t="s">
        <v>712</v>
      </c>
      <c r="L1626" s="2" t="s">
        <v>712</v>
      </c>
      <c r="M1626" s="2" t="s">
        <v>7554</v>
      </c>
      <c r="N1626" s="2" t="s">
        <v>1802</v>
      </c>
      <c r="O1626" s="2" t="s">
        <v>28</v>
      </c>
      <c r="P1626" s="2" t="s">
        <v>137</v>
      </c>
      <c r="Q1626" s="2" t="s">
        <v>152</v>
      </c>
      <c r="R1626" s="2">
        <v>3</v>
      </c>
      <c r="S1626" s="2">
        <v>8454.51</v>
      </c>
      <c r="T1626" s="2">
        <v>15</v>
      </c>
      <c r="U1626" s="2">
        <v>21559</v>
      </c>
      <c r="V1626" s="2">
        <v>9741.9</v>
      </c>
      <c r="W1626" s="2">
        <v>11817.1</v>
      </c>
      <c r="X1626" s="2">
        <v>54.81</v>
      </c>
      <c r="Y1626" s="2">
        <v>49</v>
      </c>
      <c r="Z1626" s="2" t="s">
        <v>40</v>
      </c>
      <c r="AA1626" s="2" t="s">
        <v>139</v>
      </c>
      <c r="AB1626" s="2" t="s">
        <v>140</v>
      </c>
      <c r="AC1626" s="2"/>
    </row>
    <row r="1627" spans="1:29" x14ac:dyDescent="0.3">
      <c r="A1627" s="3" t="s">
        <v>7555</v>
      </c>
      <c r="B1627" s="3" t="s">
        <v>7556</v>
      </c>
      <c r="C1627" s="3" t="s">
        <v>3432</v>
      </c>
      <c r="D1627" s="3" t="s">
        <v>7557</v>
      </c>
      <c r="E1627" s="3" t="s">
        <v>26</v>
      </c>
      <c r="F1627" s="3" t="s">
        <v>4168</v>
      </c>
      <c r="G1627" s="3" t="s">
        <v>3428</v>
      </c>
      <c r="H1627" s="3" t="s">
        <v>4045</v>
      </c>
      <c r="I1627" s="3">
        <v>2</v>
      </c>
      <c r="J1627" s="3" t="s">
        <v>29</v>
      </c>
      <c r="K1627" s="3" t="s">
        <v>834</v>
      </c>
      <c r="L1627" s="3" t="s">
        <v>1000</v>
      </c>
      <c r="M1627" s="3" t="s">
        <v>3228</v>
      </c>
      <c r="N1627" s="3" t="s">
        <v>185</v>
      </c>
      <c r="O1627" s="3" t="s">
        <v>28</v>
      </c>
      <c r="P1627" s="3" t="s">
        <v>151</v>
      </c>
      <c r="Q1627" s="3" t="s">
        <v>355</v>
      </c>
      <c r="R1627" s="3">
        <v>3</v>
      </c>
      <c r="S1627" s="3">
        <v>20392.04</v>
      </c>
      <c r="T1627" s="3">
        <v>30</v>
      </c>
      <c r="U1627" s="3">
        <v>42823.28</v>
      </c>
      <c r="V1627" s="3">
        <v>20572.89</v>
      </c>
      <c r="W1627" s="3">
        <v>22250.39</v>
      </c>
      <c r="X1627" s="3">
        <v>51.96</v>
      </c>
      <c r="Y1627" s="3">
        <v>29</v>
      </c>
      <c r="Z1627" s="3" t="s">
        <v>23</v>
      </c>
      <c r="AA1627" s="3" t="s">
        <v>100</v>
      </c>
      <c r="AB1627" s="3" t="s">
        <v>101</v>
      </c>
      <c r="AC1627" s="3">
        <v>4</v>
      </c>
    </row>
    <row r="1628" spans="1:29" x14ac:dyDescent="0.3">
      <c r="A1628" s="2" t="s">
        <v>7558</v>
      </c>
      <c r="B1628" s="2" t="s">
        <v>7559</v>
      </c>
      <c r="C1628" s="2" t="s">
        <v>2590</v>
      </c>
      <c r="D1628" s="2" t="s">
        <v>7560</v>
      </c>
      <c r="E1628" s="2" t="s">
        <v>18</v>
      </c>
      <c r="F1628" s="2" t="s">
        <v>1668</v>
      </c>
      <c r="G1628" s="2" t="s">
        <v>2640</v>
      </c>
      <c r="H1628" s="2" t="s">
        <v>2086</v>
      </c>
      <c r="I1628" s="2">
        <v>4</v>
      </c>
      <c r="J1628" s="2" t="s">
        <v>22</v>
      </c>
      <c r="K1628" s="2" t="s">
        <v>283</v>
      </c>
      <c r="L1628" s="2" t="s">
        <v>284</v>
      </c>
      <c r="M1628" s="2" t="s">
        <v>3783</v>
      </c>
      <c r="N1628" s="2" t="s">
        <v>518</v>
      </c>
      <c r="O1628" s="2" t="s">
        <v>19</v>
      </c>
      <c r="P1628" s="2" t="s">
        <v>365</v>
      </c>
      <c r="Q1628" s="2" t="s">
        <v>138</v>
      </c>
      <c r="R1628" s="2">
        <v>4</v>
      </c>
      <c r="S1628" s="2">
        <v>14182.67</v>
      </c>
      <c r="T1628" s="2">
        <v>20</v>
      </c>
      <c r="U1628" s="2">
        <v>45384.54</v>
      </c>
      <c r="V1628" s="2">
        <v>29414.6</v>
      </c>
      <c r="W1628" s="2">
        <v>15969.94</v>
      </c>
      <c r="X1628" s="2">
        <v>35.19</v>
      </c>
      <c r="Y1628" s="2">
        <v>0</v>
      </c>
      <c r="Z1628" s="2" t="s">
        <v>40</v>
      </c>
      <c r="AA1628" s="2" t="s">
        <v>100</v>
      </c>
      <c r="AB1628" s="2" t="s">
        <v>101</v>
      </c>
      <c r="AC1628" s="2">
        <v>2</v>
      </c>
    </row>
    <row r="1629" spans="1:29" x14ac:dyDescent="0.3">
      <c r="A1629" s="3" t="s">
        <v>7561</v>
      </c>
      <c r="B1629" s="3" t="s">
        <v>7562</v>
      </c>
      <c r="C1629" s="3" t="s">
        <v>502</v>
      </c>
      <c r="D1629" s="3" t="s">
        <v>7563</v>
      </c>
      <c r="E1629" s="3" t="s">
        <v>26</v>
      </c>
      <c r="F1629" s="3" t="s">
        <v>4757</v>
      </c>
      <c r="G1629" s="3" t="s">
        <v>3614</v>
      </c>
      <c r="H1629" s="3" t="s">
        <v>2063</v>
      </c>
      <c r="I1629" s="3">
        <v>4</v>
      </c>
      <c r="J1629" s="3" t="s">
        <v>14</v>
      </c>
      <c r="K1629" s="3" t="s">
        <v>183</v>
      </c>
      <c r="L1629" s="3" t="s">
        <v>183</v>
      </c>
      <c r="M1629" s="3" t="s">
        <v>7564</v>
      </c>
      <c r="N1629" s="3" t="s">
        <v>136</v>
      </c>
      <c r="O1629" s="3" t="s">
        <v>28</v>
      </c>
      <c r="P1629" s="3" t="s">
        <v>137</v>
      </c>
      <c r="Q1629" s="3" t="s">
        <v>127</v>
      </c>
      <c r="R1629" s="3">
        <v>2</v>
      </c>
      <c r="S1629" s="3">
        <v>17136.900000000001</v>
      </c>
      <c r="T1629" s="3">
        <v>10</v>
      </c>
      <c r="U1629" s="3">
        <v>30846.42</v>
      </c>
      <c r="V1629" s="3">
        <v>21044.43</v>
      </c>
      <c r="W1629" s="3">
        <v>9801.99</v>
      </c>
      <c r="X1629" s="3">
        <v>31.78</v>
      </c>
      <c r="Y1629" s="3">
        <v>99</v>
      </c>
      <c r="Z1629" s="3" t="s">
        <v>40</v>
      </c>
      <c r="AA1629" s="3" t="s">
        <v>275</v>
      </c>
      <c r="AB1629" s="3" t="s">
        <v>101</v>
      </c>
      <c r="AC1629" s="3"/>
    </row>
    <row r="1630" spans="1:29" x14ac:dyDescent="0.3">
      <c r="A1630" s="2" t="s">
        <v>7565</v>
      </c>
      <c r="B1630" s="2" t="s">
        <v>2285</v>
      </c>
      <c r="C1630" s="2" t="s">
        <v>1742</v>
      </c>
      <c r="D1630" s="2" t="s">
        <v>7566</v>
      </c>
      <c r="E1630" s="2" t="s">
        <v>33</v>
      </c>
      <c r="F1630" s="2" t="s">
        <v>2644</v>
      </c>
      <c r="G1630" s="2" t="s">
        <v>2075</v>
      </c>
      <c r="H1630" s="2" t="s">
        <v>2076</v>
      </c>
      <c r="I1630" s="2">
        <v>8</v>
      </c>
      <c r="J1630" s="2" t="s">
        <v>22</v>
      </c>
      <c r="K1630" s="2" t="s">
        <v>443</v>
      </c>
      <c r="L1630" s="2" t="s">
        <v>567</v>
      </c>
      <c r="M1630" s="2" t="s">
        <v>7567</v>
      </c>
      <c r="N1630" s="2" t="s">
        <v>1223</v>
      </c>
      <c r="O1630" s="2" t="s">
        <v>19</v>
      </c>
      <c r="P1630" s="2" t="s">
        <v>447</v>
      </c>
      <c r="Q1630" s="2" t="s">
        <v>287</v>
      </c>
      <c r="R1630" s="2">
        <v>1</v>
      </c>
      <c r="S1630" s="2">
        <v>42877.1</v>
      </c>
      <c r="T1630" s="2">
        <v>10</v>
      </c>
      <c r="U1630" s="2">
        <v>38589.39</v>
      </c>
      <c r="V1630" s="2">
        <v>23540.58</v>
      </c>
      <c r="W1630" s="2">
        <v>15048.81</v>
      </c>
      <c r="X1630" s="2">
        <v>39</v>
      </c>
      <c r="Y1630" s="2">
        <v>29</v>
      </c>
      <c r="Z1630" s="2" t="s">
        <v>48</v>
      </c>
      <c r="AA1630" s="2" t="s">
        <v>139</v>
      </c>
      <c r="AB1630" s="2" t="s">
        <v>140</v>
      </c>
      <c r="AC1630" s="2"/>
    </row>
    <row r="1631" spans="1:29" x14ac:dyDescent="0.3">
      <c r="A1631" s="3" t="s">
        <v>7568</v>
      </c>
      <c r="B1631" s="3" t="s">
        <v>7569</v>
      </c>
      <c r="C1631" s="3" t="s">
        <v>1077</v>
      </c>
      <c r="D1631" s="3" t="s">
        <v>7570</v>
      </c>
      <c r="E1631" s="3" t="s">
        <v>33</v>
      </c>
      <c r="F1631" s="3" t="s">
        <v>3679</v>
      </c>
      <c r="G1631" s="3" t="s">
        <v>2842</v>
      </c>
      <c r="H1631" s="3" t="s">
        <v>5596</v>
      </c>
      <c r="I1631" s="3">
        <v>3</v>
      </c>
      <c r="J1631" s="3" t="s">
        <v>39</v>
      </c>
      <c r="K1631" s="3" t="s">
        <v>109</v>
      </c>
      <c r="L1631" s="3" t="s">
        <v>344</v>
      </c>
      <c r="M1631" s="3" t="s">
        <v>7571</v>
      </c>
      <c r="N1631" s="3" t="s">
        <v>623</v>
      </c>
      <c r="O1631" s="3" t="s">
        <v>19</v>
      </c>
      <c r="P1631" s="3" t="s">
        <v>297</v>
      </c>
      <c r="Q1631" s="3" t="s">
        <v>466</v>
      </c>
      <c r="R1631" s="3">
        <v>5</v>
      </c>
      <c r="S1631" s="3">
        <v>26831.07</v>
      </c>
      <c r="T1631" s="3">
        <v>10</v>
      </c>
      <c r="U1631" s="3">
        <v>120739.82</v>
      </c>
      <c r="V1631" s="3">
        <v>69599.55</v>
      </c>
      <c r="W1631" s="3">
        <v>51140.27</v>
      </c>
      <c r="X1631" s="3">
        <v>42.36</v>
      </c>
      <c r="Y1631" s="3">
        <v>49</v>
      </c>
      <c r="Z1631" s="3" t="s">
        <v>48</v>
      </c>
      <c r="AA1631" s="3" t="s">
        <v>186</v>
      </c>
      <c r="AB1631" s="3" t="s">
        <v>101</v>
      </c>
      <c r="AC1631" s="3"/>
    </row>
    <row r="1632" spans="1:29" x14ac:dyDescent="0.3">
      <c r="A1632" s="2" t="s">
        <v>7572</v>
      </c>
      <c r="B1632" s="2" t="s">
        <v>7573</v>
      </c>
      <c r="C1632" s="2" t="s">
        <v>1451</v>
      </c>
      <c r="D1632" s="2" t="s">
        <v>7574</v>
      </c>
      <c r="E1632" s="2" t="s">
        <v>33</v>
      </c>
      <c r="F1632" s="2" t="s">
        <v>7451</v>
      </c>
      <c r="G1632" s="2" t="s">
        <v>899</v>
      </c>
      <c r="H1632" s="2" t="s">
        <v>3495</v>
      </c>
      <c r="I1632" s="2">
        <v>5</v>
      </c>
      <c r="J1632" s="2" t="s">
        <v>29</v>
      </c>
      <c r="K1632" s="2" t="s">
        <v>427</v>
      </c>
      <c r="L1632" s="2" t="s">
        <v>1871</v>
      </c>
      <c r="M1632" s="2" t="s">
        <v>7575</v>
      </c>
      <c r="N1632" s="2" t="s">
        <v>354</v>
      </c>
      <c r="O1632" s="2" t="s">
        <v>21</v>
      </c>
      <c r="P1632" s="2" t="s">
        <v>196</v>
      </c>
      <c r="Q1632" s="2" t="s">
        <v>197</v>
      </c>
      <c r="R1632" s="2">
        <v>2</v>
      </c>
      <c r="S1632" s="2">
        <v>34236.92</v>
      </c>
      <c r="T1632" s="2">
        <v>30</v>
      </c>
      <c r="U1632" s="2">
        <v>47931.69</v>
      </c>
      <c r="V1632" s="2">
        <v>21925.57</v>
      </c>
      <c r="W1632" s="2">
        <v>26006.12</v>
      </c>
      <c r="X1632" s="2">
        <v>54.26</v>
      </c>
      <c r="Y1632" s="2">
        <v>149</v>
      </c>
      <c r="Z1632" s="2" t="s">
        <v>43</v>
      </c>
      <c r="AA1632" s="2" t="s">
        <v>100</v>
      </c>
      <c r="AB1632" s="2" t="s">
        <v>101</v>
      </c>
      <c r="AC1632" s="2">
        <v>2</v>
      </c>
    </row>
    <row r="1633" spans="1:29" x14ac:dyDescent="0.3">
      <c r="A1633" s="3" t="s">
        <v>7576</v>
      </c>
      <c r="B1633" s="3" t="s">
        <v>5625</v>
      </c>
      <c r="C1633" s="3" t="s">
        <v>2590</v>
      </c>
      <c r="D1633" s="3" t="s">
        <v>7577</v>
      </c>
      <c r="E1633" s="3" t="s">
        <v>26</v>
      </c>
      <c r="F1633" s="3" t="s">
        <v>2775</v>
      </c>
      <c r="G1633" s="3" t="s">
        <v>7451</v>
      </c>
      <c r="H1633" s="3" t="s">
        <v>3495</v>
      </c>
      <c r="I1633" s="3">
        <v>7</v>
      </c>
      <c r="J1633" s="3" t="s">
        <v>22</v>
      </c>
      <c r="K1633" s="3" t="s">
        <v>283</v>
      </c>
      <c r="L1633" s="3" t="s">
        <v>284</v>
      </c>
      <c r="M1633" s="3" t="s">
        <v>7578</v>
      </c>
      <c r="N1633" s="3" t="s">
        <v>390</v>
      </c>
      <c r="O1633" s="3" t="s">
        <v>19</v>
      </c>
      <c r="P1633" s="3" t="s">
        <v>297</v>
      </c>
      <c r="Q1633" s="3" t="s">
        <v>127</v>
      </c>
      <c r="R1633" s="3">
        <v>1</v>
      </c>
      <c r="S1633" s="3">
        <v>3845.1</v>
      </c>
      <c r="T1633" s="3">
        <v>15</v>
      </c>
      <c r="U1633" s="3">
        <v>3268.34</v>
      </c>
      <c r="V1633" s="3">
        <v>2135.87</v>
      </c>
      <c r="W1633" s="3">
        <v>1132.47</v>
      </c>
      <c r="X1633" s="3">
        <v>34.65</v>
      </c>
      <c r="Y1633" s="3">
        <v>49</v>
      </c>
      <c r="Z1633" s="3" t="s">
        <v>48</v>
      </c>
      <c r="AA1633" s="3" t="s">
        <v>100</v>
      </c>
      <c r="AB1633" s="3" t="s">
        <v>101</v>
      </c>
      <c r="AC1633" s="3">
        <v>4</v>
      </c>
    </row>
    <row r="1634" spans="1:29" x14ac:dyDescent="0.3">
      <c r="A1634" s="2" t="s">
        <v>7579</v>
      </c>
      <c r="B1634" s="2" t="s">
        <v>7580</v>
      </c>
      <c r="C1634" s="2" t="s">
        <v>2779</v>
      </c>
      <c r="D1634" s="2" t="s">
        <v>7581</v>
      </c>
      <c r="E1634" s="2" t="s">
        <v>33</v>
      </c>
      <c r="F1634" s="2" t="s">
        <v>880</v>
      </c>
      <c r="G1634" s="2" t="s">
        <v>691</v>
      </c>
      <c r="H1634" s="2" t="s">
        <v>5187</v>
      </c>
      <c r="I1634" s="2">
        <v>5</v>
      </c>
      <c r="J1634" s="2" t="s">
        <v>14</v>
      </c>
      <c r="K1634" s="2" t="s">
        <v>183</v>
      </c>
      <c r="L1634" s="2" t="s">
        <v>183</v>
      </c>
      <c r="M1634" s="2" t="s">
        <v>591</v>
      </c>
      <c r="N1634" s="2" t="s">
        <v>354</v>
      </c>
      <c r="O1634" s="2" t="s">
        <v>21</v>
      </c>
      <c r="P1634" s="2" t="s">
        <v>196</v>
      </c>
      <c r="Q1634" s="2" t="s">
        <v>246</v>
      </c>
      <c r="R1634" s="2">
        <v>4</v>
      </c>
      <c r="S1634" s="2">
        <v>2606.2800000000002</v>
      </c>
      <c r="T1634" s="2">
        <v>10</v>
      </c>
      <c r="U1634" s="2">
        <v>9382.61</v>
      </c>
      <c r="V1634" s="2">
        <v>5378.65</v>
      </c>
      <c r="W1634" s="2">
        <v>4003.96</v>
      </c>
      <c r="X1634" s="2">
        <v>42.67</v>
      </c>
      <c r="Y1634" s="2">
        <v>99</v>
      </c>
      <c r="Z1634" s="2" t="s">
        <v>15</v>
      </c>
      <c r="AA1634" s="2" t="s">
        <v>100</v>
      </c>
      <c r="AB1634" s="2" t="s">
        <v>101</v>
      </c>
      <c r="AC1634" s="2"/>
    </row>
    <row r="1635" spans="1:29" x14ac:dyDescent="0.3">
      <c r="A1635" s="3" t="s">
        <v>7582</v>
      </c>
      <c r="B1635" s="3" t="s">
        <v>7583</v>
      </c>
      <c r="C1635" s="3" t="s">
        <v>5584</v>
      </c>
      <c r="D1635" s="3" t="s">
        <v>7584</v>
      </c>
      <c r="E1635" s="3" t="s">
        <v>33</v>
      </c>
      <c r="F1635" s="3" t="s">
        <v>1824</v>
      </c>
      <c r="G1635" s="3" t="s">
        <v>2243</v>
      </c>
      <c r="H1635" s="3" t="s">
        <v>1206</v>
      </c>
      <c r="I1635" s="3">
        <v>2</v>
      </c>
      <c r="J1635" s="3" t="s">
        <v>29</v>
      </c>
      <c r="K1635" s="3" t="s">
        <v>427</v>
      </c>
      <c r="L1635" s="3" t="s">
        <v>1871</v>
      </c>
      <c r="M1635" s="3" t="s">
        <v>2960</v>
      </c>
      <c r="N1635" s="3" t="s">
        <v>266</v>
      </c>
      <c r="O1635" s="3" t="s">
        <v>28</v>
      </c>
      <c r="P1635" s="3" t="s">
        <v>151</v>
      </c>
      <c r="Q1635" s="3" t="s">
        <v>466</v>
      </c>
      <c r="R1635" s="3">
        <v>4</v>
      </c>
      <c r="S1635" s="3">
        <v>47654.29</v>
      </c>
      <c r="T1635" s="3">
        <v>25</v>
      </c>
      <c r="U1635" s="3">
        <v>142962.87</v>
      </c>
      <c r="V1635" s="3">
        <v>74738.75</v>
      </c>
      <c r="W1635" s="3">
        <v>68224.12</v>
      </c>
      <c r="X1635" s="3">
        <v>47.72</v>
      </c>
      <c r="Y1635" s="3">
        <v>49</v>
      </c>
      <c r="Z1635" s="3" t="s">
        <v>40</v>
      </c>
      <c r="AA1635" s="3" t="s">
        <v>100</v>
      </c>
      <c r="AB1635" s="3" t="s">
        <v>101</v>
      </c>
      <c r="AC1635" s="3">
        <v>3</v>
      </c>
    </row>
    <row r="1636" spans="1:29" x14ac:dyDescent="0.3">
      <c r="A1636" s="2" t="s">
        <v>7585</v>
      </c>
      <c r="B1636" s="2" t="s">
        <v>7586</v>
      </c>
      <c r="C1636" s="2" t="s">
        <v>1038</v>
      </c>
      <c r="D1636" s="2" t="s">
        <v>7587</v>
      </c>
      <c r="E1636" s="2" t="s">
        <v>42</v>
      </c>
      <c r="F1636" s="2" t="s">
        <v>3740</v>
      </c>
      <c r="G1636" s="2" t="s">
        <v>2293</v>
      </c>
      <c r="H1636" s="2" t="s">
        <v>2294</v>
      </c>
      <c r="I1636" s="2">
        <v>4</v>
      </c>
      <c r="J1636" s="2" t="s">
        <v>14</v>
      </c>
      <c r="K1636" s="2" t="s">
        <v>215</v>
      </c>
      <c r="L1636" s="2" t="s">
        <v>215</v>
      </c>
      <c r="M1636" s="2" t="s">
        <v>2429</v>
      </c>
      <c r="N1636" s="2" t="s">
        <v>805</v>
      </c>
      <c r="O1636" s="2" t="s">
        <v>28</v>
      </c>
      <c r="P1636" s="2" t="s">
        <v>151</v>
      </c>
      <c r="Q1636" s="2" t="s">
        <v>466</v>
      </c>
      <c r="R1636" s="2">
        <v>3</v>
      </c>
      <c r="S1636" s="2">
        <v>35701.980000000003</v>
      </c>
      <c r="T1636" s="2">
        <v>30</v>
      </c>
      <c r="U1636" s="2">
        <v>74974.16</v>
      </c>
      <c r="V1636" s="2">
        <v>50104.85</v>
      </c>
      <c r="W1636" s="2">
        <v>24869.31</v>
      </c>
      <c r="X1636" s="2">
        <v>33.17</v>
      </c>
      <c r="Y1636" s="2">
        <v>199</v>
      </c>
      <c r="Z1636" s="2" t="s">
        <v>30</v>
      </c>
      <c r="AA1636" s="2" t="s">
        <v>100</v>
      </c>
      <c r="AB1636" s="2" t="s">
        <v>101</v>
      </c>
      <c r="AC1636" s="2">
        <v>4</v>
      </c>
    </row>
    <row r="1637" spans="1:29" x14ac:dyDescent="0.3">
      <c r="A1637" s="3" t="s">
        <v>7588</v>
      </c>
      <c r="B1637" s="3" t="s">
        <v>7589</v>
      </c>
      <c r="C1637" s="3" t="s">
        <v>707</v>
      </c>
      <c r="D1637" s="3" t="s">
        <v>7590</v>
      </c>
      <c r="E1637" s="3" t="s">
        <v>18</v>
      </c>
      <c r="F1637" s="3" t="s">
        <v>214</v>
      </c>
      <c r="G1637" s="3" t="s">
        <v>565</v>
      </c>
      <c r="H1637" s="3" t="s">
        <v>907</v>
      </c>
      <c r="I1637" s="3">
        <v>4</v>
      </c>
      <c r="J1637" s="3" t="s">
        <v>14</v>
      </c>
      <c r="K1637" s="3" t="s">
        <v>215</v>
      </c>
      <c r="L1637" s="3" t="s">
        <v>215</v>
      </c>
      <c r="M1637" s="3" t="s">
        <v>844</v>
      </c>
      <c r="N1637" s="3" t="s">
        <v>316</v>
      </c>
      <c r="O1637" s="3" t="s">
        <v>28</v>
      </c>
      <c r="P1637" s="3" t="s">
        <v>137</v>
      </c>
      <c r="Q1637" s="3" t="s">
        <v>509</v>
      </c>
      <c r="R1637" s="3">
        <v>1</v>
      </c>
      <c r="S1637" s="3">
        <v>28925.52</v>
      </c>
      <c r="T1637" s="3">
        <v>10</v>
      </c>
      <c r="U1637" s="3">
        <v>26032.97</v>
      </c>
      <c r="V1637" s="3">
        <v>16913.54</v>
      </c>
      <c r="W1637" s="3">
        <v>9119.43</v>
      </c>
      <c r="X1637" s="3">
        <v>35.03</v>
      </c>
      <c r="Y1637" s="3">
        <v>199</v>
      </c>
      <c r="Z1637" s="3" t="s">
        <v>40</v>
      </c>
      <c r="AA1637" s="3" t="s">
        <v>100</v>
      </c>
      <c r="AB1637" s="3" t="s">
        <v>101</v>
      </c>
      <c r="AC1637" s="3">
        <v>3</v>
      </c>
    </row>
    <row r="1638" spans="1:29" x14ac:dyDescent="0.3">
      <c r="A1638" s="2" t="s">
        <v>7591</v>
      </c>
      <c r="B1638" s="2" t="s">
        <v>7592</v>
      </c>
      <c r="C1638" s="2" t="s">
        <v>2147</v>
      </c>
      <c r="D1638" s="2" t="s">
        <v>7593</v>
      </c>
      <c r="E1638" s="2" t="s">
        <v>33</v>
      </c>
      <c r="F1638" s="2" t="s">
        <v>880</v>
      </c>
      <c r="G1638" s="2" t="s">
        <v>691</v>
      </c>
      <c r="H1638" s="2" t="s">
        <v>302</v>
      </c>
      <c r="I1638" s="2">
        <v>8</v>
      </c>
      <c r="J1638" s="2" t="s">
        <v>29</v>
      </c>
      <c r="K1638" s="2" t="s">
        <v>427</v>
      </c>
      <c r="L1638" s="2" t="s">
        <v>1081</v>
      </c>
      <c r="M1638" s="2" t="s">
        <v>7594</v>
      </c>
      <c r="N1638" s="2" t="s">
        <v>533</v>
      </c>
      <c r="O1638" s="2" t="s">
        <v>19</v>
      </c>
      <c r="P1638" s="2" t="s">
        <v>297</v>
      </c>
      <c r="Q1638" s="2" t="s">
        <v>400</v>
      </c>
      <c r="R1638" s="2">
        <v>4</v>
      </c>
      <c r="S1638" s="2">
        <v>38532.559999999998</v>
      </c>
      <c r="T1638" s="2">
        <v>5</v>
      </c>
      <c r="U1638" s="2">
        <v>146423.73000000001</v>
      </c>
      <c r="V1638" s="2">
        <v>95103.29</v>
      </c>
      <c r="W1638" s="2">
        <v>51320.44</v>
      </c>
      <c r="X1638" s="2">
        <v>35.049999999999997</v>
      </c>
      <c r="Y1638" s="2">
        <v>0</v>
      </c>
      <c r="Z1638" s="2" t="s">
        <v>47</v>
      </c>
      <c r="AA1638" s="2" t="s">
        <v>672</v>
      </c>
      <c r="AB1638" s="2" t="s">
        <v>101</v>
      </c>
      <c r="AC1638" s="2"/>
    </row>
    <row r="1639" spans="1:29" x14ac:dyDescent="0.3">
      <c r="A1639" s="3" t="s">
        <v>7595</v>
      </c>
      <c r="B1639" s="3" t="s">
        <v>7596</v>
      </c>
      <c r="C1639" s="3" t="s">
        <v>495</v>
      </c>
      <c r="D1639" s="3" t="s">
        <v>7597</v>
      </c>
      <c r="E1639" s="3" t="s">
        <v>33</v>
      </c>
      <c r="F1639" s="3" t="s">
        <v>955</v>
      </c>
      <c r="G1639" s="3" t="s">
        <v>3399</v>
      </c>
      <c r="H1639" s="3" t="s">
        <v>3973</v>
      </c>
      <c r="I1639" s="3">
        <v>6</v>
      </c>
      <c r="J1639" s="3" t="s">
        <v>14</v>
      </c>
      <c r="K1639" s="3" t="s">
        <v>712</v>
      </c>
      <c r="L1639" s="3" t="s">
        <v>712</v>
      </c>
      <c r="M1639" s="3" t="s">
        <v>2981</v>
      </c>
      <c r="N1639" s="3" t="s">
        <v>533</v>
      </c>
      <c r="O1639" s="3" t="s">
        <v>19</v>
      </c>
      <c r="P1639" s="3" t="s">
        <v>297</v>
      </c>
      <c r="Q1639" s="3" t="s">
        <v>246</v>
      </c>
      <c r="R1639" s="3">
        <v>4</v>
      </c>
      <c r="S1639" s="3">
        <v>4336.7</v>
      </c>
      <c r="T1639" s="3">
        <v>0</v>
      </c>
      <c r="U1639" s="3">
        <v>17346.8</v>
      </c>
      <c r="V1639" s="3">
        <v>8715.9599999999991</v>
      </c>
      <c r="W1639" s="3">
        <v>8630.84</v>
      </c>
      <c r="X1639" s="3">
        <v>49.75</v>
      </c>
      <c r="Y1639" s="3">
        <v>29</v>
      </c>
      <c r="Z1639" s="3" t="s">
        <v>23</v>
      </c>
      <c r="AA1639" s="3" t="s">
        <v>100</v>
      </c>
      <c r="AB1639" s="3" t="s">
        <v>140</v>
      </c>
      <c r="AC1639" s="3">
        <v>5</v>
      </c>
    </row>
    <row r="1640" spans="1:29" x14ac:dyDescent="0.3">
      <c r="A1640" s="2" t="s">
        <v>7598</v>
      </c>
      <c r="B1640" s="2" t="s">
        <v>7599</v>
      </c>
      <c r="C1640" s="2" t="s">
        <v>816</v>
      </c>
      <c r="D1640" s="2" t="s">
        <v>7062</v>
      </c>
      <c r="E1640" s="2" t="s">
        <v>42</v>
      </c>
      <c r="F1640" s="2" t="s">
        <v>3406</v>
      </c>
      <c r="G1640" s="2" t="s">
        <v>2008</v>
      </c>
      <c r="H1640" s="2" t="s">
        <v>627</v>
      </c>
      <c r="I1640" s="2">
        <v>6</v>
      </c>
      <c r="J1640" s="2" t="s">
        <v>22</v>
      </c>
      <c r="K1640" s="2" t="s">
        <v>122</v>
      </c>
      <c r="L1640" s="2" t="s">
        <v>812</v>
      </c>
      <c r="M1640" s="2" t="s">
        <v>7600</v>
      </c>
      <c r="N1640" s="2" t="s">
        <v>805</v>
      </c>
      <c r="O1640" s="2" t="s">
        <v>28</v>
      </c>
      <c r="P1640" s="2" t="s">
        <v>151</v>
      </c>
      <c r="Q1640" s="2" t="s">
        <v>114</v>
      </c>
      <c r="R1640" s="2">
        <v>3</v>
      </c>
      <c r="S1640" s="2">
        <v>9044.19</v>
      </c>
      <c r="T1640" s="2">
        <v>30</v>
      </c>
      <c r="U1640" s="2">
        <v>18992.8</v>
      </c>
      <c r="V1640" s="2">
        <v>11706.71</v>
      </c>
      <c r="W1640" s="2">
        <v>7286.09</v>
      </c>
      <c r="X1640" s="2">
        <v>38.36</v>
      </c>
      <c r="Y1640" s="2">
        <v>99</v>
      </c>
      <c r="Z1640" s="2" t="s">
        <v>48</v>
      </c>
      <c r="AA1640" s="2" t="s">
        <v>100</v>
      </c>
      <c r="AB1640" s="2" t="s">
        <v>101</v>
      </c>
      <c r="AC1640" s="2">
        <v>1</v>
      </c>
    </row>
    <row r="1641" spans="1:29" x14ac:dyDescent="0.3">
      <c r="A1641" s="3" t="s">
        <v>7601</v>
      </c>
      <c r="B1641" s="3" t="s">
        <v>3900</v>
      </c>
      <c r="C1641" s="3" t="s">
        <v>231</v>
      </c>
      <c r="D1641" s="3" t="s">
        <v>7602</v>
      </c>
      <c r="E1641" s="3" t="s">
        <v>33</v>
      </c>
      <c r="F1641" s="3" t="s">
        <v>4808</v>
      </c>
      <c r="G1641" s="3" t="s">
        <v>7080</v>
      </c>
      <c r="H1641" s="3" t="s">
        <v>2376</v>
      </c>
      <c r="I1641" s="3">
        <v>8</v>
      </c>
      <c r="J1641" s="3" t="s">
        <v>14</v>
      </c>
      <c r="K1641" s="3" t="s">
        <v>183</v>
      </c>
      <c r="L1641" s="3" t="s">
        <v>183</v>
      </c>
      <c r="M1641" s="3" t="s">
        <v>7603</v>
      </c>
      <c r="N1641" s="3" t="s">
        <v>1603</v>
      </c>
      <c r="O1641" s="3" t="s">
        <v>19</v>
      </c>
      <c r="P1641" s="3" t="s">
        <v>365</v>
      </c>
      <c r="Q1641" s="3" t="s">
        <v>509</v>
      </c>
      <c r="R1641" s="3">
        <v>1</v>
      </c>
      <c r="S1641" s="3">
        <v>20000.689999999999</v>
      </c>
      <c r="T1641" s="3">
        <v>0</v>
      </c>
      <c r="U1641" s="3">
        <v>20000.689999999999</v>
      </c>
      <c r="V1641" s="3">
        <v>11921.26</v>
      </c>
      <c r="W1641" s="3">
        <v>8079.43</v>
      </c>
      <c r="X1641" s="3">
        <v>40.4</v>
      </c>
      <c r="Y1641" s="3">
        <v>49</v>
      </c>
      <c r="Z1641" s="3" t="s">
        <v>40</v>
      </c>
      <c r="AA1641" s="3" t="s">
        <v>100</v>
      </c>
      <c r="AB1641" s="3" t="s">
        <v>101</v>
      </c>
      <c r="AC1641" s="3">
        <v>5</v>
      </c>
    </row>
    <row r="1642" spans="1:29" x14ac:dyDescent="0.3">
      <c r="A1642" s="2" t="s">
        <v>7604</v>
      </c>
      <c r="B1642" s="2" t="s">
        <v>7605</v>
      </c>
      <c r="C1642" s="2" t="s">
        <v>3547</v>
      </c>
      <c r="D1642" s="2" t="s">
        <v>7606</v>
      </c>
      <c r="E1642" s="2" t="s">
        <v>18</v>
      </c>
      <c r="F1642" s="2" t="s">
        <v>975</v>
      </c>
      <c r="G1642" s="2" t="s">
        <v>435</v>
      </c>
      <c r="H1642" s="2" t="s">
        <v>3610</v>
      </c>
      <c r="I1642" s="2">
        <v>5</v>
      </c>
      <c r="J1642" s="2" t="s">
        <v>22</v>
      </c>
      <c r="K1642" s="2" t="s">
        <v>254</v>
      </c>
      <c r="L1642" s="2" t="s">
        <v>254</v>
      </c>
      <c r="M1642" s="2" t="s">
        <v>7607</v>
      </c>
      <c r="N1642" s="2" t="s">
        <v>97</v>
      </c>
      <c r="O1642" s="2" t="s">
        <v>13</v>
      </c>
      <c r="P1642" s="2" t="s">
        <v>98</v>
      </c>
      <c r="Q1642" s="2" t="s">
        <v>207</v>
      </c>
      <c r="R1642" s="2">
        <v>2</v>
      </c>
      <c r="S1642" s="2">
        <v>30465.97</v>
      </c>
      <c r="T1642" s="2">
        <v>10</v>
      </c>
      <c r="U1642" s="2">
        <v>54838.75</v>
      </c>
      <c r="V1642" s="2">
        <v>25446.07</v>
      </c>
      <c r="W1642" s="2">
        <v>29392.68</v>
      </c>
      <c r="X1642" s="2">
        <v>53.6</v>
      </c>
      <c r="Y1642" s="2">
        <v>149</v>
      </c>
      <c r="Z1642" s="2" t="s">
        <v>48</v>
      </c>
      <c r="AA1642" s="2" t="s">
        <v>186</v>
      </c>
      <c r="AB1642" s="2" t="s">
        <v>101</v>
      </c>
      <c r="AC1642" s="2"/>
    </row>
    <row r="1643" spans="1:29" x14ac:dyDescent="0.3">
      <c r="A1643" s="3" t="s">
        <v>7608</v>
      </c>
      <c r="B1643" s="3" t="s">
        <v>7609</v>
      </c>
      <c r="C1643" s="3" t="s">
        <v>2147</v>
      </c>
      <c r="D1643" s="3" t="s">
        <v>6187</v>
      </c>
      <c r="E1643" s="3" t="s">
        <v>42</v>
      </c>
      <c r="F1643" s="3" t="s">
        <v>1329</v>
      </c>
      <c r="G1643" s="3" t="s">
        <v>169</v>
      </c>
      <c r="H1643" s="3" t="s">
        <v>272</v>
      </c>
      <c r="I1643" s="3">
        <v>5</v>
      </c>
      <c r="J1643" s="3" t="s">
        <v>39</v>
      </c>
      <c r="K1643" s="3" t="s">
        <v>225</v>
      </c>
      <c r="L1643" s="3" t="s">
        <v>225</v>
      </c>
      <c r="M1643" s="3" t="s">
        <v>7610</v>
      </c>
      <c r="N1643" s="3" t="s">
        <v>354</v>
      </c>
      <c r="O1643" s="3" t="s">
        <v>21</v>
      </c>
      <c r="P1643" s="3" t="s">
        <v>196</v>
      </c>
      <c r="Q1643" s="3" t="s">
        <v>207</v>
      </c>
      <c r="R1643" s="3">
        <v>1</v>
      </c>
      <c r="S1643" s="3">
        <v>7686.77</v>
      </c>
      <c r="T1643" s="3">
        <v>0</v>
      </c>
      <c r="U1643" s="3">
        <v>7686.77</v>
      </c>
      <c r="V1643" s="3">
        <v>5214.4799999999996</v>
      </c>
      <c r="W1643" s="3">
        <v>2472.29</v>
      </c>
      <c r="X1643" s="3">
        <v>32.159999999999997</v>
      </c>
      <c r="Y1643" s="3">
        <v>0</v>
      </c>
      <c r="Z1643" s="3" t="s">
        <v>30</v>
      </c>
      <c r="AA1643" s="3" t="s">
        <v>275</v>
      </c>
      <c r="AB1643" s="3" t="s">
        <v>101</v>
      </c>
      <c r="AC1643" s="3"/>
    </row>
    <row r="1644" spans="1:29" x14ac:dyDescent="0.3">
      <c r="A1644" s="2" t="s">
        <v>7611</v>
      </c>
      <c r="B1644" s="2" t="s">
        <v>7612</v>
      </c>
      <c r="C1644" s="2" t="s">
        <v>178</v>
      </c>
      <c r="D1644" s="2" t="s">
        <v>7613</v>
      </c>
      <c r="E1644" s="2" t="s">
        <v>42</v>
      </c>
      <c r="F1644" s="2" t="s">
        <v>516</v>
      </c>
      <c r="G1644" s="2" t="s">
        <v>1113</v>
      </c>
      <c r="H1644" s="2" t="s">
        <v>1048</v>
      </c>
      <c r="I1644" s="2">
        <v>2</v>
      </c>
      <c r="J1644" s="2" t="s">
        <v>29</v>
      </c>
      <c r="K1644" s="2" t="s">
        <v>834</v>
      </c>
      <c r="L1644" s="2" t="s">
        <v>835</v>
      </c>
      <c r="M1644" s="2" t="s">
        <v>4371</v>
      </c>
      <c r="N1644" s="2" t="s">
        <v>418</v>
      </c>
      <c r="O1644" s="2" t="s">
        <v>13</v>
      </c>
      <c r="P1644" s="2" t="s">
        <v>419</v>
      </c>
      <c r="Q1644" s="2" t="s">
        <v>218</v>
      </c>
      <c r="R1644" s="2">
        <v>1</v>
      </c>
      <c r="S1644" s="2">
        <v>22556.87</v>
      </c>
      <c r="T1644" s="2">
        <v>10</v>
      </c>
      <c r="U1644" s="2">
        <v>20301.18</v>
      </c>
      <c r="V1644" s="2">
        <v>10691.42</v>
      </c>
      <c r="W1644" s="2">
        <v>9609.76</v>
      </c>
      <c r="X1644" s="2">
        <v>47.34</v>
      </c>
      <c r="Y1644" s="2">
        <v>149</v>
      </c>
      <c r="Z1644" s="2" t="s">
        <v>30</v>
      </c>
      <c r="AA1644" s="2" t="s">
        <v>186</v>
      </c>
      <c r="AB1644" s="2" t="s">
        <v>101</v>
      </c>
      <c r="AC1644" s="2"/>
    </row>
    <row r="1645" spans="1:29" x14ac:dyDescent="0.3">
      <c r="A1645" s="3" t="s">
        <v>7614</v>
      </c>
      <c r="B1645" s="3" t="s">
        <v>7615</v>
      </c>
      <c r="C1645" s="3" t="s">
        <v>1085</v>
      </c>
      <c r="D1645" s="3" t="s">
        <v>7616</v>
      </c>
      <c r="E1645" s="3" t="s">
        <v>33</v>
      </c>
      <c r="F1645" s="3" t="s">
        <v>3036</v>
      </c>
      <c r="G1645" s="3" t="s">
        <v>1646</v>
      </c>
      <c r="H1645" s="3" t="s">
        <v>2439</v>
      </c>
      <c r="I1645" s="3">
        <v>8</v>
      </c>
      <c r="J1645" s="3" t="s">
        <v>22</v>
      </c>
      <c r="K1645" s="3" t="s">
        <v>738</v>
      </c>
      <c r="L1645" s="3" t="s">
        <v>738</v>
      </c>
      <c r="M1645" s="3" t="s">
        <v>7401</v>
      </c>
      <c r="N1645" s="3" t="s">
        <v>484</v>
      </c>
      <c r="O1645" s="3" t="s">
        <v>13</v>
      </c>
      <c r="P1645" s="3" t="s">
        <v>98</v>
      </c>
      <c r="Q1645" s="3" t="s">
        <v>400</v>
      </c>
      <c r="R1645" s="3">
        <v>4</v>
      </c>
      <c r="S1645" s="3">
        <v>37196.559999999998</v>
      </c>
      <c r="T1645" s="3">
        <v>5</v>
      </c>
      <c r="U1645" s="3">
        <v>141346.93</v>
      </c>
      <c r="V1645" s="3">
        <v>69212.89</v>
      </c>
      <c r="W1645" s="3">
        <v>72134.039999999994</v>
      </c>
      <c r="X1645" s="3">
        <v>51.03</v>
      </c>
      <c r="Y1645" s="3">
        <v>29</v>
      </c>
      <c r="Z1645" s="3" t="s">
        <v>23</v>
      </c>
      <c r="AA1645" s="3" t="s">
        <v>100</v>
      </c>
      <c r="AB1645" s="3" t="s">
        <v>101</v>
      </c>
      <c r="AC1645" s="3"/>
    </row>
    <row r="1646" spans="1:29" x14ac:dyDescent="0.3">
      <c r="A1646" s="2" t="s">
        <v>7617</v>
      </c>
      <c r="B1646" s="2" t="s">
        <v>7618</v>
      </c>
      <c r="C1646" s="2" t="s">
        <v>2339</v>
      </c>
      <c r="D1646" s="2" t="s">
        <v>7619</v>
      </c>
      <c r="E1646" s="2" t="s">
        <v>42</v>
      </c>
      <c r="F1646" s="2" t="s">
        <v>3373</v>
      </c>
      <c r="G1646" s="2" t="s">
        <v>2264</v>
      </c>
      <c r="H1646" s="2" t="s">
        <v>2653</v>
      </c>
      <c r="I1646" s="2">
        <v>6</v>
      </c>
      <c r="J1646" s="2" t="s">
        <v>29</v>
      </c>
      <c r="K1646" s="2" t="s">
        <v>427</v>
      </c>
      <c r="L1646" s="2" t="s">
        <v>1871</v>
      </c>
      <c r="M1646" s="2" t="s">
        <v>5137</v>
      </c>
      <c r="N1646" s="2" t="s">
        <v>286</v>
      </c>
      <c r="O1646" s="2" t="s">
        <v>28</v>
      </c>
      <c r="P1646" s="2" t="s">
        <v>137</v>
      </c>
      <c r="Q1646" s="2" t="s">
        <v>509</v>
      </c>
      <c r="R1646" s="2">
        <v>1</v>
      </c>
      <c r="S1646" s="2">
        <v>13241.29</v>
      </c>
      <c r="T1646" s="2">
        <v>0</v>
      </c>
      <c r="U1646" s="2">
        <v>13241.29</v>
      </c>
      <c r="V1646" s="2">
        <v>7572.31</v>
      </c>
      <c r="W1646" s="2">
        <v>5668.98</v>
      </c>
      <c r="X1646" s="2">
        <v>42.81</v>
      </c>
      <c r="Y1646" s="2">
        <v>29</v>
      </c>
      <c r="Z1646" s="2" t="s">
        <v>48</v>
      </c>
      <c r="AA1646" s="2" t="s">
        <v>100</v>
      </c>
      <c r="AB1646" s="2" t="s">
        <v>140</v>
      </c>
      <c r="AC1646" s="2">
        <v>5</v>
      </c>
    </row>
    <row r="1647" spans="1:29" x14ac:dyDescent="0.3">
      <c r="A1647" s="3" t="s">
        <v>7620</v>
      </c>
      <c r="B1647" s="3" t="s">
        <v>7621</v>
      </c>
      <c r="C1647" s="3" t="s">
        <v>1395</v>
      </c>
      <c r="D1647" s="3" t="s">
        <v>7622</v>
      </c>
      <c r="E1647" s="3" t="s">
        <v>18</v>
      </c>
      <c r="F1647" s="3" t="s">
        <v>6094</v>
      </c>
      <c r="G1647" s="3" t="s">
        <v>6838</v>
      </c>
      <c r="H1647" s="3" t="s">
        <v>1133</v>
      </c>
      <c r="I1647" s="3">
        <v>3</v>
      </c>
      <c r="J1647" s="3" t="s">
        <v>22</v>
      </c>
      <c r="K1647" s="3" t="s">
        <v>443</v>
      </c>
      <c r="L1647" s="3" t="s">
        <v>498</v>
      </c>
      <c r="M1647" s="3" t="s">
        <v>7623</v>
      </c>
      <c r="N1647" s="3" t="s">
        <v>438</v>
      </c>
      <c r="O1647" s="3" t="s">
        <v>13</v>
      </c>
      <c r="P1647" s="3" t="s">
        <v>228</v>
      </c>
      <c r="Q1647" s="3" t="s">
        <v>114</v>
      </c>
      <c r="R1647" s="3">
        <v>1</v>
      </c>
      <c r="S1647" s="3">
        <v>32725.45</v>
      </c>
      <c r="T1647" s="3">
        <v>5</v>
      </c>
      <c r="U1647" s="3">
        <v>31089.18</v>
      </c>
      <c r="V1647" s="3">
        <v>21166.25</v>
      </c>
      <c r="W1647" s="3">
        <v>9922.93</v>
      </c>
      <c r="X1647" s="3">
        <v>31.92</v>
      </c>
      <c r="Y1647" s="3">
        <v>0</v>
      </c>
      <c r="Z1647" s="3" t="s">
        <v>47</v>
      </c>
      <c r="AA1647" s="3" t="s">
        <v>275</v>
      </c>
      <c r="AB1647" s="3" t="s">
        <v>101</v>
      </c>
      <c r="AC1647" s="3"/>
    </row>
    <row r="1648" spans="1:29" x14ac:dyDescent="0.3">
      <c r="A1648" s="2" t="s">
        <v>7624</v>
      </c>
      <c r="B1648" s="2" t="s">
        <v>7625</v>
      </c>
      <c r="C1648" s="2" t="s">
        <v>716</v>
      </c>
      <c r="D1648" s="2" t="s">
        <v>7626</v>
      </c>
      <c r="E1648" s="2" t="s">
        <v>26</v>
      </c>
      <c r="F1648" s="2" t="s">
        <v>2450</v>
      </c>
      <c r="G1648" s="2" t="s">
        <v>2253</v>
      </c>
      <c r="H1648" s="2" t="s">
        <v>1931</v>
      </c>
      <c r="I1648" s="2">
        <v>3</v>
      </c>
      <c r="J1648" s="2" t="s">
        <v>29</v>
      </c>
      <c r="K1648" s="2" t="s">
        <v>334</v>
      </c>
      <c r="L1648" s="2" t="s">
        <v>1073</v>
      </c>
      <c r="M1648" s="2" t="s">
        <v>7627</v>
      </c>
      <c r="N1648" s="2" t="s">
        <v>97</v>
      </c>
      <c r="O1648" s="2" t="s">
        <v>13</v>
      </c>
      <c r="P1648" s="2" t="s">
        <v>98</v>
      </c>
      <c r="Q1648" s="2" t="s">
        <v>152</v>
      </c>
      <c r="R1648" s="2">
        <v>4</v>
      </c>
      <c r="S1648" s="2">
        <v>34198.35</v>
      </c>
      <c r="T1648" s="2">
        <v>5</v>
      </c>
      <c r="U1648" s="2">
        <v>129953.73</v>
      </c>
      <c r="V1648" s="2">
        <v>74815.41</v>
      </c>
      <c r="W1648" s="2">
        <v>55138.32</v>
      </c>
      <c r="X1648" s="2">
        <v>42.43</v>
      </c>
      <c r="Y1648" s="2">
        <v>99</v>
      </c>
      <c r="Z1648" s="2" t="s">
        <v>40</v>
      </c>
      <c r="AA1648" s="2" t="s">
        <v>100</v>
      </c>
      <c r="AB1648" s="2" t="s">
        <v>101</v>
      </c>
      <c r="AC1648" s="2"/>
    </row>
    <row r="1649" spans="1:29" x14ac:dyDescent="0.3">
      <c r="A1649" s="3" t="s">
        <v>7628</v>
      </c>
      <c r="B1649" s="3" t="s">
        <v>7629</v>
      </c>
      <c r="C1649" s="3" t="s">
        <v>2834</v>
      </c>
      <c r="D1649" s="3" t="s">
        <v>7630</v>
      </c>
      <c r="E1649" s="3" t="s">
        <v>26</v>
      </c>
      <c r="F1649" s="3" t="s">
        <v>3041</v>
      </c>
      <c r="G1649" s="3" t="s">
        <v>3237</v>
      </c>
      <c r="H1649" s="3" t="s">
        <v>5332</v>
      </c>
      <c r="I1649" s="3">
        <v>4</v>
      </c>
      <c r="J1649" s="3" t="s">
        <v>29</v>
      </c>
      <c r="K1649" s="3" t="s">
        <v>148</v>
      </c>
      <c r="L1649" s="3" t="s">
        <v>148</v>
      </c>
      <c r="M1649" s="3" t="s">
        <v>7631</v>
      </c>
      <c r="N1649" s="3" t="s">
        <v>805</v>
      </c>
      <c r="O1649" s="3" t="s">
        <v>28</v>
      </c>
      <c r="P1649" s="3" t="s">
        <v>151</v>
      </c>
      <c r="Q1649" s="3" t="s">
        <v>246</v>
      </c>
      <c r="R1649" s="3">
        <v>2</v>
      </c>
      <c r="S1649" s="3">
        <v>33751.5</v>
      </c>
      <c r="T1649" s="3">
        <v>10</v>
      </c>
      <c r="U1649" s="3">
        <v>60752.7</v>
      </c>
      <c r="V1649" s="3">
        <v>27454.89</v>
      </c>
      <c r="W1649" s="3">
        <v>33297.81</v>
      </c>
      <c r="X1649" s="3">
        <v>54.81</v>
      </c>
      <c r="Y1649" s="3">
        <v>49</v>
      </c>
      <c r="Z1649" s="3" t="s">
        <v>15</v>
      </c>
      <c r="AA1649" s="3" t="s">
        <v>100</v>
      </c>
      <c r="AB1649" s="3" t="s">
        <v>101</v>
      </c>
      <c r="AC1649" s="3">
        <v>4</v>
      </c>
    </row>
    <row r="1650" spans="1:29" x14ac:dyDescent="0.3">
      <c r="A1650" s="2" t="s">
        <v>7632</v>
      </c>
      <c r="B1650" s="2" t="s">
        <v>7633</v>
      </c>
      <c r="C1650" s="2" t="s">
        <v>4617</v>
      </c>
      <c r="D1650" s="2" t="s">
        <v>7634</v>
      </c>
      <c r="E1650" s="2" t="s">
        <v>18</v>
      </c>
      <c r="F1650" s="2" t="s">
        <v>1185</v>
      </c>
      <c r="G1650" s="2" t="s">
        <v>3561</v>
      </c>
      <c r="H1650" s="2" t="s">
        <v>5295</v>
      </c>
      <c r="I1650" s="2">
        <v>2</v>
      </c>
      <c r="J1650" s="2" t="s">
        <v>22</v>
      </c>
      <c r="K1650" s="2" t="s">
        <v>122</v>
      </c>
      <c r="L1650" s="2" t="s">
        <v>236</v>
      </c>
      <c r="M1650" s="2" t="s">
        <v>7635</v>
      </c>
      <c r="N1650" s="2" t="s">
        <v>583</v>
      </c>
      <c r="O1650" s="2" t="s">
        <v>19</v>
      </c>
      <c r="P1650" s="2" t="s">
        <v>447</v>
      </c>
      <c r="Q1650" s="2" t="s">
        <v>114</v>
      </c>
      <c r="R1650" s="2">
        <v>1</v>
      </c>
      <c r="S1650" s="2">
        <v>40443.160000000003</v>
      </c>
      <c r="T1650" s="2">
        <v>20</v>
      </c>
      <c r="U1650" s="2">
        <v>32354.53</v>
      </c>
      <c r="V1650" s="2">
        <v>22643.54</v>
      </c>
      <c r="W1650" s="2">
        <v>9710.99</v>
      </c>
      <c r="X1650" s="2">
        <v>30.01</v>
      </c>
      <c r="Y1650" s="2">
        <v>99</v>
      </c>
      <c r="Z1650" s="2" t="s">
        <v>15</v>
      </c>
      <c r="AA1650" s="2" t="s">
        <v>100</v>
      </c>
      <c r="AB1650" s="2" t="s">
        <v>101</v>
      </c>
      <c r="AC1650" s="2">
        <v>3</v>
      </c>
    </row>
    <row r="1651" spans="1:29" x14ac:dyDescent="0.3">
      <c r="A1651" s="3" t="s">
        <v>7636</v>
      </c>
      <c r="B1651" s="3" t="s">
        <v>7637</v>
      </c>
      <c r="C1651" s="3" t="s">
        <v>459</v>
      </c>
      <c r="D1651" s="3" t="s">
        <v>4176</v>
      </c>
      <c r="E1651" s="3" t="s">
        <v>42</v>
      </c>
      <c r="F1651" s="3" t="s">
        <v>5475</v>
      </c>
      <c r="G1651" s="3" t="s">
        <v>2023</v>
      </c>
      <c r="H1651" s="3" t="s">
        <v>3797</v>
      </c>
      <c r="I1651" s="3">
        <v>7</v>
      </c>
      <c r="J1651" s="3" t="s">
        <v>14</v>
      </c>
      <c r="K1651" s="3" t="s">
        <v>712</v>
      </c>
      <c r="L1651" s="3" t="s">
        <v>712</v>
      </c>
      <c r="M1651" s="3" t="s">
        <v>3311</v>
      </c>
      <c r="N1651" s="3" t="s">
        <v>185</v>
      </c>
      <c r="O1651" s="3" t="s">
        <v>28</v>
      </c>
      <c r="P1651" s="3" t="s">
        <v>151</v>
      </c>
      <c r="Q1651" s="3" t="s">
        <v>152</v>
      </c>
      <c r="R1651" s="3">
        <v>4</v>
      </c>
      <c r="S1651" s="3">
        <v>21870.639999999999</v>
      </c>
      <c r="T1651" s="3">
        <v>5</v>
      </c>
      <c r="U1651" s="3">
        <v>83108.429999999993</v>
      </c>
      <c r="V1651" s="3">
        <v>39065.129999999997</v>
      </c>
      <c r="W1651" s="3">
        <v>44043.3</v>
      </c>
      <c r="X1651" s="3">
        <v>52.99</v>
      </c>
      <c r="Y1651" s="3">
        <v>99</v>
      </c>
      <c r="Z1651" s="3" t="s">
        <v>47</v>
      </c>
      <c r="AA1651" s="3" t="s">
        <v>186</v>
      </c>
      <c r="AB1651" s="3" t="s">
        <v>101</v>
      </c>
      <c r="AC1651" s="3"/>
    </row>
    <row r="1652" spans="1:29" x14ac:dyDescent="0.3">
      <c r="A1652" s="2" t="s">
        <v>7638</v>
      </c>
      <c r="B1652" s="2" t="s">
        <v>7639</v>
      </c>
      <c r="C1652" s="2" t="s">
        <v>249</v>
      </c>
      <c r="D1652" s="2" t="s">
        <v>7640</v>
      </c>
      <c r="E1652" s="2" t="s">
        <v>33</v>
      </c>
      <c r="F1652" s="2" t="s">
        <v>3973</v>
      </c>
      <c r="G1652" s="2" t="s">
        <v>1359</v>
      </c>
      <c r="H1652" s="2" t="s">
        <v>729</v>
      </c>
      <c r="I1652" s="2">
        <v>2</v>
      </c>
      <c r="J1652" s="2" t="s">
        <v>14</v>
      </c>
      <c r="K1652" s="2" t="s">
        <v>95</v>
      </c>
      <c r="L1652" s="2" t="s">
        <v>95</v>
      </c>
      <c r="M1652" s="2" t="s">
        <v>2901</v>
      </c>
      <c r="N1652" s="2" t="s">
        <v>484</v>
      </c>
      <c r="O1652" s="2" t="s">
        <v>13</v>
      </c>
      <c r="P1652" s="2" t="s">
        <v>98</v>
      </c>
      <c r="Q1652" s="2" t="s">
        <v>509</v>
      </c>
      <c r="R1652" s="2">
        <v>3</v>
      </c>
      <c r="S1652" s="2">
        <v>46991.21</v>
      </c>
      <c r="T1652" s="2">
        <v>0</v>
      </c>
      <c r="U1652" s="2">
        <v>140973.63</v>
      </c>
      <c r="V1652" s="2">
        <v>71038.78</v>
      </c>
      <c r="W1652" s="2">
        <v>69934.850000000006</v>
      </c>
      <c r="X1652" s="2">
        <v>49.61</v>
      </c>
      <c r="Y1652" s="2">
        <v>149</v>
      </c>
      <c r="Z1652" s="2" t="s">
        <v>30</v>
      </c>
      <c r="AA1652" s="2" t="s">
        <v>186</v>
      </c>
      <c r="AB1652" s="2" t="s">
        <v>101</v>
      </c>
      <c r="AC1652" s="2"/>
    </row>
    <row r="1653" spans="1:29" x14ac:dyDescent="0.3">
      <c r="A1653" s="3" t="s">
        <v>7641</v>
      </c>
      <c r="B1653" s="3" t="s">
        <v>7642</v>
      </c>
      <c r="C1653" s="3" t="s">
        <v>319</v>
      </c>
      <c r="D1653" s="3" t="s">
        <v>7643</v>
      </c>
      <c r="E1653" s="3" t="s">
        <v>33</v>
      </c>
      <c r="F1653" s="3" t="s">
        <v>1841</v>
      </c>
      <c r="G1653" s="3" t="s">
        <v>6410</v>
      </c>
      <c r="H1653" s="3" t="s">
        <v>2434</v>
      </c>
      <c r="I1653" s="3">
        <v>2</v>
      </c>
      <c r="J1653" s="3" t="s">
        <v>14</v>
      </c>
      <c r="K1653" s="3" t="s">
        <v>712</v>
      </c>
      <c r="L1653" s="3" t="s">
        <v>712</v>
      </c>
      <c r="M1653" s="3" t="s">
        <v>7644</v>
      </c>
      <c r="N1653" s="3" t="s">
        <v>475</v>
      </c>
      <c r="O1653" s="3" t="s">
        <v>13</v>
      </c>
      <c r="P1653" s="3" t="s">
        <v>228</v>
      </c>
      <c r="Q1653" s="3" t="s">
        <v>287</v>
      </c>
      <c r="R1653" s="3">
        <v>1</v>
      </c>
      <c r="S1653" s="3">
        <v>40123.339999999997</v>
      </c>
      <c r="T1653" s="3">
        <v>0</v>
      </c>
      <c r="U1653" s="3">
        <v>40123.339999999997</v>
      </c>
      <c r="V1653" s="3">
        <v>25056.51</v>
      </c>
      <c r="W1653" s="3">
        <v>15066.83</v>
      </c>
      <c r="X1653" s="3">
        <v>37.549999999999997</v>
      </c>
      <c r="Y1653" s="3">
        <v>49</v>
      </c>
      <c r="Z1653" s="3" t="s">
        <v>47</v>
      </c>
      <c r="AA1653" s="3" t="s">
        <v>100</v>
      </c>
      <c r="AB1653" s="3" t="s">
        <v>101</v>
      </c>
      <c r="AC1653" s="3">
        <v>3</v>
      </c>
    </row>
    <row r="1654" spans="1:29" x14ac:dyDescent="0.3">
      <c r="A1654" s="2" t="s">
        <v>7645</v>
      </c>
      <c r="B1654" s="2" t="s">
        <v>7646</v>
      </c>
      <c r="C1654" s="2" t="s">
        <v>143</v>
      </c>
      <c r="D1654" s="2" t="s">
        <v>7647</v>
      </c>
      <c r="E1654" s="2" t="s">
        <v>26</v>
      </c>
      <c r="F1654" s="2" t="s">
        <v>4711</v>
      </c>
      <c r="G1654" s="2" t="s">
        <v>1173</v>
      </c>
      <c r="H1654" s="2" t="s">
        <v>793</v>
      </c>
      <c r="I1654" s="2">
        <v>8</v>
      </c>
      <c r="J1654" s="2" t="s">
        <v>14</v>
      </c>
      <c r="K1654" s="2" t="s">
        <v>183</v>
      </c>
      <c r="L1654" s="2" t="s">
        <v>183</v>
      </c>
      <c r="M1654" s="2" t="s">
        <v>7648</v>
      </c>
      <c r="N1654" s="2" t="s">
        <v>533</v>
      </c>
      <c r="O1654" s="2" t="s">
        <v>19</v>
      </c>
      <c r="P1654" s="2" t="s">
        <v>297</v>
      </c>
      <c r="Q1654" s="2" t="s">
        <v>114</v>
      </c>
      <c r="R1654" s="2">
        <v>1</v>
      </c>
      <c r="S1654" s="2">
        <v>11929.91</v>
      </c>
      <c r="T1654" s="2">
        <v>30</v>
      </c>
      <c r="U1654" s="2">
        <v>8350.94</v>
      </c>
      <c r="V1654" s="2">
        <v>4126.3900000000003</v>
      </c>
      <c r="W1654" s="2">
        <v>4224.55</v>
      </c>
      <c r="X1654" s="2">
        <v>50.59</v>
      </c>
      <c r="Y1654" s="2">
        <v>49</v>
      </c>
      <c r="Z1654" s="2" t="s">
        <v>47</v>
      </c>
      <c r="AA1654" s="2" t="s">
        <v>100</v>
      </c>
      <c r="AB1654" s="2" t="s">
        <v>101</v>
      </c>
      <c r="AC1654" s="2">
        <v>1</v>
      </c>
    </row>
    <row r="1655" spans="1:29" x14ac:dyDescent="0.3">
      <c r="A1655" s="3" t="s">
        <v>7649</v>
      </c>
      <c r="B1655" s="3" t="s">
        <v>7650</v>
      </c>
      <c r="C1655" s="3" t="s">
        <v>3848</v>
      </c>
      <c r="D1655" s="3" t="s">
        <v>7651</v>
      </c>
      <c r="E1655" s="3" t="s">
        <v>26</v>
      </c>
      <c r="F1655" s="3" t="s">
        <v>3101</v>
      </c>
      <c r="G1655" s="3" t="s">
        <v>3504</v>
      </c>
      <c r="H1655" s="3" t="s">
        <v>473</v>
      </c>
      <c r="I1655" s="3">
        <v>5</v>
      </c>
      <c r="J1655" s="3" t="s">
        <v>22</v>
      </c>
      <c r="K1655" s="3" t="s">
        <v>283</v>
      </c>
      <c r="L1655" s="3" t="s">
        <v>748</v>
      </c>
      <c r="M1655" s="3" t="s">
        <v>7652</v>
      </c>
      <c r="N1655" s="3" t="s">
        <v>686</v>
      </c>
      <c r="O1655" s="3" t="s">
        <v>13</v>
      </c>
      <c r="P1655" s="3" t="s">
        <v>228</v>
      </c>
      <c r="Q1655" s="3" t="s">
        <v>138</v>
      </c>
      <c r="R1655" s="3">
        <v>5</v>
      </c>
      <c r="S1655" s="3">
        <v>43214.84</v>
      </c>
      <c r="T1655" s="3">
        <v>30</v>
      </c>
      <c r="U1655" s="3">
        <v>151251.94</v>
      </c>
      <c r="V1655" s="3">
        <v>71205.66</v>
      </c>
      <c r="W1655" s="3">
        <v>80046.28</v>
      </c>
      <c r="X1655" s="3">
        <v>52.92</v>
      </c>
      <c r="Y1655" s="3">
        <v>29</v>
      </c>
      <c r="Z1655" s="3" t="s">
        <v>43</v>
      </c>
      <c r="AA1655" s="3" t="s">
        <v>186</v>
      </c>
      <c r="AB1655" s="3" t="s">
        <v>101</v>
      </c>
      <c r="AC1655" s="3"/>
    </row>
    <row r="1656" spans="1:29" x14ac:dyDescent="0.3">
      <c r="A1656" s="2" t="s">
        <v>7653</v>
      </c>
      <c r="B1656" s="2" t="s">
        <v>3586</v>
      </c>
      <c r="C1656" s="2" t="s">
        <v>1371</v>
      </c>
      <c r="D1656" s="2" t="s">
        <v>7654</v>
      </c>
      <c r="E1656" s="2" t="s">
        <v>26</v>
      </c>
      <c r="F1656" s="2" t="s">
        <v>4416</v>
      </c>
      <c r="G1656" s="2" t="s">
        <v>3115</v>
      </c>
      <c r="H1656" s="2" t="s">
        <v>2058</v>
      </c>
      <c r="I1656" s="2">
        <v>7</v>
      </c>
      <c r="J1656" s="2" t="s">
        <v>22</v>
      </c>
      <c r="K1656" s="2" t="s">
        <v>283</v>
      </c>
      <c r="L1656" s="2" t="s">
        <v>748</v>
      </c>
      <c r="M1656" s="2" t="s">
        <v>2415</v>
      </c>
      <c r="N1656" s="2" t="s">
        <v>837</v>
      </c>
      <c r="O1656" s="2" t="s">
        <v>27</v>
      </c>
      <c r="P1656" s="2" t="s">
        <v>257</v>
      </c>
      <c r="Q1656" s="2" t="s">
        <v>218</v>
      </c>
      <c r="R1656" s="2">
        <v>2</v>
      </c>
      <c r="S1656" s="2">
        <v>7910</v>
      </c>
      <c r="T1656" s="2">
        <v>0</v>
      </c>
      <c r="U1656" s="2">
        <v>15820</v>
      </c>
      <c r="V1656" s="2">
        <v>9335.2099999999991</v>
      </c>
      <c r="W1656" s="2">
        <v>6484.79</v>
      </c>
      <c r="X1656" s="2">
        <v>40.99</v>
      </c>
      <c r="Y1656" s="2">
        <v>149</v>
      </c>
      <c r="Z1656" s="2" t="s">
        <v>48</v>
      </c>
      <c r="AA1656" s="2" t="s">
        <v>186</v>
      </c>
      <c r="AB1656" s="2" t="s">
        <v>101</v>
      </c>
      <c r="AC1656" s="2"/>
    </row>
    <row r="1657" spans="1:29" x14ac:dyDescent="0.3">
      <c r="A1657" s="3" t="s">
        <v>7655</v>
      </c>
      <c r="B1657" s="3" t="s">
        <v>7656</v>
      </c>
      <c r="C1657" s="3" t="s">
        <v>3547</v>
      </c>
      <c r="D1657" s="3" t="s">
        <v>7657</v>
      </c>
      <c r="E1657" s="3" t="s">
        <v>42</v>
      </c>
      <c r="F1657" s="3" t="s">
        <v>801</v>
      </c>
      <c r="G1657" s="3" t="s">
        <v>802</v>
      </c>
      <c r="H1657" s="3" t="s">
        <v>380</v>
      </c>
      <c r="I1657" s="3">
        <v>4</v>
      </c>
      <c r="J1657" s="3" t="s">
        <v>39</v>
      </c>
      <c r="K1657" s="3" t="s">
        <v>109</v>
      </c>
      <c r="L1657" s="3" t="s">
        <v>344</v>
      </c>
      <c r="M1657" s="3" t="s">
        <v>6263</v>
      </c>
      <c r="N1657" s="3" t="s">
        <v>286</v>
      </c>
      <c r="O1657" s="3" t="s">
        <v>28</v>
      </c>
      <c r="P1657" s="3" t="s">
        <v>137</v>
      </c>
      <c r="Q1657" s="3" t="s">
        <v>127</v>
      </c>
      <c r="R1657" s="3">
        <v>5</v>
      </c>
      <c r="S1657" s="3">
        <v>18503.830000000002</v>
      </c>
      <c r="T1657" s="3">
        <v>5</v>
      </c>
      <c r="U1657" s="3">
        <v>87893.19</v>
      </c>
      <c r="V1657" s="3">
        <v>60409.35</v>
      </c>
      <c r="W1657" s="3">
        <v>27483.84</v>
      </c>
      <c r="X1657" s="3">
        <v>31.27</v>
      </c>
      <c r="Y1657" s="3">
        <v>29</v>
      </c>
      <c r="Z1657" s="3" t="s">
        <v>15</v>
      </c>
      <c r="AA1657" s="3" t="s">
        <v>100</v>
      </c>
      <c r="AB1657" s="3" t="s">
        <v>101</v>
      </c>
      <c r="AC1657" s="3">
        <v>3</v>
      </c>
    </row>
    <row r="1658" spans="1:29" x14ac:dyDescent="0.3">
      <c r="A1658" s="2" t="s">
        <v>7658</v>
      </c>
      <c r="B1658" s="2" t="s">
        <v>6626</v>
      </c>
      <c r="C1658" s="2" t="s">
        <v>1597</v>
      </c>
      <c r="D1658" s="2" t="s">
        <v>7659</v>
      </c>
      <c r="E1658" s="2" t="s">
        <v>33</v>
      </c>
      <c r="F1658" s="2" t="s">
        <v>682</v>
      </c>
      <c r="G1658" s="2" t="s">
        <v>702</v>
      </c>
      <c r="H1658" s="2" t="s">
        <v>3180</v>
      </c>
      <c r="I1658" s="2">
        <v>6</v>
      </c>
      <c r="J1658" s="2" t="s">
        <v>14</v>
      </c>
      <c r="K1658" s="2" t="s">
        <v>95</v>
      </c>
      <c r="L1658" s="2" t="s">
        <v>95</v>
      </c>
      <c r="M1658" s="2" t="s">
        <v>7660</v>
      </c>
      <c r="N1658" s="2" t="s">
        <v>639</v>
      </c>
      <c r="O1658" s="2" t="s">
        <v>27</v>
      </c>
      <c r="P1658" s="2" t="s">
        <v>175</v>
      </c>
      <c r="Q1658" s="2" t="s">
        <v>127</v>
      </c>
      <c r="R1658" s="2">
        <v>5</v>
      </c>
      <c r="S1658" s="2">
        <v>12694.87</v>
      </c>
      <c r="T1658" s="2">
        <v>30</v>
      </c>
      <c r="U1658" s="2">
        <v>44432.04</v>
      </c>
      <c r="V1658" s="2">
        <v>28336.46</v>
      </c>
      <c r="W1658" s="2">
        <v>16095.58</v>
      </c>
      <c r="X1658" s="2">
        <v>36.229999999999997</v>
      </c>
      <c r="Y1658" s="2">
        <v>149</v>
      </c>
      <c r="Z1658" s="2" t="s">
        <v>43</v>
      </c>
      <c r="AA1658" s="2" t="s">
        <v>100</v>
      </c>
      <c r="AB1658" s="2" t="s">
        <v>101</v>
      </c>
      <c r="AC1658" s="2">
        <v>3</v>
      </c>
    </row>
    <row r="1659" spans="1:29" x14ac:dyDescent="0.3">
      <c r="A1659" s="3" t="s">
        <v>7661</v>
      </c>
      <c r="B1659" s="3" t="s">
        <v>7662</v>
      </c>
      <c r="C1659" s="3" t="s">
        <v>1304</v>
      </c>
      <c r="D1659" s="3" t="s">
        <v>7663</v>
      </c>
      <c r="E1659" s="3" t="s">
        <v>42</v>
      </c>
      <c r="F1659" s="3" t="s">
        <v>832</v>
      </c>
      <c r="G1659" s="3" t="s">
        <v>1703</v>
      </c>
      <c r="H1659" s="3" t="s">
        <v>5512</v>
      </c>
      <c r="I1659" s="3">
        <v>2</v>
      </c>
      <c r="J1659" s="3" t="s">
        <v>22</v>
      </c>
      <c r="K1659" s="3" t="s">
        <v>283</v>
      </c>
      <c r="L1659" s="3" t="s">
        <v>1346</v>
      </c>
      <c r="M1659" s="3" t="s">
        <v>1757</v>
      </c>
      <c r="N1659" s="3" t="s">
        <v>316</v>
      </c>
      <c r="O1659" s="3" t="s">
        <v>28</v>
      </c>
      <c r="P1659" s="3" t="s">
        <v>137</v>
      </c>
      <c r="Q1659" s="3" t="s">
        <v>466</v>
      </c>
      <c r="R1659" s="3">
        <v>1</v>
      </c>
      <c r="S1659" s="3">
        <v>6942.25</v>
      </c>
      <c r="T1659" s="3">
        <v>0</v>
      </c>
      <c r="U1659" s="3">
        <v>6942.25</v>
      </c>
      <c r="V1659" s="3">
        <v>3311.96</v>
      </c>
      <c r="W1659" s="3">
        <v>3630.29</v>
      </c>
      <c r="X1659" s="3">
        <v>52.29</v>
      </c>
      <c r="Y1659" s="3">
        <v>0</v>
      </c>
      <c r="Z1659" s="3" t="s">
        <v>15</v>
      </c>
      <c r="AA1659" s="3" t="s">
        <v>100</v>
      </c>
      <c r="AB1659" s="3" t="s">
        <v>101</v>
      </c>
      <c r="AC1659" s="3">
        <v>5</v>
      </c>
    </row>
    <row r="1660" spans="1:29" x14ac:dyDescent="0.3">
      <c r="A1660" s="2" t="s">
        <v>7664</v>
      </c>
      <c r="B1660" s="2" t="s">
        <v>7665</v>
      </c>
      <c r="C1660" s="2" t="s">
        <v>716</v>
      </c>
      <c r="D1660" s="2" t="s">
        <v>7666</v>
      </c>
      <c r="E1660" s="2" t="s">
        <v>18</v>
      </c>
      <c r="F1660" s="2" t="s">
        <v>770</v>
      </c>
      <c r="G1660" s="2" t="s">
        <v>203</v>
      </c>
      <c r="H1660" s="2" t="s">
        <v>2022</v>
      </c>
      <c r="I1660" s="2">
        <v>7</v>
      </c>
      <c r="J1660" s="2" t="s">
        <v>22</v>
      </c>
      <c r="K1660" s="2" t="s">
        <v>738</v>
      </c>
      <c r="L1660" s="2" t="s">
        <v>738</v>
      </c>
      <c r="M1660" s="2" t="s">
        <v>7667</v>
      </c>
      <c r="N1660" s="2" t="s">
        <v>306</v>
      </c>
      <c r="O1660" s="2" t="s">
        <v>21</v>
      </c>
      <c r="P1660" s="2" t="s">
        <v>126</v>
      </c>
      <c r="Q1660" s="2" t="s">
        <v>99</v>
      </c>
      <c r="R1660" s="2">
        <v>1</v>
      </c>
      <c r="S1660" s="2">
        <v>6463.74</v>
      </c>
      <c r="T1660" s="2">
        <v>15</v>
      </c>
      <c r="U1660" s="2">
        <v>5494.18</v>
      </c>
      <c r="V1660" s="2">
        <v>3731.85</v>
      </c>
      <c r="W1660" s="2">
        <v>1762.33</v>
      </c>
      <c r="X1660" s="2">
        <v>32.08</v>
      </c>
      <c r="Y1660" s="2">
        <v>149</v>
      </c>
      <c r="Z1660" s="2" t="s">
        <v>48</v>
      </c>
      <c r="AA1660" s="2" t="s">
        <v>100</v>
      </c>
      <c r="AB1660" s="2" t="s">
        <v>101</v>
      </c>
      <c r="AC1660" s="2">
        <v>1</v>
      </c>
    </row>
    <row r="1661" spans="1:29" x14ac:dyDescent="0.3">
      <c r="A1661" s="3" t="s">
        <v>7668</v>
      </c>
      <c r="B1661" s="3" t="s">
        <v>1808</v>
      </c>
      <c r="C1661" s="3" t="s">
        <v>2067</v>
      </c>
      <c r="D1661" s="3" t="s">
        <v>7669</v>
      </c>
      <c r="E1661" s="3" t="s">
        <v>33</v>
      </c>
      <c r="F1661" s="3" t="s">
        <v>3773</v>
      </c>
      <c r="G1661" s="3" t="s">
        <v>2915</v>
      </c>
      <c r="H1661" s="3" t="s">
        <v>2101</v>
      </c>
      <c r="I1661" s="3">
        <v>5</v>
      </c>
      <c r="J1661" s="3" t="s">
        <v>39</v>
      </c>
      <c r="K1661" s="3" t="s">
        <v>314</v>
      </c>
      <c r="L1661" s="3" t="s">
        <v>314</v>
      </c>
      <c r="M1661" s="3" t="s">
        <v>7554</v>
      </c>
      <c r="N1661" s="3" t="s">
        <v>150</v>
      </c>
      <c r="O1661" s="3" t="s">
        <v>28</v>
      </c>
      <c r="P1661" s="3" t="s">
        <v>151</v>
      </c>
      <c r="Q1661" s="3" t="s">
        <v>246</v>
      </c>
      <c r="R1661" s="3">
        <v>4</v>
      </c>
      <c r="S1661" s="3">
        <v>43441.41</v>
      </c>
      <c r="T1661" s="3">
        <v>10</v>
      </c>
      <c r="U1661" s="3">
        <v>156389.07999999999</v>
      </c>
      <c r="V1661" s="3">
        <v>72967.240000000005</v>
      </c>
      <c r="W1661" s="3">
        <v>83421.84</v>
      </c>
      <c r="X1661" s="3">
        <v>53.34</v>
      </c>
      <c r="Y1661" s="3">
        <v>99</v>
      </c>
      <c r="Z1661" s="3" t="s">
        <v>43</v>
      </c>
      <c r="AA1661" s="3" t="s">
        <v>100</v>
      </c>
      <c r="AB1661" s="3" t="s">
        <v>101</v>
      </c>
      <c r="AC1661" s="3">
        <v>4</v>
      </c>
    </row>
    <row r="1662" spans="1:29" x14ac:dyDescent="0.3">
      <c r="A1662" s="2" t="s">
        <v>7670</v>
      </c>
      <c r="B1662" s="2" t="s">
        <v>7671</v>
      </c>
      <c r="C1662" s="2" t="s">
        <v>1737</v>
      </c>
      <c r="D1662" s="2" t="s">
        <v>7672</v>
      </c>
      <c r="E1662" s="2" t="s">
        <v>42</v>
      </c>
      <c r="F1662" s="2" t="s">
        <v>434</v>
      </c>
      <c r="G1662" s="2" t="s">
        <v>435</v>
      </c>
      <c r="H1662" s="2" t="s">
        <v>4241</v>
      </c>
      <c r="I1662" s="2">
        <v>6</v>
      </c>
      <c r="J1662" s="2" t="s">
        <v>29</v>
      </c>
      <c r="K1662" s="2" t="s">
        <v>834</v>
      </c>
      <c r="L1662" s="2" t="s">
        <v>901</v>
      </c>
      <c r="M1662" s="2" t="s">
        <v>7673</v>
      </c>
      <c r="N1662" s="2" t="s">
        <v>374</v>
      </c>
      <c r="O1662" s="2" t="s">
        <v>21</v>
      </c>
      <c r="P1662" s="2" t="s">
        <v>196</v>
      </c>
      <c r="Q1662" s="2" t="s">
        <v>99</v>
      </c>
      <c r="R1662" s="2">
        <v>5</v>
      </c>
      <c r="S1662" s="2">
        <v>25581.360000000001</v>
      </c>
      <c r="T1662" s="2">
        <v>10</v>
      </c>
      <c r="U1662" s="2">
        <v>115116.12</v>
      </c>
      <c r="V1662" s="2">
        <v>76326.92</v>
      </c>
      <c r="W1662" s="2">
        <v>38789.199999999997</v>
      </c>
      <c r="X1662" s="2">
        <v>33.700000000000003</v>
      </c>
      <c r="Y1662" s="2">
        <v>29</v>
      </c>
      <c r="Z1662" s="2" t="s">
        <v>23</v>
      </c>
      <c r="AA1662" s="2" t="s">
        <v>139</v>
      </c>
      <c r="AB1662" s="2" t="s">
        <v>140</v>
      </c>
      <c r="AC1662" s="2"/>
    </row>
    <row r="1663" spans="1:29" x14ac:dyDescent="0.3">
      <c r="A1663" s="3" t="s">
        <v>7674</v>
      </c>
      <c r="B1663" s="3" t="s">
        <v>7675</v>
      </c>
      <c r="C1663" s="3" t="s">
        <v>1311</v>
      </c>
      <c r="D1663" s="3" t="s">
        <v>5689</v>
      </c>
      <c r="E1663" s="3" t="s">
        <v>18</v>
      </c>
      <c r="F1663" s="3" t="s">
        <v>7023</v>
      </c>
      <c r="G1663" s="3" t="s">
        <v>1402</v>
      </c>
      <c r="H1663" s="3" t="s">
        <v>718</v>
      </c>
      <c r="I1663" s="3">
        <v>3</v>
      </c>
      <c r="J1663" s="3" t="s">
        <v>39</v>
      </c>
      <c r="K1663" s="3" t="s">
        <v>314</v>
      </c>
      <c r="L1663" s="3" t="s">
        <v>314</v>
      </c>
      <c r="M1663" s="3" t="s">
        <v>1467</v>
      </c>
      <c r="N1663" s="3" t="s">
        <v>648</v>
      </c>
      <c r="O1663" s="3" t="s">
        <v>27</v>
      </c>
      <c r="P1663" s="3" t="s">
        <v>113</v>
      </c>
      <c r="Q1663" s="3" t="s">
        <v>197</v>
      </c>
      <c r="R1663" s="3">
        <v>3</v>
      </c>
      <c r="S1663" s="3">
        <v>8638.94</v>
      </c>
      <c r="T1663" s="3">
        <v>30</v>
      </c>
      <c r="U1663" s="3">
        <v>18141.77</v>
      </c>
      <c r="V1663" s="3">
        <v>9387.7800000000007</v>
      </c>
      <c r="W1663" s="3">
        <v>8753.99</v>
      </c>
      <c r="X1663" s="3">
        <v>48.25</v>
      </c>
      <c r="Y1663" s="3">
        <v>199</v>
      </c>
      <c r="Z1663" s="3" t="s">
        <v>47</v>
      </c>
      <c r="AA1663" s="3" t="s">
        <v>275</v>
      </c>
      <c r="AB1663" s="3" t="s">
        <v>101</v>
      </c>
      <c r="AC1663" s="3"/>
    </row>
    <row r="1664" spans="1:29" x14ac:dyDescent="0.3">
      <c r="A1664" s="2" t="s">
        <v>7676</v>
      </c>
      <c r="B1664" s="2" t="s">
        <v>7677</v>
      </c>
      <c r="C1664" s="2" t="s">
        <v>4171</v>
      </c>
      <c r="D1664" s="2" t="s">
        <v>7678</v>
      </c>
      <c r="E1664" s="2" t="s">
        <v>26</v>
      </c>
      <c r="F1664" s="2" t="s">
        <v>120</v>
      </c>
      <c r="G1664" s="2" t="s">
        <v>7679</v>
      </c>
      <c r="H1664" s="2" t="s">
        <v>121</v>
      </c>
      <c r="I1664" s="2">
        <v>4</v>
      </c>
      <c r="J1664" s="2" t="s">
        <v>14</v>
      </c>
      <c r="K1664" s="2" t="s">
        <v>171</v>
      </c>
      <c r="L1664" s="2" t="s">
        <v>172</v>
      </c>
      <c r="M1664" s="2" t="s">
        <v>7680</v>
      </c>
      <c r="N1664" s="2" t="s">
        <v>1603</v>
      </c>
      <c r="O1664" s="2" t="s">
        <v>19</v>
      </c>
      <c r="P1664" s="2" t="s">
        <v>365</v>
      </c>
      <c r="Q1664" s="2" t="s">
        <v>207</v>
      </c>
      <c r="R1664" s="2">
        <v>3</v>
      </c>
      <c r="S1664" s="2">
        <v>20865.12</v>
      </c>
      <c r="T1664" s="2">
        <v>25</v>
      </c>
      <c r="U1664" s="2">
        <v>46946.52</v>
      </c>
      <c r="V1664" s="2">
        <v>28048.799999999999</v>
      </c>
      <c r="W1664" s="2">
        <v>18897.72</v>
      </c>
      <c r="X1664" s="2">
        <v>40.25</v>
      </c>
      <c r="Y1664" s="2">
        <v>99</v>
      </c>
      <c r="Z1664" s="2" t="s">
        <v>23</v>
      </c>
      <c r="AA1664" s="2" t="s">
        <v>100</v>
      </c>
      <c r="AB1664" s="2" t="s">
        <v>101</v>
      </c>
      <c r="AC1664" s="2">
        <v>1</v>
      </c>
    </row>
    <row r="1665" spans="1:29" x14ac:dyDescent="0.3">
      <c r="A1665" s="3" t="s">
        <v>7681</v>
      </c>
      <c r="B1665" s="3" t="s">
        <v>7682</v>
      </c>
      <c r="C1665" s="3" t="s">
        <v>339</v>
      </c>
      <c r="D1665" s="3" t="s">
        <v>7683</v>
      </c>
      <c r="E1665" s="3" t="s">
        <v>42</v>
      </c>
      <c r="F1665" s="3" t="s">
        <v>962</v>
      </c>
      <c r="G1665" s="3" t="s">
        <v>539</v>
      </c>
      <c r="H1665" s="3" t="s">
        <v>540</v>
      </c>
      <c r="I1665" s="3">
        <v>2</v>
      </c>
      <c r="J1665" s="3" t="s">
        <v>14</v>
      </c>
      <c r="K1665" s="3" t="s">
        <v>95</v>
      </c>
      <c r="L1665" s="3" t="s">
        <v>95</v>
      </c>
      <c r="M1665" s="3" t="s">
        <v>1574</v>
      </c>
      <c r="N1665" s="3" t="s">
        <v>551</v>
      </c>
      <c r="O1665" s="3" t="s">
        <v>13</v>
      </c>
      <c r="P1665" s="3" t="s">
        <v>98</v>
      </c>
      <c r="Q1665" s="3" t="s">
        <v>207</v>
      </c>
      <c r="R1665" s="3">
        <v>5</v>
      </c>
      <c r="S1665" s="3">
        <v>31950.83</v>
      </c>
      <c r="T1665" s="3">
        <v>0</v>
      </c>
      <c r="U1665" s="3">
        <v>159754.15</v>
      </c>
      <c r="V1665" s="3">
        <v>108275.68</v>
      </c>
      <c r="W1665" s="3">
        <v>51478.47</v>
      </c>
      <c r="X1665" s="3">
        <v>32.22</v>
      </c>
      <c r="Y1665" s="3">
        <v>49</v>
      </c>
      <c r="Z1665" s="3" t="s">
        <v>15</v>
      </c>
      <c r="AA1665" s="3" t="s">
        <v>186</v>
      </c>
      <c r="AB1665" s="3" t="s">
        <v>101</v>
      </c>
      <c r="AC1665" s="3"/>
    </row>
    <row r="1666" spans="1:29" x14ac:dyDescent="0.3">
      <c r="A1666" s="2" t="s">
        <v>7684</v>
      </c>
      <c r="B1666" s="2" t="s">
        <v>7685</v>
      </c>
      <c r="C1666" s="2" t="s">
        <v>1464</v>
      </c>
      <c r="D1666" s="2" t="s">
        <v>7686</v>
      </c>
      <c r="E1666" s="2" t="s">
        <v>42</v>
      </c>
      <c r="F1666" s="2" t="s">
        <v>557</v>
      </c>
      <c r="G1666" s="2" t="s">
        <v>1126</v>
      </c>
      <c r="H1666" s="2" t="s">
        <v>1127</v>
      </c>
      <c r="I1666" s="2">
        <v>2</v>
      </c>
      <c r="J1666" s="2" t="s">
        <v>29</v>
      </c>
      <c r="K1666" s="2" t="s">
        <v>334</v>
      </c>
      <c r="L1666" s="2" t="s">
        <v>1073</v>
      </c>
      <c r="M1666" s="2" t="s">
        <v>7687</v>
      </c>
      <c r="N1666" s="2" t="s">
        <v>924</v>
      </c>
      <c r="O1666" s="2" t="s">
        <v>13</v>
      </c>
      <c r="P1666" s="2" t="s">
        <v>228</v>
      </c>
      <c r="Q1666" s="2" t="s">
        <v>287</v>
      </c>
      <c r="R1666" s="2">
        <v>5</v>
      </c>
      <c r="S1666" s="2">
        <v>23388.66</v>
      </c>
      <c r="T1666" s="2">
        <v>5</v>
      </c>
      <c r="U1666" s="2">
        <v>111096.13</v>
      </c>
      <c r="V1666" s="2">
        <v>61460.480000000003</v>
      </c>
      <c r="W1666" s="2">
        <v>49635.65</v>
      </c>
      <c r="X1666" s="2">
        <v>44.68</v>
      </c>
      <c r="Y1666" s="2">
        <v>49</v>
      </c>
      <c r="Z1666" s="2" t="s">
        <v>23</v>
      </c>
      <c r="AA1666" s="2" t="s">
        <v>672</v>
      </c>
      <c r="AB1666" s="2" t="s">
        <v>101</v>
      </c>
      <c r="AC1666" s="2"/>
    </row>
    <row r="1667" spans="1:29" x14ac:dyDescent="0.3">
      <c r="A1667" s="3" t="s">
        <v>7688</v>
      </c>
      <c r="B1667" s="3" t="s">
        <v>4647</v>
      </c>
      <c r="C1667" s="3" t="s">
        <v>1861</v>
      </c>
      <c r="D1667" s="3" t="s">
        <v>7689</v>
      </c>
      <c r="E1667" s="3" t="s">
        <v>26</v>
      </c>
      <c r="F1667" s="3" t="s">
        <v>2392</v>
      </c>
      <c r="G1667" s="3" t="s">
        <v>523</v>
      </c>
      <c r="H1667" s="3" t="s">
        <v>866</v>
      </c>
      <c r="I1667" s="3">
        <v>7</v>
      </c>
      <c r="J1667" s="3" t="s">
        <v>29</v>
      </c>
      <c r="K1667" s="3" t="s">
        <v>427</v>
      </c>
      <c r="L1667" s="3" t="s">
        <v>1871</v>
      </c>
      <c r="M1667" s="3" t="s">
        <v>4313</v>
      </c>
      <c r="N1667" s="3" t="s">
        <v>354</v>
      </c>
      <c r="O1667" s="3" t="s">
        <v>21</v>
      </c>
      <c r="P1667" s="3" t="s">
        <v>196</v>
      </c>
      <c r="Q1667" s="3" t="s">
        <v>466</v>
      </c>
      <c r="R1667" s="3">
        <v>5</v>
      </c>
      <c r="S1667" s="3">
        <v>39452</v>
      </c>
      <c r="T1667" s="3">
        <v>15</v>
      </c>
      <c r="U1667" s="3">
        <v>167671</v>
      </c>
      <c r="V1667" s="3">
        <v>98661.89</v>
      </c>
      <c r="W1667" s="3">
        <v>69009.11</v>
      </c>
      <c r="X1667" s="3">
        <v>41.16</v>
      </c>
      <c r="Y1667" s="3">
        <v>49</v>
      </c>
      <c r="Z1667" s="3" t="s">
        <v>43</v>
      </c>
      <c r="AA1667" s="3" t="s">
        <v>100</v>
      </c>
      <c r="AB1667" s="3" t="s">
        <v>101</v>
      </c>
      <c r="AC1667" s="3"/>
    </row>
    <row r="1668" spans="1:29" x14ac:dyDescent="0.3">
      <c r="A1668" s="2" t="s">
        <v>7690</v>
      </c>
      <c r="B1668" s="2" t="s">
        <v>7691</v>
      </c>
      <c r="C1668" s="2" t="s">
        <v>1911</v>
      </c>
      <c r="D1668" s="2" t="s">
        <v>7692</v>
      </c>
      <c r="E1668" s="2" t="s">
        <v>18</v>
      </c>
      <c r="F1668" s="2" t="s">
        <v>1049</v>
      </c>
      <c r="G1668" s="2" t="s">
        <v>2270</v>
      </c>
      <c r="H1668" s="2" t="s">
        <v>4268</v>
      </c>
      <c r="I1668" s="2">
        <v>5</v>
      </c>
      <c r="J1668" s="2" t="s">
        <v>14</v>
      </c>
      <c r="K1668" s="2" t="s">
        <v>95</v>
      </c>
      <c r="L1668" s="2" t="s">
        <v>95</v>
      </c>
      <c r="M1668" s="2" t="s">
        <v>7693</v>
      </c>
      <c r="N1668" s="2" t="s">
        <v>964</v>
      </c>
      <c r="O1668" s="2" t="s">
        <v>13</v>
      </c>
      <c r="P1668" s="2" t="s">
        <v>98</v>
      </c>
      <c r="Q1668" s="2" t="s">
        <v>608</v>
      </c>
      <c r="R1668" s="2">
        <v>3</v>
      </c>
      <c r="S1668" s="2">
        <v>29893.94</v>
      </c>
      <c r="T1668" s="2">
        <v>5</v>
      </c>
      <c r="U1668" s="2">
        <v>85197.73</v>
      </c>
      <c r="V1668" s="2">
        <v>55416</v>
      </c>
      <c r="W1668" s="2">
        <v>29781.73</v>
      </c>
      <c r="X1668" s="2">
        <v>34.96</v>
      </c>
      <c r="Y1668" s="2">
        <v>29</v>
      </c>
      <c r="Z1668" s="2" t="s">
        <v>30</v>
      </c>
      <c r="AA1668" s="2" t="s">
        <v>100</v>
      </c>
      <c r="AB1668" s="2" t="s">
        <v>101</v>
      </c>
      <c r="AC1668" s="2">
        <v>5</v>
      </c>
    </row>
    <row r="1669" spans="1:29" x14ac:dyDescent="0.3">
      <c r="A1669" s="3" t="s">
        <v>7694</v>
      </c>
      <c r="B1669" s="3" t="s">
        <v>7695</v>
      </c>
      <c r="C1669" s="3" t="s">
        <v>1152</v>
      </c>
      <c r="D1669" s="3" t="s">
        <v>3478</v>
      </c>
      <c r="E1669" s="3" t="s">
        <v>33</v>
      </c>
      <c r="F1669" s="3" t="s">
        <v>3973</v>
      </c>
      <c r="G1669" s="3" t="s">
        <v>1359</v>
      </c>
      <c r="H1669" s="3" t="s">
        <v>729</v>
      </c>
      <c r="I1669" s="3">
        <v>2</v>
      </c>
      <c r="J1669" s="3" t="s">
        <v>14</v>
      </c>
      <c r="K1669" s="3" t="s">
        <v>712</v>
      </c>
      <c r="L1669" s="3" t="s">
        <v>712</v>
      </c>
      <c r="M1669" s="3" t="s">
        <v>3475</v>
      </c>
      <c r="N1669" s="3" t="s">
        <v>1332</v>
      </c>
      <c r="O1669" s="3" t="s">
        <v>19</v>
      </c>
      <c r="P1669" s="3" t="s">
        <v>447</v>
      </c>
      <c r="Q1669" s="3" t="s">
        <v>355</v>
      </c>
      <c r="R1669" s="3">
        <v>1</v>
      </c>
      <c r="S1669" s="3">
        <v>39717.22</v>
      </c>
      <c r="T1669" s="3">
        <v>10</v>
      </c>
      <c r="U1669" s="3">
        <v>35745.5</v>
      </c>
      <c r="V1669" s="3">
        <v>20307.650000000001</v>
      </c>
      <c r="W1669" s="3">
        <v>15437.85</v>
      </c>
      <c r="X1669" s="3">
        <v>43.19</v>
      </c>
      <c r="Y1669" s="3">
        <v>49</v>
      </c>
      <c r="Z1669" s="3" t="s">
        <v>15</v>
      </c>
      <c r="AA1669" s="3" t="s">
        <v>100</v>
      </c>
      <c r="AB1669" s="3" t="s">
        <v>101</v>
      </c>
      <c r="AC1669" s="3">
        <v>4</v>
      </c>
    </row>
    <row r="1670" spans="1:29" x14ac:dyDescent="0.3">
      <c r="A1670" s="2" t="s">
        <v>7696</v>
      </c>
      <c r="B1670" s="2" t="s">
        <v>7697</v>
      </c>
      <c r="C1670" s="2" t="s">
        <v>918</v>
      </c>
      <c r="D1670" s="2" t="s">
        <v>7698</v>
      </c>
      <c r="E1670" s="2" t="s">
        <v>26</v>
      </c>
      <c r="F1670" s="2" t="s">
        <v>2456</v>
      </c>
      <c r="G1670" s="2" t="s">
        <v>2081</v>
      </c>
      <c r="H1670" s="2" t="s">
        <v>3791</v>
      </c>
      <c r="I1670" s="2">
        <v>6</v>
      </c>
      <c r="J1670" s="2" t="s">
        <v>29</v>
      </c>
      <c r="K1670" s="2" t="s">
        <v>427</v>
      </c>
      <c r="L1670" s="2" t="s">
        <v>1871</v>
      </c>
      <c r="M1670" s="2" t="s">
        <v>3953</v>
      </c>
      <c r="N1670" s="2" t="s">
        <v>750</v>
      </c>
      <c r="O1670" s="2" t="s">
        <v>13</v>
      </c>
      <c r="P1670" s="2" t="s">
        <v>419</v>
      </c>
      <c r="Q1670" s="2" t="s">
        <v>152</v>
      </c>
      <c r="R1670" s="2">
        <v>4</v>
      </c>
      <c r="S1670" s="2">
        <v>27371.77</v>
      </c>
      <c r="T1670" s="2">
        <v>25</v>
      </c>
      <c r="U1670" s="2">
        <v>82115.31</v>
      </c>
      <c r="V1670" s="2">
        <v>44345.23</v>
      </c>
      <c r="W1670" s="2">
        <v>37770.080000000002</v>
      </c>
      <c r="X1670" s="2">
        <v>46</v>
      </c>
      <c r="Y1670" s="2">
        <v>149</v>
      </c>
      <c r="Z1670" s="2" t="s">
        <v>15</v>
      </c>
      <c r="AA1670" s="2" t="s">
        <v>186</v>
      </c>
      <c r="AB1670" s="2" t="s">
        <v>140</v>
      </c>
      <c r="AC1670" s="2"/>
    </row>
    <row r="1671" spans="1:29" x14ac:dyDescent="0.3">
      <c r="A1671" s="3" t="s">
        <v>7699</v>
      </c>
      <c r="B1671" s="3" t="s">
        <v>3594</v>
      </c>
      <c r="C1671" s="3" t="s">
        <v>4332</v>
      </c>
      <c r="D1671" s="3" t="s">
        <v>7700</v>
      </c>
      <c r="E1671" s="3" t="s">
        <v>18</v>
      </c>
      <c r="F1671" s="3" t="s">
        <v>1007</v>
      </c>
      <c r="G1671" s="3" t="s">
        <v>2764</v>
      </c>
      <c r="H1671" s="3" t="s">
        <v>1966</v>
      </c>
      <c r="I1671" s="3">
        <v>4</v>
      </c>
      <c r="J1671" s="3" t="s">
        <v>39</v>
      </c>
      <c r="K1671" s="3" t="s">
        <v>324</v>
      </c>
      <c r="L1671" s="3" t="s">
        <v>325</v>
      </c>
      <c r="M1671" s="3" t="s">
        <v>4598</v>
      </c>
      <c r="N1671" s="3" t="s">
        <v>163</v>
      </c>
      <c r="O1671" s="3" t="s">
        <v>21</v>
      </c>
      <c r="P1671" s="3" t="s">
        <v>126</v>
      </c>
      <c r="Q1671" s="3" t="s">
        <v>152</v>
      </c>
      <c r="R1671" s="3">
        <v>4</v>
      </c>
      <c r="S1671" s="3">
        <v>37268</v>
      </c>
      <c r="T1671" s="3">
        <v>0</v>
      </c>
      <c r="U1671" s="3">
        <v>149072</v>
      </c>
      <c r="V1671" s="3">
        <v>78150.789999999994</v>
      </c>
      <c r="W1671" s="3">
        <v>70921.210000000006</v>
      </c>
      <c r="X1671" s="3">
        <v>47.58</v>
      </c>
      <c r="Y1671" s="3">
        <v>0</v>
      </c>
      <c r="Z1671" s="3" t="s">
        <v>15</v>
      </c>
      <c r="AA1671" s="3" t="s">
        <v>100</v>
      </c>
      <c r="AB1671" s="3" t="s">
        <v>101</v>
      </c>
      <c r="AC1671" s="3">
        <v>3</v>
      </c>
    </row>
    <row r="1672" spans="1:29" x14ac:dyDescent="0.3">
      <c r="A1672" s="2" t="s">
        <v>7701</v>
      </c>
      <c r="B1672" s="2" t="s">
        <v>7702</v>
      </c>
      <c r="C1672" s="2" t="s">
        <v>249</v>
      </c>
      <c r="D1672" s="2" t="s">
        <v>7703</v>
      </c>
      <c r="E1672" s="2" t="s">
        <v>18</v>
      </c>
      <c r="F1672" s="2" t="s">
        <v>92</v>
      </c>
      <c r="G1672" s="2" t="s">
        <v>842</v>
      </c>
      <c r="H1672" s="2" t="s">
        <v>1154</v>
      </c>
      <c r="I1672" s="2">
        <v>7</v>
      </c>
      <c r="J1672" s="2" t="s">
        <v>14</v>
      </c>
      <c r="K1672" s="2" t="s">
        <v>712</v>
      </c>
      <c r="L1672" s="2" t="s">
        <v>712</v>
      </c>
      <c r="M1672" s="2" t="s">
        <v>7704</v>
      </c>
      <c r="N1672" s="2" t="s">
        <v>1603</v>
      </c>
      <c r="O1672" s="2" t="s">
        <v>19</v>
      </c>
      <c r="P1672" s="2" t="s">
        <v>365</v>
      </c>
      <c r="Q1672" s="2" t="s">
        <v>509</v>
      </c>
      <c r="R1672" s="2">
        <v>1</v>
      </c>
      <c r="S1672" s="2">
        <v>19557.330000000002</v>
      </c>
      <c r="T1672" s="2">
        <v>5</v>
      </c>
      <c r="U1672" s="2">
        <v>18579.46</v>
      </c>
      <c r="V1672" s="2">
        <v>11373.68</v>
      </c>
      <c r="W1672" s="2">
        <v>7205.78</v>
      </c>
      <c r="X1672" s="2">
        <v>38.78</v>
      </c>
      <c r="Y1672" s="2">
        <v>199</v>
      </c>
      <c r="Z1672" s="2" t="s">
        <v>48</v>
      </c>
      <c r="AA1672" s="2" t="s">
        <v>100</v>
      </c>
      <c r="AB1672" s="2" t="s">
        <v>101</v>
      </c>
      <c r="AC1672" s="2">
        <v>2</v>
      </c>
    </row>
    <row r="1673" spans="1:29" x14ac:dyDescent="0.3">
      <c r="A1673" s="3" t="s">
        <v>7705</v>
      </c>
      <c r="B1673" s="3" t="s">
        <v>7706</v>
      </c>
      <c r="C1673" s="3" t="s">
        <v>1880</v>
      </c>
      <c r="D1673" s="3" t="s">
        <v>7707</v>
      </c>
      <c r="E1673" s="3" t="s">
        <v>42</v>
      </c>
      <c r="F1673" s="3" t="s">
        <v>1211</v>
      </c>
      <c r="G1673" s="3" t="s">
        <v>2106</v>
      </c>
      <c r="H1673" s="3" t="s">
        <v>132</v>
      </c>
      <c r="I1673" s="3">
        <v>7</v>
      </c>
      <c r="J1673" s="3" t="s">
        <v>29</v>
      </c>
      <c r="K1673" s="3" t="s">
        <v>334</v>
      </c>
      <c r="L1673" s="3" t="s">
        <v>614</v>
      </c>
      <c r="M1673" s="3" t="s">
        <v>2680</v>
      </c>
      <c r="N1673" s="3" t="s">
        <v>964</v>
      </c>
      <c r="O1673" s="3" t="s">
        <v>13</v>
      </c>
      <c r="P1673" s="3" t="s">
        <v>98</v>
      </c>
      <c r="Q1673" s="3" t="s">
        <v>355</v>
      </c>
      <c r="R1673" s="3">
        <v>4</v>
      </c>
      <c r="S1673" s="3">
        <v>12341.94</v>
      </c>
      <c r="T1673" s="3">
        <v>5</v>
      </c>
      <c r="U1673" s="3">
        <v>46899.37</v>
      </c>
      <c r="V1673" s="3">
        <v>27694.59</v>
      </c>
      <c r="W1673" s="3">
        <v>19204.78</v>
      </c>
      <c r="X1673" s="3">
        <v>40.950000000000003</v>
      </c>
      <c r="Y1673" s="3">
        <v>199</v>
      </c>
      <c r="Z1673" s="3" t="s">
        <v>47</v>
      </c>
      <c r="AA1673" s="3" t="s">
        <v>100</v>
      </c>
      <c r="AB1673" s="3" t="s">
        <v>101</v>
      </c>
      <c r="AC1673" s="3"/>
    </row>
    <row r="1674" spans="1:29" x14ac:dyDescent="0.3">
      <c r="A1674" s="2" t="s">
        <v>7708</v>
      </c>
      <c r="B1674" s="2" t="s">
        <v>7709</v>
      </c>
      <c r="C1674" s="2" t="s">
        <v>2460</v>
      </c>
      <c r="D1674" s="2" t="s">
        <v>7710</v>
      </c>
      <c r="E1674" s="2" t="s">
        <v>42</v>
      </c>
      <c r="F1674" s="2" t="s">
        <v>2172</v>
      </c>
      <c r="G1674" s="2" t="s">
        <v>1751</v>
      </c>
      <c r="H1674" s="2" t="s">
        <v>4032</v>
      </c>
      <c r="I1674" s="2">
        <v>5</v>
      </c>
      <c r="J1674" s="2" t="s">
        <v>22</v>
      </c>
      <c r="K1674" s="2" t="s">
        <v>738</v>
      </c>
      <c r="L1674" s="2" t="s">
        <v>738</v>
      </c>
      <c r="M1674" s="2" t="s">
        <v>568</v>
      </c>
      <c r="N1674" s="2" t="s">
        <v>508</v>
      </c>
      <c r="O1674" s="2" t="s">
        <v>19</v>
      </c>
      <c r="P1674" s="2" t="s">
        <v>365</v>
      </c>
      <c r="Q1674" s="2" t="s">
        <v>608</v>
      </c>
      <c r="R1674" s="2">
        <v>1</v>
      </c>
      <c r="S1674" s="2">
        <v>29991.31</v>
      </c>
      <c r="T1674" s="2">
        <v>5</v>
      </c>
      <c r="U1674" s="2">
        <v>28491.74</v>
      </c>
      <c r="V1674" s="2">
        <v>15522.02</v>
      </c>
      <c r="W1674" s="2">
        <v>12969.72</v>
      </c>
      <c r="X1674" s="2">
        <v>45.52</v>
      </c>
      <c r="Y1674" s="2">
        <v>149</v>
      </c>
      <c r="Z1674" s="2" t="s">
        <v>15</v>
      </c>
      <c r="AA1674" s="2" t="s">
        <v>186</v>
      </c>
      <c r="AB1674" s="2" t="s">
        <v>101</v>
      </c>
      <c r="AC1674" s="2"/>
    </row>
    <row r="1675" spans="1:29" x14ac:dyDescent="0.3">
      <c r="A1675" s="3" t="s">
        <v>7711</v>
      </c>
      <c r="B1675" s="3" t="s">
        <v>7712</v>
      </c>
      <c r="C1675" s="3" t="s">
        <v>2529</v>
      </c>
      <c r="D1675" s="3" t="s">
        <v>7713</v>
      </c>
      <c r="E1675" s="3" t="s">
        <v>42</v>
      </c>
      <c r="F1675" s="3" t="s">
        <v>2106</v>
      </c>
      <c r="G1675" s="3" t="s">
        <v>1026</v>
      </c>
      <c r="H1675" s="3" t="s">
        <v>131</v>
      </c>
      <c r="I1675" s="3">
        <v>3</v>
      </c>
      <c r="J1675" s="3" t="s">
        <v>39</v>
      </c>
      <c r="K1675" s="3" t="s">
        <v>193</v>
      </c>
      <c r="L1675" s="3" t="s">
        <v>193</v>
      </c>
      <c r="M1675" s="3" t="s">
        <v>7714</v>
      </c>
      <c r="N1675" s="3" t="s">
        <v>418</v>
      </c>
      <c r="O1675" s="3" t="s">
        <v>13</v>
      </c>
      <c r="P1675" s="3" t="s">
        <v>419</v>
      </c>
      <c r="Q1675" s="3" t="s">
        <v>509</v>
      </c>
      <c r="R1675" s="3">
        <v>1</v>
      </c>
      <c r="S1675" s="3">
        <v>29473.49</v>
      </c>
      <c r="T1675" s="3">
        <v>30</v>
      </c>
      <c r="U1675" s="3">
        <v>20631.439999999999</v>
      </c>
      <c r="V1675" s="3">
        <v>12289.7</v>
      </c>
      <c r="W1675" s="3">
        <v>8341.74</v>
      </c>
      <c r="X1675" s="3">
        <v>40.43</v>
      </c>
      <c r="Y1675" s="3">
        <v>99</v>
      </c>
      <c r="Z1675" s="3" t="s">
        <v>40</v>
      </c>
      <c r="AA1675" s="3" t="s">
        <v>139</v>
      </c>
      <c r="AB1675" s="3" t="s">
        <v>140</v>
      </c>
      <c r="AC1675" s="3"/>
    </row>
    <row r="1676" spans="1:29" x14ac:dyDescent="0.3">
      <c r="A1676" s="2" t="s">
        <v>7715</v>
      </c>
      <c r="B1676" s="2" t="s">
        <v>7716</v>
      </c>
      <c r="C1676" s="2" t="s">
        <v>2534</v>
      </c>
      <c r="D1676" s="2" t="s">
        <v>7717</v>
      </c>
      <c r="E1676" s="2" t="s">
        <v>42</v>
      </c>
      <c r="F1676" s="2" t="s">
        <v>1295</v>
      </c>
      <c r="G1676" s="2" t="s">
        <v>5475</v>
      </c>
      <c r="H1676" s="2" t="s">
        <v>212</v>
      </c>
      <c r="I1676" s="2">
        <v>5</v>
      </c>
      <c r="J1676" s="2" t="s">
        <v>22</v>
      </c>
      <c r="K1676" s="2" t="s">
        <v>122</v>
      </c>
      <c r="L1676" s="2" t="s">
        <v>812</v>
      </c>
      <c r="M1676" s="2" t="s">
        <v>2394</v>
      </c>
      <c r="N1676" s="2" t="s">
        <v>583</v>
      </c>
      <c r="O1676" s="2" t="s">
        <v>19</v>
      </c>
      <c r="P1676" s="2" t="s">
        <v>447</v>
      </c>
      <c r="Q1676" s="2" t="s">
        <v>152</v>
      </c>
      <c r="R1676" s="2">
        <v>2</v>
      </c>
      <c r="S1676" s="2">
        <v>16524.439999999999</v>
      </c>
      <c r="T1676" s="2">
        <v>10</v>
      </c>
      <c r="U1676" s="2">
        <v>29743.99</v>
      </c>
      <c r="V1676" s="2">
        <v>16510.150000000001</v>
      </c>
      <c r="W1676" s="2">
        <v>13233.84</v>
      </c>
      <c r="X1676" s="2">
        <v>44.49</v>
      </c>
      <c r="Y1676" s="2">
        <v>0</v>
      </c>
      <c r="Z1676" s="2" t="s">
        <v>30</v>
      </c>
      <c r="AA1676" s="2" t="s">
        <v>186</v>
      </c>
      <c r="AB1676" s="2" t="s">
        <v>101</v>
      </c>
      <c r="AC1676" s="2"/>
    </row>
    <row r="1677" spans="1:29" x14ac:dyDescent="0.3">
      <c r="A1677" s="3" t="s">
        <v>7718</v>
      </c>
      <c r="B1677" s="3" t="s">
        <v>7719</v>
      </c>
      <c r="C1677" s="3" t="s">
        <v>840</v>
      </c>
      <c r="D1677" s="3" t="s">
        <v>7720</v>
      </c>
      <c r="E1677" s="3" t="s">
        <v>42</v>
      </c>
      <c r="F1677" s="3" t="s">
        <v>1306</v>
      </c>
      <c r="G1677" s="3" t="s">
        <v>425</v>
      </c>
      <c r="H1677" s="3" t="s">
        <v>224</v>
      </c>
      <c r="I1677" s="3">
        <v>2</v>
      </c>
      <c r="J1677" s="3" t="s">
        <v>29</v>
      </c>
      <c r="K1677" s="3" t="s">
        <v>834</v>
      </c>
      <c r="L1677" s="3" t="s">
        <v>901</v>
      </c>
      <c r="M1677" s="3" t="s">
        <v>7721</v>
      </c>
      <c r="N1677" s="3" t="s">
        <v>1380</v>
      </c>
      <c r="O1677" s="3" t="s">
        <v>28</v>
      </c>
      <c r="P1677" s="3" t="s">
        <v>137</v>
      </c>
      <c r="Q1677" s="3" t="s">
        <v>287</v>
      </c>
      <c r="R1677" s="3">
        <v>5</v>
      </c>
      <c r="S1677" s="3">
        <v>44478.8</v>
      </c>
      <c r="T1677" s="3">
        <v>15</v>
      </c>
      <c r="U1677" s="3">
        <v>189034.9</v>
      </c>
      <c r="V1677" s="3">
        <v>111899.11</v>
      </c>
      <c r="W1677" s="3">
        <v>77135.789999999994</v>
      </c>
      <c r="X1677" s="3">
        <v>40.81</v>
      </c>
      <c r="Y1677" s="3">
        <v>49</v>
      </c>
      <c r="Z1677" s="3" t="s">
        <v>23</v>
      </c>
      <c r="AA1677" s="3" t="s">
        <v>100</v>
      </c>
      <c r="AB1677" s="3" t="s">
        <v>101</v>
      </c>
      <c r="AC1677" s="3">
        <v>3</v>
      </c>
    </row>
    <row r="1678" spans="1:29" x14ac:dyDescent="0.3">
      <c r="A1678" s="2" t="s">
        <v>7722</v>
      </c>
      <c r="B1678" s="2" t="s">
        <v>7723</v>
      </c>
      <c r="C1678" s="2" t="s">
        <v>1866</v>
      </c>
      <c r="D1678" s="2" t="s">
        <v>7724</v>
      </c>
      <c r="E1678" s="2" t="s">
        <v>26</v>
      </c>
      <c r="F1678" s="2" t="s">
        <v>4416</v>
      </c>
      <c r="G1678" s="2" t="s">
        <v>3115</v>
      </c>
      <c r="H1678" s="2" t="s">
        <v>2602</v>
      </c>
      <c r="I1678" s="2">
        <v>4</v>
      </c>
      <c r="J1678" s="2" t="s">
        <v>22</v>
      </c>
      <c r="K1678" s="2" t="s">
        <v>254</v>
      </c>
      <c r="L1678" s="2" t="s">
        <v>254</v>
      </c>
      <c r="M1678" s="2" t="s">
        <v>3606</v>
      </c>
      <c r="N1678" s="2" t="s">
        <v>185</v>
      </c>
      <c r="O1678" s="2" t="s">
        <v>28</v>
      </c>
      <c r="P1678" s="2" t="s">
        <v>151</v>
      </c>
      <c r="Q1678" s="2" t="s">
        <v>246</v>
      </c>
      <c r="R1678" s="2">
        <v>2</v>
      </c>
      <c r="S1678" s="2">
        <v>34337.879999999997</v>
      </c>
      <c r="T1678" s="2">
        <v>25</v>
      </c>
      <c r="U1678" s="2">
        <v>51506.82</v>
      </c>
      <c r="V1678" s="2">
        <v>29276.16</v>
      </c>
      <c r="W1678" s="2">
        <v>22230.66</v>
      </c>
      <c r="X1678" s="2">
        <v>43.16</v>
      </c>
      <c r="Y1678" s="2">
        <v>29</v>
      </c>
      <c r="Z1678" s="2" t="s">
        <v>40</v>
      </c>
      <c r="AA1678" s="2" t="s">
        <v>275</v>
      </c>
      <c r="AB1678" s="2" t="s">
        <v>101</v>
      </c>
      <c r="AC1678" s="2"/>
    </row>
    <row r="1679" spans="1:29" x14ac:dyDescent="0.3">
      <c r="A1679" s="3" t="s">
        <v>7725</v>
      </c>
      <c r="B1679" s="3" t="s">
        <v>7726</v>
      </c>
      <c r="C1679" s="3" t="s">
        <v>733</v>
      </c>
      <c r="D1679" s="3" t="s">
        <v>7727</v>
      </c>
      <c r="E1679" s="3" t="s">
        <v>26</v>
      </c>
      <c r="F1679" s="3" t="s">
        <v>2120</v>
      </c>
      <c r="G1679" s="3" t="s">
        <v>3369</v>
      </c>
      <c r="H1679" s="3" t="s">
        <v>4628</v>
      </c>
      <c r="I1679" s="3">
        <v>2</v>
      </c>
      <c r="J1679" s="3" t="s">
        <v>39</v>
      </c>
      <c r="K1679" s="3" t="s">
        <v>109</v>
      </c>
      <c r="L1679" s="3" t="s">
        <v>110</v>
      </c>
      <c r="M1679" s="3" t="s">
        <v>7728</v>
      </c>
      <c r="N1679" s="3" t="s">
        <v>639</v>
      </c>
      <c r="O1679" s="3" t="s">
        <v>27</v>
      </c>
      <c r="P1679" s="3" t="s">
        <v>175</v>
      </c>
      <c r="Q1679" s="3" t="s">
        <v>246</v>
      </c>
      <c r="R1679" s="3">
        <v>5</v>
      </c>
      <c r="S1679" s="3">
        <v>40484.26</v>
      </c>
      <c r="T1679" s="3">
        <v>20</v>
      </c>
      <c r="U1679" s="3">
        <v>161937.04</v>
      </c>
      <c r="V1679" s="3">
        <v>88030.14</v>
      </c>
      <c r="W1679" s="3">
        <v>73906.899999999994</v>
      </c>
      <c r="X1679" s="3">
        <v>45.64</v>
      </c>
      <c r="Y1679" s="3">
        <v>49</v>
      </c>
      <c r="Z1679" s="3" t="s">
        <v>23</v>
      </c>
      <c r="AA1679" s="3" t="s">
        <v>100</v>
      </c>
      <c r="AB1679" s="3" t="s">
        <v>101</v>
      </c>
      <c r="AC1679" s="3">
        <v>2</v>
      </c>
    </row>
    <row r="1680" spans="1:29" x14ac:dyDescent="0.3">
      <c r="A1680" s="2" t="s">
        <v>7729</v>
      </c>
      <c r="B1680" s="2" t="s">
        <v>7730</v>
      </c>
      <c r="C1680" s="2" t="s">
        <v>1981</v>
      </c>
      <c r="D1680" s="2" t="s">
        <v>7731</v>
      </c>
      <c r="E1680" s="2" t="s">
        <v>33</v>
      </c>
      <c r="F1680" s="2" t="s">
        <v>181</v>
      </c>
      <c r="G1680" s="2" t="s">
        <v>4779</v>
      </c>
      <c r="H1680" s="2" t="s">
        <v>736</v>
      </c>
      <c r="I1680" s="2">
        <v>4</v>
      </c>
      <c r="J1680" s="2" t="s">
        <v>39</v>
      </c>
      <c r="K1680" s="2" t="s">
        <v>314</v>
      </c>
      <c r="L1680" s="2" t="s">
        <v>314</v>
      </c>
      <c r="M1680" s="2" t="s">
        <v>3891</v>
      </c>
      <c r="N1680" s="2" t="s">
        <v>195</v>
      </c>
      <c r="O1680" s="2" t="s">
        <v>21</v>
      </c>
      <c r="P1680" s="2" t="s">
        <v>196</v>
      </c>
      <c r="Q1680" s="2" t="s">
        <v>114</v>
      </c>
      <c r="R1680" s="2">
        <v>5</v>
      </c>
      <c r="S1680" s="2">
        <v>14089.15</v>
      </c>
      <c r="T1680" s="2">
        <v>0</v>
      </c>
      <c r="U1680" s="2">
        <v>70445.75</v>
      </c>
      <c r="V1680" s="2">
        <v>45559.28</v>
      </c>
      <c r="W1680" s="2">
        <v>24886.47</v>
      </c>
      <c r="X1680" s="2">
        <v>35.33</v>
      </c>
      <c r="Y1680" s="2">
        <v>99</v>
      </c>
      <c r="Z1680" s="2" t="s">
        <v>23</v>
      </c>
      <c r="AA1680" s="2" t="s">
        <v>100</v>
      </c>
      <c r="AB1680" s="2" t="s">
        <v>101</v>
      </c>
      <c r="AC1680" s="2">
        <v>4</v>
      </c>
    </row>
    <row r="1681" spans="1:29" x14ac:dyDescent="0.3">
      <c r="A1681" s="3" t="s">
        <v>7732</v>
      </c>
      <c r="B1681" s="3" t="s">
        <v>7733</v>
      </c>
      <c r="C1681" s="3" t="s">
        <v>707</v>
      </c>
      <c r="D1681" s="3" t="s">
        <v>7734</v>
      </c>
      <c r="E1681" s="3" t="s">
        <v>42</v>
      </c>
      <c r="F1681" s="3" t="s">
        <v>4032</v>
      </c>
      <c r="G1681" s="3" t="s">
        <v>1322</v>
      </c>
      <c r="H1681" s="3" t="s">
        <v>1777</v>
      </c>
      <c r="I1681" s="3">
        <v>4</v>
      </c>
      <c r="J1681" s="3" t="s">
        <v>29</v>
      </c>
      <c r="K1681" s="3" t="s">
        <v>834</v>
      </c>
      <c r="L1681" s="3" t="s">
        <v>901</v>
      </c>
      <c r="M1681" s="3" t="s">
        <v>7735</v>
      </c>
      <c r="N1681" s="3" t="s">
        <v>306</v>
      </c>
      <c r="O1681" s="3" t="s">
        <v>21</v>
      </c>
      <c r="P1681" s="3" t="s">
        <v>126</v>
      </c>
      <c r="Q1681" s="3" t="s">
        <v>127</v>
      </c>
      <c r="R1681" s="3">
        <v>2</v>
      </c>
      <c r="S1681" s="3">
        <v>30287.73</v>
      </c>
      <c r="T1681" s="3">
        <v>0</v>
      </c>
      <c r="U1681" s="3">
        <v>60575.46</v>
      </c>
      <c r="V1681" s="3">
        <v>36737.93</v>
      </c>
      <c r="W1681" s="3">
        <v>23837.53</v>
      </c>
      <c r="X1681" s="3">
        <v>39.35</v>
      </c>
      <c r="Y1681" s="3">
        <v>0</v>
      </c>
      <c r="Z1681" s="3" t="s">
        <v>48</v>
      </c>
      <c r="AA1681" s="3" t="s">
        <v>100</v>
      </c>
      <c r="AB1681" s="3" t="s">
        <v>140</v>
      </c>
      <c r="AC1681" s="3">
        <v>4</v>
      </c>
    </row>
    <row r="1682" spans="1:29" x14ac:dyDescent="0.3">
      <c r="A1682" s="2" t="s">
        <v>7736</v>
      </c>
      <c r="B1682" s="2" t="s">
        <v>7737</v>
      </c>
      <c r="C1682" s="2" t="s">
        <v>695</v>
      </c>
      <c r="D1682" s="2" t="s">
        <v>3538</v>
      </c>
      <c r="E1682" s="2" t="s">
        <v>42</v>
      </c>
      <c r="F1682" s="2" t="s">
        <v>3614</v>
      </c>
      <c r="G1682" s="2" t="s">
        <v>999</v>
      </c>
      <c r="H1682" s="2" t="s">
        <v>1906</v>
      </c>
      <c r="I1682" s="2">
        <v>2</v>
      </c>
      <c r="J1682" s="2" t="s">
        <v>39</v>
      </c>
      <c r="K1682" s="2" t="s">
        <v>193</v>
      </c>
      <c r="L1682" s="2" t="s">
        <v>193</v>
      </c>
      <c r="M1682" s="2" t="s">
        <v>7738</v>
      </c>
      <c r="N1682" s="2" t="s">
        <v>286</v>
      </c>
      <c r="O1682" s="2" t="s">
        <v>28</v>
      </c>
      <c r="P1682" s="2" t="s">
        <v>137</v>
      </c>
      <c r="Q1682" s="2" t="s">
        <v>355</v>
      </c>
      <c r="R1682" s="2">
        <v>1</v>
      </c>
      <c r="S1682" s="2">
        <v>20093.47</v>
      </c>
      <c r="T1682" s="2">
        <v>15</v>
      </c>
      <c r="U1682" s="2">
        <v>17079.45</v>
      </c>
      <c r="V1682" s="2">
        <v>9620.59</v>
      </c>
      <c r="W1682" s="2">
        <v>7458.86</v>
      </c>
      <c r="X1682" s="2">
        <v>43.67</v>
      </c>
      <c r="Y1682" s="2">
        <v>29</v>
      </c>
      <c r="Z1682" s="2" t="s">
        <v>47</v>
      </c>
      <c r="AA1682" s="2" t="s">
        <v>100</v>
      </c>
      <c r="AB1682" s="2" t="s">
        <v>101</v>
      </c>
      <c r="AC1682" s="2">
        <v>4</v>
      </c>
    </row>
    <row r="1683" spans="1:29" x14ac:dyDescent="0.3">
      <c r="A1683" s="3" t="s">
        <v>7739</v>
      </c>
      <c r="B1683" s="3" t="s">
        <v>7740</v>
      </c>
      <c r="C1683" s="3" t="s">
        <v>1166</v>
      </c>
      <c r="D1683" s="3" t="s">
        <v>488</v>
      </c>
      <c r="E1683" s="3" t="s">
        <v>33</v>
      </c>
      <c r="F1683" s="3" t="s">
        <v>900</v>
      </c>
      <c r="G1683" s="3" t="s">
        <v>1841</v>
      </c>
      <c r="H1683" s="3" t="s">
        <v>3596</v>
      </c>
      <c r="I1683" s="3">
        <v>6</v>
      </c>
      <c r="J1683" s="3" t="s">
        <v>22</v>
      </c>
      <c r="K1683" s="3" t="s">
        <v>283</v>
      </c>
      <c r="L1683" s="3" t="s">
        <v>1346</v>
      </c>
      <c r="M1683" s="3" t="s">
        <v>7741</v>
      </c>
      <c r="N1683" s="3" t="s">
        <v>533</v>
      </c>
      <c r="O1683" s="3" t="s">
        <v>19</v>
      </c>
      <c r="P1683" s="3" t="s">
        <v>297</v>
      </c>
      <c r="Q1683" s="3" t="s">
        <v>509</v>
      </c>
      <c r="R1683" s="3">
        <v>3</v>
      </c>
      <c r="S1683" s="3">
        <v>200.04</v>
      </c>
      <c r="T1683" s="3">
        <v>15</v>
      </c>
      <c r="U1683" s="3">
        <v>510.1</v>
      </c>
      <c r="V1683" s="3">
        <v>257.89999999999998</v>
      </c>
      <c r="W1683" s="3">
        <v>252.2</v>
      </c>
      <c r="X1683" s="3">
        <v>49.44</v>
      </c>
      <c r="Y1683" s="3">
        <v>29</v>
      </c>
      <c r="Z1683" s="3" t="s">
        <v>47</v>
      </c>
      <c r="AA1683" s="3" t="s">
        <v>100</v>
      </c>
      <c r="AB1683" s="3" t="s">
        <v>101</v>
      </c>
      <c r="AC1683" s="3">
        <v>1</v>
      </c>
    </row>
    <row r="1684" spans="1:29" x14ac:dyDescent="0.3">
      <c r="A1684" s="2" t="s">
        <v>7742</v>
      </c>
      <c r="B1684" s="2" t="s">
        <v>7743</v>
      </c>
      <c r="C1684" s="2" t="s">
        <v>774</v>
      </c>
      <c r="D1684" s="2" t="s">
        <v>7744</v>
      </c>
      <c r="E1684" s="2" t="s">
        <v>26</v>
      </c>
      <c r="F1684" s="2" t="s">
        <v>3394</v>
      </c>
      <c r="G1684" s="2" t="s">
        <v>1064</v>
      </c>
      <c r="H1684" s="2" t="s">
        <v>2758</v>
      </c>
      <c r="I1684" s="2">
        <v>6</v>
      </c>
      <c r="J1684" s="2" t="s">
        <v>39</v>
      </c>
      <c r="K1684" s="2" t="s">
        <v>225</v>
      </c>
      <c r="L1684" s="2" t="s">
        <v>225</v>
      </c>
      <c r="M1684" s="2" t="s">
        <v>7603</v>
      </c>
      <c r="N1684" s="2" t="s">
        <v>740</v>
      </c>
      <c r="O1684" s="2" t="s">
        <v>21</v>
      </c>
      <c r="P1684" s="2" t="s">
        <v>126</v>
      </c>
      <c r="Q1684" s="2" t="s">
        <v>400</v>
      </c>
      <c r="R1684" s="2">
        <v>3</v>
      </c>
      <c r="S1684" s="2">
        <v>12241.96</v>
      </c>
      <c r="T1684" s="2">
        <v>20</v>
      </c>
      <c r="U1684" s="2">
        <v>29380.7</v>
      </c>
      <c r="V1684" s="2">
        <v>13962.89</v>
      </c>
      <c r="W1684" s="2">
        <v>15417.81</v>
      </c>
      <c r="X1684" s="2">
        <v>52.48</v>
      </c>
      <c r="Y1684" s="2">
        <v>49</v>
      </c>
      <c r="Z1684" s="2" t="s">
        <v>48</v>
      </c>
      <c r="AA1684" s="2" t="s">
        <v>100</v>
      </c>
      <c r="AB1684" s="2" t="s">
        <v>101</v>
      </c>
      <c r="AC1684" s="2"/>
    </row>
    <row r="1685" spans="1:29" x14ac:dyDescent="0.3">
      <c r="A1685" s="3" t="s">
        <v>7745</v>
      </c>
      <c r="B1685" s="3" t="s">
        <v>7746</v>
      </c>
      <c r="C1685" s="3" t="s">
        <v>3938</v>
      </c>
      <c r="D1685" s="3" t="s">
        <v>7747</v>
      </c>
      <c r="E1685" s="3" t="s">
        <v>42</v>
      </c>
      <c r="F1685" s="3" t="s">
        <v>991</v>
      </c>
      <c r="G1685" s="3" t="s">
        <v>727</v>
      </c>
      <c r="H1685" s="3" t="s">
        <v>728</v>
      </c>
      <c r="I1685" s="3">
        <v>3</v>
      </c>
      <c r="J1685" s="3" t="s">
        <v>14</v>
      </c>
      <c r="K1685" s="3" t="s">
        <v>171</v>
      </c>
      <c r="L1685" s="3" t="s">
        <v>407</v>
      </c>
      <c r="M1685" s="3" t="s">
        <v>7748</v>
      </c>
      <c r="N1685" s="3" t="s">
        <v>616</v>
      </c>
      <c r="O1685" s="3" t="s">
        <v>21</v>
      </c>
      <c r="P1685" s="3" t="s">
        <v>206</v>
      </c>
      <c r="Q1685" s="3" t="s">
        <v>152</v>
      </c>
      <c r="R1685" s="3">
        <v>2</v>
      </c>
      <c r="S1685" s="3">
        <v>11688.64</v>
      </c>
      <c r="T1685" s="3">
        <v>10</v>
      </c>
      <c r="U1685" s="3">
        <v>21039.55</v>
      </c>
      <c r="V1685" s="3">
        <v>10551.61</v>
      </c>
      <c r="W1685" s="3">
        <v>10487.94</v>
      </c>
      <c r="X1685" s="3">
        <v>49.85</v>
      </c>
      <c r="Y1685" s="3">
        <v>99</v>
      </c>
      <c r="Z1685" s="3" t="s">
        <v>43</v>
      </c>
      <c r="AA1685" s="3" t="s">
        <v>100</v>
      </c>
      <c r="AB1685" s="3" t="s">
        <v>101</v>
      </c>
      <c r="AC1685" s="3"/>
    </row>
    <row r="1686" spans="1:29" x14ac:dyDescent="0.3">
      <c r="A1686" s="2" t="s">
        <v>7749</v>
      </c>
      <c r="B1686" s="2" t="s">
        <v>7750</v>
      </c>
      <c r="C1686" s="2" t="s">
        <v>1484</v>
      </c>
      <c r="D1686" s="2" t="s">
        <v>7751</v>
      </c>
      <c r="E1686" s="2" t="s">
        <v>42</v>
      </c>
      <c r="F1686" s="2" t="s">
        <v>1345</v>
      </c>
      <c r="G1686" s="2" t="s">
        <v>2167</v>
      </c>
      <c r="H1686" s="2" t="s">
        <v>653</v>
      </c>
      <c r="I1686" s="2">
        <v>7</v>
      </c>
      <c r="J1686" s="2" t="s">
        <v>22</v>
      </c>
      <c r="K1686" s="2" t="s">
        <v>254</v>
      </c>
      <c r="L1686" s="2" t="s">
        <v>254</v>
      </c>
      <c r="M1686" s="2" t="s">
        <v>7032</v>
      </c>
      <c r="N1686" s="2" t="s">
        <v>1535</v>
      </c>
      <c r="O1686" s="2" t="s">
        <v>13</v>
      </c>
      <c r="P1686" s="2" t="s">
        <v>98</v>
      </c>
      <c r="Q1686" s="2" t="s">
        <v>287</v>
      </c>
      <c r="R1686" s="2">
        <v>3</v>
      </c>
      <c r="S1686" s="2">
        <v>40868.68</v>
      </c>
      <c r="T1686" s="2">
        <v>25</v>
      </c>
      <c r="U1686" s="2">
        <v>91954.53</v>
      </c>
      <c r="V1686" s="2">
        <v>57834.81</v>
      </c>
      <c r="W1686" s="2">
        <v>34119.72</v>
      </c>
      <c r="X1686" s="2">
        <v>37.1</v>
      </c>
      <c r="Y1686" s="2">
        <v>29</v>
      </c>
      <c r="Z1686" s="2" t="s">
        <v>47</v>
      </c>
      <c r="AA1686" s="2" t="s">
        <v>100</v>
      </c>
      <c r="AB1686" s="2" t="s">
        <v>101</v>
      </c>
      <c r="AC1686" s="2">
        <v>5</v>
      </c>
    </row>
    <row r="1687" spans="1:29" x14ac:dyDescent="0.3">
      <c r="A1687" s="3" t="s">
        <v>7752</v>
      </c>
      <c r="B1687" s="3" t="s">
        <v>7753</v>
      </c>
      <c r="C1687" s="3" t="s">
        <v>1177</v>
      </c>
      <c r="D1687" s="3" t="s">
        <v>7754</v>
      </c>
      <c r="E1687" s="3" t="s">
        <v>18</v>
      </c>
      <c r="F1687" s="3" t="s">
        <v>2883</v>
      </c>
      <c r="G1687" s="3" t="s">
        <v>669</v>
      </c>
      <c r="H1687" s="3" t="s">
        <v>2449</v>
      </c>
      <c r="I1687" s="3">
        <v>8</v>
      </c>
      <c r="J1687" s="3" t="s">
        <v>39</v>
      </c>
      <c r="K1687" s="3" t="s">
        <v>193</v>
      </c>
      <c r="L1687" s="3" t="s">
        <v>193</v>
      </c>
      <c r="M1687" s="3" t="s">
        <v>7755</v>
      </c>
      <c r="N1687" s="3" t="s">
        <v>327</v>
      </c>
      <c r="O1687" s="3" t="s">
        <v>27</v>
      </c>
      <c r="P1687" s="3" t="s">
        <v>113</v>
      </c>
      <c r="Q1687" s="3" t="s">
        <v>197</v>
      </c>
      <c r="R1687" s="3">
        <v>3</v>
      </c>
      <c r="S1687" s="3">
        <v>36848.58</v>
      </c>
      <c r="T1687" s="3">
        <v>5</v>
      </c>
      <c r="U1687" s="3">
        <v>105018.45</v>
      </c>
      <c r="V1687" s="3">
        <v>59521.91</v>
      </c>
      <c r="W1687" s="3">
        <v>45496.54</v>
      </c>
      <c r="X1687" s="3">
        <v>43.32</v>
      </c>
      <c r="Y1687" s="3">
        <v>29</v>
      </c>
      <c r="Z1687" s="3" t="s">
        <v>47</v>
      </c>
      <c r="AA1687" s="3" t="s">
        <v>186</v>
      </c>
      <c r="AB1687" s="3" t="s">
        <v>101</v>
      </c>
      <c r="AC1687" s="3"/>
    </row>
    <row r="1688" spans="1:29" x14ac:dyDescent="0.3">
      <c r="A1688" s="2" t="s">
        <v>7756</v>
      </c>
      <c r="B1688" s="2" t="s">
        <v>7757</v>
      </c>
      <c r="C1688" s="2" t="s">
        <v>1918</v>
      </c>
      <c r="D1688" s="2" t="s">
        <v>7758</v>
      </c>
      <c r="E1688" s="2" t="s">
        <v>26</v>
      </c>
      <c r="F1688" s="2" t="s">
        <v>3782</v>
      </c>
      <c r="G1688" s="2" t="s">
        <v>810</v>
      </c>
      <c r="H1688" s="2" t="s">
        <v>811</v>
      </c>
      <c r="I1688" s="2">
        <v>7</v>
      </c>
      <c r="J1688" s="2" t="s">
        <v>14</v>
      </c>
      <c r="K1688" s="2" t="s">
        <v>171</v>
      </c>
      <c r="L1688" s="2" t="s">
        <v>172</v>
      </c>
      <c r="M1688" s="2" t="s">
        <v>3906</v>
      </c>
      <c r="N1688" s="2" t="s">
        <v>150</v>
      </c>
      <c r="O1688" s="2" t="s">
        <v>28</v>
      </c>
      <c r="P1688" s="2" t="s">
        <v>151</v>
      </c>
      <c r="Q1688" s="2" t="s">
        <v>114</v>
      </c>
      <c r="R1688" s="2">
        <v>2</v>
      </c>
      <c r="S1688" s="2">
        <v>30812.17</v>
      </c>
      <c r="T1688" s="2">
        <v>5</v>
      </c>
      <c r="U1688" s="2">
        <v>58543.12</v>
      </c>
      <c r="V1688" s="2">
        <v>32716.39</v>
      </c>
      <c r="W1688" s="2">
        <v>25826.73</v>
      </c>
      <c r="X1688" s="2">
        <v>44.12</v>
      </c>
      <c r="Y1688" s="2">
        <v>29</v>
      </c>
      <c r="Z1688" s="2" t="s">
        <v>23</v>
      </c>
      <c r="AA1688" s="2" t="s">
        <v>275</v>
      </c>
      <c r="AB1688" s="2" t="s">
        <v>101</v>
      </c>
      <c r="AC1688" s="2"/>
    </row>
    <row r="1689" spans="1:29" x14ac:dyDescent="0.3">
      <c r="A1689" s="3" t="s">
        <v>7759</v>
      </c>
      <c r="B1689" s="3" t="s">
        <v>7760</v>
      </c>
      <c r="C1689" s="3" t="s">
        <v>278</v>
      </c>
      <c r="D1689" s="3" t="s">
        <v>7761</v>
      </c>
      <c r="E1689" s="3" t="s">
        <v>42</v>
      </c>
      <c r="F1689" s="3" t="s">
        <v>1776</v>
      </c>
      <c r="G1689" s="3" t="s">
        <v>6124</v>
      </c>
      <c r="H1689" s="3" t="s">
        <v>2671</v>
      </c>
      <c r="I1689" s="3">
        <v>2</v>
      </c>
      <c r="J1689" s="3" t="s">
        <v>14</v>
      </c>
      <c r="K1689" s="3" t="s">
        <v>95</v>
      </c>
      <c r="L1689" s="3" t="s">
        <v>95</v>
      </c>
      <c r="M1689" s="3" t="s">
        <v>7762</v>
      </c>
      <c r="N1689" s="3" t="s">
        <v>374</v>
      </c>
      <c r="O1689" s="3" t="s">
        <v>21</v>
      </c>
      <c r="P1689" s="3" t="s">
        <v>196</v>
      </c>
      <c r="Q1689" s="3" t="s">
        <v>218</v>
      </c>
      <c r="R1689" s="3">
        <v>1</v>
      </c>
      <c r="S1689" s="3">
        <v>5974.09</v>
      </c>
      <c r="T1689" s="3">
        <v>30</v>
      </c>
      <c r="U1689" s="3">
        <v>4181.8599999999997</v>
      </c>
      <c r="V1689" s="3">
        <v>2153</v>
      </c>
      <c r="W1689" s="3">
        <v>2028.86</v>
      </c>
      <c r="X1689" s="3">
        <v>48.52</v>
      </c>
      <c r="Y1689" s="3">
        <v>99</v>
      </c>
      <c r="Z1689" s="3" t="s">
        <v>43</v>
      </c>
      <c r="AA1689" s="3" t="s">
        <v>100</v>
      </c>
      <c r="AB1689" s="3" t="s">
        <v>101</v>
      </c>
      <c r="AC1689" s="3">
        <v>1</v>
      </c>
    </row>
    <row r="1690" spans="1:29" x14ac:dyDescent="0.3">
      <c r="A1690" s="2" t="s">
        <v>7763</v>
      </c>
      <c r="B1690" s="2" t="s">
        <v>7764</v>
      </c>
      <c r="C1690" s="2" t="s">
        <v>1822</v>
      </c>
      <c r="D1690" s="2" t="s">
        <v>7765</v>
      </c>
      <c r="E1690" s="2" t="s">
        <v>18</v>
      </c>
      <c r="F1690" s="2" t="s">
        <v>1070</v>
      </c>
      <c r="G1690" s="2" t="s">
        <v>3945</v>
      </c>
      <c r="H1690" s="2" t="s">
        <v>5664</v>
      </c>
      <c r="I1690" s="2">
        <v>2</v>
      </c>
      <c r="J1690" s="2" t="s">
        <v>14</v>
      </c>
      <c r="K1690" s="2" t="s">
        <v>215</v>
      </c>
      <c r="L1690" s="2" t="s">
        <v>215</v>
      </c>
      <c r="M1690" s="2" t="s">
        <v>7766</v>
      </c>
      <c r="N1690" s="2" t="s">
        <v>1611</v>
      </c>
      <c r="O1690" s="2" t="s">
        <v>19</v>
      </c>
      <c r="P1690" s="2" t="s">
        <v>365</v>
      </c>
      <c r="Q1690" s="2" t="s">
        <v>99</v>
      </c>
      <c r="R1690" s="2">
        <v>3</v>
      </c>
      <c r="S1690" s="2">
        <v>30381.07</v>
      </c>
      <c r="T1690" s="2">
        <v>15</v>
      </c>
      <c r="U1690" s="2">
        <v>77471.73</v>
      </c>
      <c r="V1690" s="2">
        <v>49345.51</v>
      </c>
      <c r="W1690" s="2">
        <v>28126.22</v>
      </c>
      <c r="X1690" s="2">
        <v>36.31</v>
      </c>
      <c r="Y1690" s="2">
        <v>0</v>
      </c>
      <c r="Z1690" s="2" t="s">
        <v>43</v>
      </c>
      <c r="AA1690" s="2" t="s">
        <v>100</v>
      </c>
      <c r="AB1690" s="2" t="s">
        <v>101</v>
      </c>
      <c r="AC1690" s="2">
        <v>5</v>
      </c>
    </row>
    <row r="1691" spans="1:29" x14ac:dyDescent="0.3">
      <c r="A1691" s="3" t="s">
        <v>7767</v>
      </c>
      <c r="B1691" s="3" t="s">
        <v>6295</v>
      </c>
      <c r="C1691" s="3" t="s">
        <v>545</v>
      </c>
      <c r="D1691" s="3" t="s">
        <v>7768</v>
      </c>
      <c r="E1691" s="3" t="s">
        <v>26</v>
      </c>
      <c r="F1691" s="3" t="s">
        <v>2899</v>
      </c>
      <c r="G1691" s="3" t="s">
        <v>4578</v>
      </c>
      <c r="H1691" s="3" t="s">
        <v>3871</v>
      </c>
      <c r="I1691" s="3">
        <v>2</v>
      </c>
      <c r="J1691" s="3" t="s">
        <v>22</v>
      </c>
      <c r="K1691" s="3" t="s">
        <v>283</v>
      </c>
      <c r="L1691" s="3" t="s">
        <v>284</v>
      </c>
      <c r="M1691" s="3" t="s">
        <v>7769</v>
      </c>
      <c r="N1691" s="3" t="s">
        <v>438</v>
      </c>
      <c r="O1691" s="3" t="s">
        <v>13</v>
      </c>
      <c r="P1691" s="3" t="s">
        <v>228</v>
      </c>
      <c r="Q1691" s="3" t="s">
        <v>400</v>
      </c>
      <c r="R1691" s="3">
        <v>2</v>
      </c>
      <c r="S1691" s="3">
        <v>49266.86</v>
      </c>
      <c r="T1691" s="3">
        <v>25</v>
      </c>
      <c r="U1691" s="3">
        <v>73900.289999999994</v>
      </c>
      <c r="V1691" s="3">
        <v>41904.36</v>
      </c>
      <c r="W1691" s="3">
        <v>31995.93</v>
      </c>
      <c r="X1691" s="3">
        <v>43.3</v>
      </c>
      <c r="Y1691" s="3">
        <v>199</v>
      </c>
      <c r="Z1691" s="3" t="s">
        <v>15</v>
      </c>
      <c r="AA1691" s="3" t="s">
        <v>100</v>
      </c>
      <c r="AB1691" s="3" t="s">
        <v>101</v>
      </c>
      <c r="AC1691" s="3">
        <v>4</v>
      </c>
    </row>
    <row r="1692" spans="1:29" x14ac:dyDescent="0.3">
      <c r="A1692" s="2" t="s">
        <v>7770</v>
      </c>
      <c r="B1692" s="2" t="s">
        <v>7771</v>
      </c>
      <c r="C1692" s="2" t="s">
        <v>1911</v>
      </c>
      <c r="D1692" s="2" t="s">
        <v>7772</v>
      </c>
      <c r="E1692" s="2" t="s">
        <v>18</v>
      </c>
      <c r="F1692" s="2" t="s">
        <v>1135</v>
      </c>
      <c r="G1692" s="2" t="s">
        <v>2973</v>
      </c>
      <c r="H1692" s="2" t="s">
        <v>2974</v>
      </c>
      <c r="I1692" s="2">
        <v>2</v>
      </c>
      <c r="J1692" s="2" t="s">
        <v>22</v>
      </c>
      <c r="K1692" s="2" t="s">
        <v>283</v>
      </c>
      <c r="L1692" s="2" t="s">
        <v>284</v>
      </c>
      <c r="M1692" s="2" t="s">
        <v>7773</v>
      </c>
      <c r="N1692" s="2" t="s">
        <v>136</v>
      </c>
      <c r="O1692" s="2" t="s">
        <v>28</v>
      </c>
      <c r="P1692" s="2" t="s">
        <v>137</v>
      </c>
      <c r="Q1692" s="2" t="s">
        <v>114</v>
      </c>
      <c r="R1692" s="2">
        <v>5</v>
      </c>
      <c r="S1692" s="2">
        <v>40511.760000000002</v>
      </c>
      <c r="T1692" s="2">
        <v>5</v>
      </c>
      <c r="U1692" s="2">
        <v>192430.86</v>
      </c>
      <c r="V1692" s="2">
        <v>86597.71</v>
      </c>
      <c r="W1692" s="2">
        <v>105833.15</v>
      </c>
      <c r="X1692" s="2">
        <v>55</v>
      </c>
      <c r="Y1692" s="2">
        <v>29</v>
      </c>
      <c r="Z1692" s="2" t="s">
        <v>40</v>
      </c>
      <c r="AA1692" s="2" t="s">
        <v>100</v>
      </c>
      <c r="AB1692" s="2" t="s">
        <v>101</v>
      </c>
      <c r="AC1692" s="2">
        <v>3</v>
      </c>
    </row>
    <row r="1693" spans="1:29" x14ac:dyDescent="0.3">
      <c r="A1693" s="3" t="s">
        <v>7774</v>
      </c>
      <c r="B1693" s="3" t="s">
        <v>7775</v>
      </c>
      <c r="C1693" s="3" t="s">
        <v>799</v>
      </c>
      <c r="D1693" s="3" t="s">
        <v>7776</v>
      </c>
      <c r="E1693" s="3" t="s">
        <v>26</v>
      </c>
      <c r="F1693" s="3" t="s">
        <v>1056</v>
      </c>
      <c r="G1693" s="3" t="s">
        <v>1288</v>
      </c>
      <c r="H1693" s="3" t="s">
        <v>3825</v>
      </c>
      <c r="I1693" s="3">
        <v>4</v>
      </c>
      <c r="J1693" s="3" t="s">
        <v>22</v>
      </c>
      <c r="K1693" s="3" t="s">
        <v>122</v>
      </c>
      <c r="L1693" s="3" t="s">
        <v>812</v>
      </c>
      <c r="M1693" s="3" t="s">
        <v>6248</v>
      </c>
      <c r="N1693" s="3" t="s">
        <v>418</v>
      </c>
      <c r="O1693" s="3" t="s">
        <v>13</v>
      </c>
      <c r="P1693" s="3" t="s">
        <v>419</v>
      </c>
      <c r="Q1693" s="3" t="s">
        <v>246</v>
      </c>
      <c r="R1693" s="3">
        <v>5</v>
      </c>
      <c r="S1693" s="3">
        <v>41326.019999999997</v>
      </c>
      <c r="T1693" s="3">
        <v>0</v>
      </c>
      <c r="U1693" s="3">
        <v>206630.1</v>
      </c>
      <c r="V1693" s="3">
        <v>126429.6</v>
      </c>
      <c r="W1693" s="3">
        <v>80200.5</v>
      </c>
      <c r="X1693" s="3">
        <v>38.81</v>
      </c>
      <c r="Y1693" s="3">
        <v>49</v>
      </c>
      <c r="Z1693" s="3" t="s">
        <v>43</v>
      </c>
      <c r="AA1693" s="3" t="s">
        <v>100</v>
      </c>
      <c r="AB1693" s="3" t="s">
        <v>101</v>
      </c>
      <c r="AC1693" s="3">
        <v>2</v>
      </c>
    </row>
    <row r="1694" spans="1:29" x14ac:dyDescent="0.3">
      <c r="A1694" s="2" t="s">
        <v>7777</v>
      </c>
      <c r="B1694" s="2" t="s">
        <v>7778</v>
      </c>
      <c r="C1694" s="2" t="s">
        <v>178</v>
      </c>
      <c r="D1694" s="2" t="s">
        <v>7779</v>
      </c>
      <c r="E1694" s="2" t="s">
        <v>33</v>
      </c>
      <c r="F1694" s="2" t="s">
        <v>6525</v>
      </c>
      <c r="G1694" s="2" t="s">
        <v>5480</v>
      </c>
      <c r="H1694" s="2" t="s">
        <v>858</v>
      </c>
      <c r="I1694" s="2">
        <v>7</v>
      </c>
      <c r="J1694" s="2" t="s">
        <v>29</v>
      </c>
      <c r="K1694" s="2" t="s">
        <v>427</v>
      </c>
      <c r="L1694" s="2" t="s">
        <v>1871</v>
      </c>
      <c r="M1694" s="2" t="s">
        <v>7780</v>
      </c>
      <c r="N1694" s="2" t="s">
        <v>484</v>
      </c>
      <c r="O1694" s="2" t="s">
        <v>13</v>
      </c>
      <c r="P1694" s="2" t="s">
        <v>98</v>
      </c>
      <c r="Q1694" s="2" t="s">
        <v>127</v>
      </c>
      <c r="R1694" s="2">
        <v>4</v>
      </c>
      <c r="S1694" s="2">
        <v>12148.05</v>
      </c>
      <c r="T1694" s="2">
        <v>25</v>
      </c>
      <c r="U1694" s="2">
        <v>36444.15</v>
      </c>
      <c r="V1694" s="2">
        <v>20757.62</v>
      </c>
      <c r="W1694" s="2">
        <v>15686.53</v>
      </c>
      <c r="X1694" s="2">
        <v>43.04</v>
      </c>
      <c r="Y1694" s="2">
        <v>29</v>
      </c>
      <c r="Z1694" s="2" t="s">
        <v>23</v>
      </c>
      <c r="AA1694" s="2" t="s">
        <v>100</v>
      </c>
      <c r="AB1694" s="2" t="s">
        <v>101</v>
      </c>
      <c r="AC1694" s="2">
        <v>4</v>
      </c>
    </row>
    <row r="1695" spans="1:29" x14ac:dyDescent="0.3">
      <c r="A1695" s="3" t="s">
        <v>7781</v>
      </c>
      <c r="B1695" s="3" t="s">
        <v>7782</v>
      </c>
      <c r="C1695" s="3" t="s">
        <v>469</v>
      </c>
      <c r="D1695" s="3" t="s">
        <v>7783</v>
      </c>
      <c r="E1695" s="3" t="s">
        <v>33</v>
      </c>
      <c r="F1695" s="3" t="s">
        <v>7784</v>
      </c>
      <c r="G1695" s="3" t="s">
        <v>1320</v>
      </c>
      <c r="H1695" s="3" t="s">
        <v>4032</v>
      </c>
      <c r="I1695" s="3">
        <v>2</v>
      </c>
      <c r="J1695" s="3" t="s">
        <v>39</v>
      </c>
      <c r="K1695" s="3" t="s">
        <v>314</v>
      </c>
      <c r="L1695" s="3" t="s">
        <v>314</v>
      </c>
      <c r="M1695" s="3" t="s">
        <v>7785</v>
      </c>
      <c r="N1695" s="3" t="s">
        <v>306</v>
      </c>
      <c r="O1695" s="3" t="s">
        <v>21</v>
      </c>
      <c r="P1695" s="3" t="s">
        <v>126</v>
      </c>
      <c r="Q1695" s="3" t="s">
        <v>99</v>
      </c>
      <c r="R1695" s="3">
        <v>2</v>
      </c>
      <c r="S1695" s="3">
        <v>33785.839999999997</v>
      </c>
      <c r="T1695" s="3">
        <v>0</v>
      </c>
      <c r="U1695" s="3">
        <v>67571.679999999993</v>
      </c>
      <c r="V1695" s="3">
        <v>34356.1</v>
      </c>
      <c r="W1695" s="3">
        <v>33215.58</v>
      </c>
      <c r="X1695" s="3">
        <v>49.16</v>
      </c>
      <c r="Y1695" s="3">
        <v>49</v>
      </c>
      <c r="Z1695" s="3" t="s">
        <v>40</v>
      </c>
      <c r="AA1695" s="3" t="s">
        <v>275</v>
      </c>
      <c r="AB1695" s="3" t="s">
        <v>101</v>
      </c>
      <c r="AC1695" s="3"/>
    </row>
    <row r="1696" spans="1:29" x14ac:dyDescent="0.3">
      <c r="A1696" s="2" t="s">
        <v>7786</v>
      </c>
      <c r="B1696" s="2" t="s">
        <v>7787</v>
      </c>
      <c r="C1696" s="2" t="s">
        <v>2729</v>
      </c>
      <c r="D1696" s="2" t="s">
        <v>7788</v>
      </c>
      <c r="E1696" s="2" t="s">
        <v>33</v>
      </c>
      <c r="F1696" s="2" t="s">
        <v>523</v>
      </c>
      <c r="G1696" s="2" t="s">
        <v>524</v>
      </c>
      <c r="H1696" s="2" t="s">
        <v>3139</v>
      </c>
      <c r="I1696" s="2">
        <v>2</v>
      </c>
      <c r="J1696" s="2" t="s">
        <v>39</v>
      </c>
      <c r="K1696" s="2" t="s">
        <v>314</v>
      </c>
      <c r="L1696" s="2" t="s">
        <v>314</v>
      </c>
      <c r="M1696" s="2" t="s">
        <v>6613</v>
      </c>
      <c r="N1696" s="2" t="s">
        <v>475</v>
      </c>
      <c r="O1696" s="2" t="s">
        <v>13</v>
      </c>
      <c r="P1696" s="2" t="s">
        <v>228</v>
      </c>
      <c r="Q1696" s="2" t="s">
        <v>509</v>
      </c>
      <c r="R1696" s="2">
        <v>4</v>
      </c>
      <c r="S1696" s="2">
        <v>37187.129999999997</v>
      </c>
      <c r="T1696" s="2">
        <v>25</v>
      </c>
      <c r="U1696" s="2">
        <v>111561.39</v>
      </c>
      <c r="V1696" s="2">
        <v>58943.62</v>
      </c>
      <c r="W1696" s="2">
        <v>52617.77</v>
      </c>
      <c r="X1696" s="2">
        <v>47.16</v>
      </c>
      <c r="Y1696" s="2">
        <v>29</v>
      </c>
      <c r="Z1696" s="2" t="s">
        <v>30</v>
      </c>
      <c r="AA1696" s="2" t="s">
        <v>139</v>
      </c>
      <c r="AB1696" s="2" t="s">
        <v>140</v>
      </c>
      <c r="AC1696" s="2"/>
    </row>
    <row r="1697" spans="1:29" x14ac:dyDescent="0.3">
      <c r="A1697" s="3" t="s">
        <v>7789</v>
      </c>
      <c r="B1697" s="3" t="s">
        <v>7790</v>
      </c>
      <c r="C1697" s="3" t="s">
        <v>1866</v>
      </c>
      <c r="D1697" s="3" t="s">
        <v>7791</v>
      </c>
      <c r="E1697" s="3" t="s">
        <v>42</v>
      </c>
      <c r="F1697" s="3" t="s">
        <v>351</v>
      </c>
      <c r="G1697" s="3" t="s">
        <v>7792</v>
      </c>
      <c r="H1697" s="3" t="s">
        <v>504</v>
      </c>
      <c r="I1697" s="3">
        <v>2</v>
      </c>
      <c r="J1697" s="3" t="s">
        <v>14</v>
      </c>
      <c r="K1697" s="3" t="s">
        <v>171</v>
      </c>
      <c r="L1697" s="3" t="s">
        <v>172</v>
      </c>
      <c r="M1697" s="3" t="s">
        <v>7793</v>
      </c>
      <c r="N1697" s="3" t="s">
        <v>136</v>
      </c>
      <c r="O1697" s="3" t="s">
        <v>28</v>
      </c>
      <c r="P1697" s="3" t="s">
        <v>137</v>
      </c>
      <c r="Q1697" s="3" t="s">
        <v>400</v>
      </c>
      <c r="R1697" s="3">
        <v>1</v>
      </c>
      <c r="S1697" s="3">
        <v>36837.53</v>
      </c>
      <c r="T1697" s="3">
        <v>10</v>
      </c>
      <c r="U1697" s="3">
        <v>33153.78</v>
      </c>
      <c r="V1697" s="3">
        <v>20032.439999999999</v>
      </c>
      <c r="W1697" s="3">
        <v>13121.34</v>
      </c>
      <c r="X1697" s="3">
        <v>39.58</v>
      </c>
      <c r="Y1697" s="3">
        <v>29</v>
      </c>
      <c r="Z1697" s="3" t="s">
        <v>30</v>
      </c>
      <c r="AA1697" s="3" t="s">
        <v>100</v>
      </c>
      <c r="AB1697" s="3" t="s">
        <v>101</v>
      </c>
      <c r="AC1697" s="3">
        <v>1</v>
      </c>
    </row>
    <row r="1698" spans="1:29" x14ac:dyDescent="0.3">
      <c r="A1698" s="2" t="s">
        <v>7794</v>
      </c>
      <c r="B1698" s="2" t="s">
        <v>7795</v>
      </c>
      <c r="C1698" s="2" t="s">
        <v>1742</v>
      </c>
      <c r="D1698" s="2" t="s">
        <v>7796</v>
      </c>
      <c r="E1698" s="2" t="s">
        <v>33</v>
      </c>
      <c r="F1698" s="2" t="s">
        <v>1951</v>
      </c>
      <c r="G1698" s="2" t="s">
        <v>3927</v>
      </c>
      <c r="H1698" s="2" t="s">
        <v>2007</v>
      </c>
      <c r="I1698" s="2">
        <v>4</v>
      </c>
      <c r="J1698" s="2" t="s">
        <v>14</v>
      </c>
      <c r="K1698" s="2" t="s">
        <v>712</v>
      </c>
      <c r="L1698" s="2" t="s">
        <v>712</v>
      </c>
      <c r="M1698" s="2" t="s">
        <v>7797</v>
      </c>
      <c r="N1698" s="2" t="s">
        <v>296</v>
      </c>
      <c r="O1698" s="2" t="s">
        <v>19</v>
      </c>
      <c r="P1698" s="2" t="s">
        <v>297</v>
      </c>
      <c r="Q1698" s="2" t="s">
        <v>355</v>
      </c>
      <c r="R1698" s="2">
        <v>1</v>
      </c>
      <c r="S1698" s="2">
        <v>18974.25</v>
      </c>
      <c r="T1698" s="2">
        <v>20</v>
      </c>
      <c r="U1698" s="2">
        <v>15179.4</v>
      </c>
      <c r="V1698" s="2">
        <v>8017.93</v>
      </c>
      <c r="W1698" s="2">
        <v>7161.47</v>
      </c>
      <c r="X1698" s="2">
        <v>47.18</v>
      </c>
      <c r="Y1698" s="2">
        <v>0</v>
      </c>
      <c r="Z1698" s="2" t="s">
        <v>30</v>
      </c>
      <c r="AA1698" s="2" t="s">
        <v>100</v>
      </c>
      <c r="AB1698" s="2" t="s">
        <v>101</v>
      </c>
      <c r="AC1698" s="2">
        <v>2</v>
      </c>
    </row>
    <row r="1699" spans="1:29" x14ac:dyDescent="0.3">
      <c r="A1699" s="3" t="s">
        <v>7798</v>
      </c>
      <c r="B1699" s="3" t="s">
        <v>7799</v>
      </c>
      <c r="C1699" s="3" t="s">
        <v>680</v>
      </c>
      <c r="D1699" s="3" t="s">
        <v>7800</v>
      </c>
      <c r="E1699" s="3" t="s">
        <v>26</v>
      </c>
      <c r="F1699" s="3" t="s">
        <v>1408</v>
      </c>
      <c r="G1699" s="3" t="s">
        <v>2822</v>
      </c>
      <c r="H1699" s="3" t="s">
        <v>404</v>
      </c>
      <c r="I1699" s="3">
        <v>4</v>
      </c>
      <c r="J1699" s="3" t="s">
        <v>39</v>
      </c>
      <c r="K1699" s="3" t="s">
        <v>109</v>
      </c>
      <c r="L1699" s="3" t="s">
        <v>134</v>
      </c>
      <c r="M1699" s="3" t="s">
        <v>7801</v>
      </c>
      <c r="N1699" s="3" t="s">
        <v>1380</v>
      </c>
      <c r="O1699" s="3" t="s">
        <v>28</v>
      </c>
      <c r="P1699" s="3" t="s">
        <v>137</v>
      </c>
      <c r="Q1699" s="3" t="s">
        <v>400</v>
      </c>
      <c r="R1699" s="3">
        <v>1</v>
      </c>
      <c r="S1699" s="3">
        <v>49253.41</v>
      </c>
      <c r="T1699" s="3">
        <v>20</v>
      </c>
      <c r="U1699" s="3">
        <v>39402.730000000003</v>
      </c>
      <c r="V1699" s="3">
        <v>22689.99</v>
      </c>
      <c r="W1699" s="3">
        <v>16712.740000000002</v>
      </c>
      <c r="X1699" s="3">
        <v>42.42</v>
      </c>
      <c r="Y1699" s="3">
        <v>49</v>
      </c>
      <c r="Z1699" s="3" t="s">
        <v>15</v>
      </c>
      <c r="AA1699" s="3" t="s">
        <v>672</v>
      </c>
      <c r="AB1699" s="3" t="s">
        <v>101</v>
      </c>
      <c r="AC1699" s="3"/>
    </row>
    <row r="1700" spans="1:29" x14ac:dyDescent="0.3">
      <c r="A1700" s="2" t="s">
        <v>7802</v>
      </c>
      <c r="B1700" s="2" t="s">
        <v>7803</v>
      </c>
      <c r="C1700" s="2" t="s">
        <v>1233</v>
      </c>
      <c r="D1700" s="2" t="s">
        <v>7804</v>
      </c>
      <c r="E1700" s="2" t="s">
        <v>18</v>
      </c>
      <c r="F1700" s="2" t="s">
        <v>3378</v>
      </c>
      <c r="G1700" s="2" t="s">
        <v>3124</v>
      </c>
      <c r="H1700" s="2" t="s">
        <v>2654</v>
      </c>
      <c r="I1700" s="2">
        <v>6</v>
      </c>
      <c r="J1700" s="2" t="s">
        <v>29</v>
      </c>
      <c r="K1700" s="2" t="s">
        <v>148</v>
      </c>
      <c r="L1700" s="2" t="s">
        <v>148</v>
      </c>
      <c r="M1700" s="2" t="s">
        <v>7805</v>
      </c>
      <c r="N1700" s="2" t="s">
        <v>1332</v>
      </c>
      <c r="O1700" s="2" t="s">
        <v>19</v>
      </c>
      <c r="P1700" s="2" t="s">
        <v>447</v>
      </c>
      <c r="Q1700" s="2" t="s">
        <v>114</v>
      </c>
      <c r="R1700" s="2">
        <v>3</v>
      </c>
      <c r="S1700" s="2">
        <v>13436.47</v>
      </c>
      <c r="T1700" s="2">
        <v>0</v>
      </c>
      <c r="U1700" s="2">
        <v>40309.410000000003</v>
      </c>
      <c r="V1700" s="2">
        <v>18241.509999999998</v>
      </c>
      <c r="W1700" s="2">
        <v>22067.9</v>
      </c>
      <c r="X1700" s="2">
        <v>54.75</v>
      </c>
      <c r="Y1700" s="2">
        <v>0</v>
      </c>
      <c r="Z1700" s="2" t="s">
        <v>43</v>
      </c>
      <c r="AA1700" s="2" t="s">
        <v>139</v>
      </c>
      <c r="AB1700" s="2" t="s">
        <v>140</v>
      </c>
      <c r="AC1700" s="2"/>
    </row>
    <row r="1701" spans="1:29" x14ac:dyDescent="0.3">
      <c r="A1701" s="3" t="s">
        <v>7806</v>
      </c>
      <c r="B1701" s="3" t="s">
        <v>7807</v>
      </c>
      <c r="C1701" s="3" t="s">
        <v>1644</v>
      </c>
      <c r="D1701" s="3" t="s">
        <v>7808</v>
      </c>
      <c r="E1701" s="3" t="s">
        <v>42</v>
      </c>
      <c r="F1701" s="3" t="s">
        <v>1306</v>
      </c>
      <c r="G1701" s="3" t="s">
        <v>425</v>
      </c>
      <c r="H1701" s="3" t="s">
        <v>2752</v>
      </c>
      <c r="I1701" s="3">
        <v>6</v>
      </c>
      <c r="J1701" s="3" t="s">
        <v>39</v>
      </c>
      <c r="K1701" s="3" t="s">
        <v>225</v>
      </c>
      <c r="L1701" s="3" t="s">
        <v>225</v>
      </c>
      <c r="M1701" s="3" t="s">
        <v>7809</v>
      </c>
      <c r="N1701" s="3" t="s">
        <v>704</v>
      </c>
      <c r="O1701" s="3" t="s">
        <v>13</v>
      </c>
      <c r="P1701" s="3" t="s">
        <v>419</v>
      </c>
      <c r="Q1701" s="3" t="s">
        <v>608</v>
      </c>
      <c r="R1701" s="3">
        <v>2</v>
      </c>
      <c r="S1701" s="3">
        <v>41762.49</v>
      </c>
      <c r="T1701" s="3">
        <v>0</v>
      </c>
      <c r="U1701" s="3">
        <v>83524.98</v>
      </c>
      <c r="V1701" s="3">
        <v>54780.31</v>
      </c>
      <c r="W1701" s="3">
        <v>28744.67</v>
      </c>
      <c r="X1701" s="3">
        <v>34.409999999999997</v>
      </c>
      <c r="Y1701" s="3">
        <v>149</v>
      </c>
      <c r="Z1701" s="3" t="s">
        <v>40</v>
      </c>
      <c r="AA1701" s="3" t="s">
        <v>100</v>
      </c>
      <c r="AB1701" s="3" t="s">
        <v>101</v>
      </c>
      <c r="AC1701" s="3">
        <v>4</v>
      </c>
    </row>
    <row r="1702" spans="1:29" x14ac:dyDescent="0.3">
      <c r="A1702" s="2" t="s">
        <v>7810</v>
      </c>
      <c r="B1702" s="2" t="s">
        <v>7811</v>
      </c>
      <c r="C1702" s="2" t="s">
        <v>707</v>
      </c>
      <c r="D1702" s="2" t="s">
        <v>7812</v>
      </c>
      <c r="E1702" s="2" t="s">
        <v>33</v>
      </c>
      <c r="F1702" s="2" t="s">
        <v>3553</v>
      </c>
      <c r="G1702" s="2" t="s">
        <v>2943</v>
      </c>
      <c r="H1702" s="2" t="s">
        <v>3423</v>
      </c>
      <c r="I1702" s="2">
        <v>2</v>
      </c>
      <c r="J1702" s="2" t="s">
        <v>29</v>
      </c>
      <c r="K1702" s="2" t="s">
        <v>834</v>
      </c>
      <c r="L1702" s="2" t="s">
        <v>835</v>
      </c>
      <c r="M1702" s="2" t="s">
        <v>7813</v>
      </c>
      <c r="N1702" s="2" t="s">
        <v>97</v>
      </c>
      <c r="O1702" s="2" t="s">
        <v>13</v>
      </c>
      <c r="P1702" s="2" t="s">
        <v>98</v>
      </c>
      <c r="Q1702" s="2" t="s">
        <v>218</v>
      </c>
      <c r="R1702" s="2">
        <v>2</v>
      </c>
      <c r="S1702" s="2">
        <v>42668.94</v>
      </c>
      <c r="T1702" s="2">
        <v>15</v>
      </c>
      <c r="U1702" s="2">
        <v>72537.2</v>
      </c>
      <c r="V1702" s="2">
        <v>34912.93</v>
      </c>
      <c r="W1702" s="2">
        <v>37624.269999999997</v>
      </c>
      <c r="X1702" s="2">
        <v>51.87</v>
      </c>
      <c r="Y1702" s="2">
        <v>199</v>
      </c>
      <c r="Z1702" s="2" t="s">
        <v>48</v>
      </c>
      <c r="AA1702" s="2" t="s">
        <v>100</v>
      </c>
      <c r="AB1702" s="2" t="s">
        <v>101</v>
      </c>
      <c r="AC1702" s="2">
        <v>2</v>
      </c>
    </row>
    <row r="1703" spans="1:29" x14ac:dyDescent="0.3">
      <c r="A1703" s="3" t="s">
        <v>7814</v>
      </c>
      <c r="B1703" s="3" t="s">
        <v>7815</v>
      </c>
      <c r="C1703" s="3" t="s">
        <v>571</v>
      </c>
      <c r="D1703" s="3" t="s">
        <v>7816</v>
      </c>
      <c r="E1703" s="3" t="s">
        <v>33</v>
      </c>
      <c r="F1703" s="3" t="s">
        <v>7679</v>
      </c>
      <c r="G1703" s="3" t="s">
        <v>4466</v>
      </c>
      <c r="H1703" s="3" t="s">
        <v>3389</v>
      </c>
      <c r="I1703" s="3">
        <v>4</v>
      </c>
      <c r="J1703" s="3" t="s">
        <v>14</v>
      </c>
      <c r="K1703" s="3" t="s">
        <v>712</v>
      </c>
      <c r="L1703" s="3" t="s">
        <v>712</v>
      </c>
      <c r="M1703" s="3" t="s">
        <v>7817</v>
      </c>
      <c r="N1703" s="3" t="s">
        <v>136</v>
      </c>
      <c r="O1703" s="3" t="s">
        <v>28</v>
      </c>
      <c r="P1703" s="3" t="s">
        <v>137</v>
      </c>
      <c r="Q1703" s="3" t="s">
        <v>400</v>
      </c>
      <c r="R1703" s="3">
        <v>1</v>
      </c>
      <c r="S1703" s="3">
        <v>37379.07</v>
      </c>
      <c r="T1703" s="3">
        <v>10</v>
      </c>
      <c r="U1703" s="3">
        <v>33641.160000000003</v>
      </c>
      <c r="V1703" s="3">
        <v>17732.330000000002</v>
      </c>
      <c r="W1703" s="3">
        <v>15908.83</v>
      </c>
      <c r="X1703" s="3">
        <v>47.29</v>
      </c>
      <c r="Y1703" s="3">
        <v>49</v>
      </c>
      <c r="Z1703" s="3" t="s">
        <v>40</v>
      </c>
      <c r="AA1703" s="3" t="s">
        <v>139</v>
      </c>
      <c r="AB1703" s="3" t="s">
        <v>140</v>
      </c>
      <c r="AC1703" s="3"/>
    </row>
    <row r="1704" spans="1:29" x14ac:dyDescent="0.3">
      <c r="A1704" s="2" t="s">
        <v>7818</v>
      </c>
      <c r="B1704" s="2" t="s">
        <v>3637</v>
      </c>
      <c r="C1704" s="2" t="s">
        <v>1630</v>
      </c>
      <c r="D1704" s="2" t="s">
        <v>7819</v>
      </c>
      <c r="E1704" s="2" t="s">
        <v>18</v>
      </c>
      <c r="F1704" s="2" t="s">
        <v>1750</v>
      </c>
      <c r="G1704" s="2" t="s">
        <v>1488</v>
      </c>
      <c r="H1704" s="2" t="s">
        <v>1322</v>
      </c>
      <c r="I1704" s="2">
        <v>8</v>
      </c>
      <c r="J1704" s="2" t="s">
        <v>22</v>
      </c>
      <c r="K1704" s="2" t="s">
        <v>283</v>
      </c>
      <c r="L1704" s="2" t="s">
        <v>1346</v>
      </c>
      <c r="M1704" s="2" t="s">
        <v>7820</v>
      </c>
      <c r="N1704" s="2" t="s">
        <v>163</v>
      </c>
      <c r="O1704" s="2" t="s">
        <v>21</v>
      </c>
      <c r="P1704" s="2" t="s">
        <v>126</v>
      </c>
      <c r="Q1704" s="2" t="s">
        <v>509</v>
      </c>
      <c r="R1704" s="2">
        <v>5</v>
      </c>
      <c r="S1704" s="2">
        <v>24734.13</v>
      </c>
      <c r="T1704" s="2">
        <v>25</v>
      </c>
      <c r="U1704" s="2">
        <v>92752.99</v>
      </c>
      <c r="V1704" s="2">
        <v>59381.98</v>
      </c>
      <c r="W1704" s="2">
        <v>33371.01</v>
      </c>
      <c r="X1704" s="2">
        <v>35.979999999999997</v>
      </c>
      <c r="Y1704" s="2">
        <v>99</v>
      </c>
      <c r="Z1704" s="2" t="s">
        <v>43</v>
      </c>
      <c r="AA1704" s="2" t="s">
        <v>100</v>
      </c>
      <c r="AB1704" s="2" t="s">
        <v>101</v>
      </c>
      <c r="AC1704" s="2">
        <v>1</v>
      </c>
    </row>
    <row r="1705" spans="1:29" x14ac:dyDescent="0.3">
      <c r="A1705" s="3" t="s">
        <v>7821</v>
      </c>
      <c r="B1705" s="3" t="s">
        <v>7822</v>
      </c>
      <c r="C1705" s="3" t="s">
        <v>4171</v>
      </c>
      <c r="D1705" s="3" t="s">
        <v>6317</v>
      </c>
      <c r="E1705" s="3" t="s">
        <v>18</v>
      </c>
      <c r="F1705" s="3" t="s">
        <v>2618</v>
      </c>
      <c r="G1705" s="3" t="s">
        <v>4356</v>
      </c>
      <c r="H1705" s="3" t="s">
        <v>1546</v>
      </c>
      <c r="I1705" s="3">
        <v>4</v>
      </c>
      <c r="J1705" s="3" t="s">
        <v>22</v>
      </c>
      <c r="K1705" s="3" t="s">
        <v>738</v>
      </c>
      <c r="L1705" s="3" t="s">
        <v>738</v>
      </c>
      <c r="M1705" s="3" t="s">
        <v>7823</v>
      </c>
      <c r="N1705" s="3" t="s">
        <v>788</v>
      </c>
      <c r="O1705" s="3" t="s">
        <v>27</v>
      </c>
      <c r="P1705" s="3" t="s">
        <v>113</v>
      </c>
      <c r="Q1705" s="3" t="s">
        <v>509</v>
      </c>
      <c r="R1705" s="3">
        <v>2</v>
      </c>
      <c r="S1705" s="3">
        <v>9253.1</v>
      </c>
      <c r="T1705" s="3">
        <v>25</v>
      </c>
      <c r="U1705" s="3">
        <v>13879.65</v>
      </c>
      <c r="V1705" s="3">
        <v>6714.02</v>
      </c>
      <c r="W1705" s="3">
        <v>7165.63</v>
      </c>
      <c r="X1705" s="3">
        <v>51.63</v>
      </c>
      <c r="Y1705" s="3">
        <v>0</v>
      </c>
      <c r="Z1705" s="3" t="s">
        <v>30</v>
      </c>
      <c r="AA1705" s="3" t="s">
        <v>100</v>
      </c>
      <c r="AB1705" s="3" t="s">
        <v>101</v>
      </c>
      <c r="AC1705" s="3">
        <v>1</v>
      </c>
    </row>
    <row r="1706" spans="1:29" x14ac:dyDescent="0.3">
      <c r="A1706" s="2" t="s">
        <v>7824</v>
      </c>
      <c r="B1706" s="2" t="s">
        <v>7825</v>
      </c>
      <c r="C1706" s="2" t="s">
        <v>1885</v>
      </c>
      <c r="D1706" s="2" t="s">
        <v>7826</v>
      </c>
      <c r="E1706" s="2" t="s">
        <v>18</v>
      </c>
      <c r="F1706" s="2" t="s">
        <v>2320</v>
      </c>
      <c r="G1706" s="2" t="s">
        <v>2654</v>
      </c>
      <c r="H1706" s="2" t="s">
        <v>292</v>
      </c>
      <c r="I1706" s="2">
        <v>7</v>
      </c>
      <c r="J1706" s="2" t="s">
        <v>29</v>
      </c>
      <c r="K1706" s="2" t="s">
        <v>427</v>
      </c>
      <c r="L1706" s="2" t="s">
        <v>428</v>
      </c>
      <c r="M1706" s="2" t="s">
        <v>7827</v>
      </c>
      <c r="N1706" s="2" t="s">
        <v>1802</v>
      </c>
      <c r="O1706" s="2" t="s">
        <v>28</v>
      </c>
      <c r="P1706" s="2" t="s">
        <v>137</v>
      </c>
      <c r="Q1706" s="2" t="s">
        <v>608</v>
      </c>
      <c r="R1706" s="2">
        <v>1</v>
      </c>
      <c r="S1706" s="2">
        <v>35968.35</v>
      </c>
      <c r="T1706" s="2">
        <v>0</v>
      </c>
      <c r="U1706" s="2">
        <v>35968.35</v>
      </c>
      <c r="V1706" s="2">
        <v>22513.18</v>
      </c>
      <c r="W1706" s="2">
        <v>13455.17</v>
      </c>
      <c r="X1706" s="2">
        <v>37.409999999999997</v>
      </c>
      <c r="Y1706" s="2">
        <v>49</v>
      </c>
      <c r="Z1706" s="2" t="s">
        <v>43</v>
      </c>
      <c r="AA1706" s="2" t="s">
        <v>186</v>
      </c>
      <c r="AB1706" s="2" t="s">
        <v>101</v>
      </c>
      <c r="AC1706" s="2"/>
    </row>
    <row r="1707" spans="1:29" x14ac:dyDescent="0.3">
      <c r="A1707" s="3" t="s">
        <v>7828</v>
      </c>
      <c r="B1707" s="3" t="s">
        <v>7829</v>
      </c>
      <c r="C1707" s="3" t="s">
        <v>2110</v>
      </c>
      <c r="D1707" s="3" t="s">
        <v>7830</v>
      </c>
      <c r="E1707" s="3" t="s">
        <v>26</v>
      </c>
      <c r="F1707" s="3" t="s">
        <v>1072</v>
      </c>
      <c r="G1707" s="3" t="s">
        <v>2001</v>
      </c>
      <c r="H1707" s="3" t="s">
        <v>6314</v>
      </c>
      <c r="I1707" s="3">
        <v>3</v>
      </c>
      <c r="J1707" s="3" t="s">
        <v>29</v>
      </c>
      <c r="K1707" s="3" t="s">
        <v>148</v>
      </c>
      <c r="L1707" s="3" t="s">
        <v>148</v>
      </c>
      <c r="M1707" s="3" t="s">
        <v>7831</v>
      </c>
      <c r="N1707" s="3" t="s">
        <v>150</v>
      </c>
      <c r="O1707" s="3" t="s">
        <v>28</v>
      </c>
      <c r="P1707" s="3" t="s">
        <v>151</v>
      </c>
      <c r="Q1707" s="3" t="s">
        <v>99</v>
      </c>
      <c r="R1707" s="3">
        <v>4</v>
      </c>
      <c r="S1707" s="3">
        <v>4021.31</v>
      </c>
      <c r="T1707" s="3">
        <v>15</v>
      </c>
      <c r="U1707" s="3">
        <v>13672.45</v>
      </c>
      <c r="V1707" s="3">
        <v>7761.81</v>
      </c>
      <c r="W1707" s="3">
        <v>5910.64</v>
      </c>
      <c r="X1707" s="3">
        <v>43.23</v>
      </c>
      <c r="Y1707" s="3">
        <v>29</v>
      </c>
      <c r="Z1707" s="3" t="s">
        <v>30</v>
      </c>
      <c r="AA1707" s="3" t="s">
        <v>100</v>
      </c>
      <c r="AB1707" s="3" t="s">
        <v>101</v>
      </c>
      <c r="AC1707" s="3">
        <v>4</v>
      </c>
    </row>
    <row r="1708" spans="1:29" x14ac:dyDescent="0.3">
      <c r="A1708" s="2" t="s">
        <v>7832</v>
      </c>
      <c r="B1708" s="2" t="s">
        <v>7833</v>
      </c>
      <c r="C1708" s="2" t="s">
        <v>1131</v>
      </c>
      <c r="D1708" s="2" t="s">
        <v>7834</v>
      </c>
      <c r="E1708" s="2" t="s">
        <v>18</v>
      </c>
      <c r="F1708" s="2" t="s">
        <v>6124</v>
      </c>
      <c r="G1708" s="2" t="s">
        <v>253</v>
      </c>
      <c r="H1708" s="2" t="s">
        <v>3262</v>
      </c>
      <c r="I1708" s="2">
        <v>8</v>
      </c>
      <c r="J1708" s="2" t="s">
        <v>22</v>
      </c>
      <c r="K1708" s="2" t="s">
        <v>443</v>
      </c>
      <c r="L1708" s="2" t="s">
        <v>444</v>
      </c>
      <c r="M1708" s="2" t="s">
        <v>7515</v>
      </c>
      <c r="N1708" s="2" t="s">
        <v>837</v>
      </c>
      <c r="O1708" s="2" t="s">
        <v>27</v>
      </c>
      <c r="P1708" s="2" t="s">
        <v>257</v>
      </c>
      <c r="Q1708" s="2" t="s">
        <v>608</v>
      </c>
      <c r="R1708" s="2">
        <v>4</v>
      </c>
      <c r="S1708" s="2">
        <v>39925.96</v>
      </c>
      <c r="T1708" s="2">
        <v>5</v>
      </c>
      <c r="U1708" s="2">
        <v>151718.65</v>
      </c>
      <c r="V1708" s="2">
        <v>78147.19</v>
      </c>
      <c r="W1708" s="2">
        <v>73571.460000000006</v>
      </c>
      <c r="X1708" s="2">
        <v>48.49</v>
      </c>
      <c r="Y1708" s="2">
        <v>149</v>
      </c>
      <c r="Z1708" s="2" t="s">
        <v>48</v>
      </c>
      <c r="AA1708" s="2" t="s">
        <v>186</v>
      </c>
      <c r="AB1708" s="2" t="s">
        <v>101</v>
      </c>
      <c r="AC1708" s="2"/>
    </row>
    <row r="1709" spans="1:29" x14ac:dyDescent="0.3">
      <c r="A1709" s="3" t="s">
        <v>7835</v>
      </c>
      <c r="B1709" s="3" t="s">
        <v>7836</v>
      </c>
      <c r="C1709" s="3" t="s">
        <v>393</v>
      </c>
      <c r="D1709" s="3" t="s">
        <v>7837</v>
      </c>
      <c r="E1709" s="3" t="s">
        <v>33</v>
      </c>
      <c r="F1709" s="3" t="s">
        <v>6410</v>
      </c>
      <c r="G1709" s="3" t="s">
        <v>2434</v>
      </c>
      <c r="H1709" s="3" t="s">
        <v>1525</v>
      </c>
      <c r="I1709" s="3">
        <v>5</v>
      </c>
      <c r="J1709" s="3" t="s">
        <v>29</v>
      </c>
      <c r="K1709" s="3" t="s">
        <v>334</v>
      </c>
      <c r="L1709" s="3" t="s">
        <v>614</v>
      </c>
      <c r="M1709" s="3" t="s">
        <v>5252</v>
      </c>
      <c r="N1709" s="3" t="s">
        <v>600</v>
      </c>
      <c r="O1709" s="3" t="s">
        <v>27</v>
      </c>
      <c r="P1709" s="3" t="s">
        <v>175</v>
      </c>
      <c r="Q1709" s="3" t="s">
        <v>114</v>
      </c>
      <c r="R1709" s="3">
        <v>5</v>
      </c>
      <c r="S1709" s="3">
        <v>6985</v>
      </c>
      <c r="T1709" s="3">
        <v>20</v>
      </c>
      <c r="U1709" s="3">
        <v>27940</v>
      </c>
      <c r="V1709" s="3">
        <v>14688.37</v>
      </c>
      <c r="W1709" s="3">
        <v>13251.63</v>
      </c>
      <c r="X1709" s="3">
        <v>47.43</v>
      </c>
      <c r="Y1709" s="3">
        <v>49</v>
      </c>
      <c r="Z1709" s="3" t="s">
        <v>48</v>
      </c>
      <c r="AA1709" s="3" t="s">
        <v>186</v>
      </c>
      <c r="AB1709" s="3" t="s">
        <v>101</v>
      </c>
      <c r="AC1709" s="3"/>
    </row>
    <row r="1710" spans="1:29" x14ac:dyDescent="0.3">
      <c r="A1710" s="2" t="s">
        <v>7838</v>
      </c>
      <c r="B1710" s="2" t="s">
        <v>7839</v>
      </c>
      <c r="C1710" s="2" t="s">
        <v>487</v>
      </c>
      <c r="D1710" s="2" t="s">
        <v>7840</v>
      </c>
      <c r="E1710" s="2" t="s">
        <v>42</v>
      </c>
      <c r="F1710" s="2" t="s">
        <v>2132</v>
      </c>
      <c r="G1710" s="2" t="s">
        <v>1120</v>
      </c>
      <c r="H1710" s="2" t="s">
        <v>3544</v>
      </c>
      <c r="I1710" s="2">
        <v>2</v>
      </c>
      <c r="J1710" s="2" t="s">
        <v>29</v>
      </c>
      <c r="K1710" s="2" t="s">
        <v>334</v>
      </c>
      <c r="L1710" s="2" t="s">
        <v>1073</v>
      </c>
      <c r="M1710" s="2" t="s">
        <v>7841</v>
      </c>
      <c r="N1710" s="2" t="s">
        <v>1611</v>
      </c>
      <c r="O1710" s="2" t="s">
        <v>19</v>
      </c>
      <c r="P1710" s="2" t="s">
        <v>365</v>
      </c>
      <c r="Q1710" s="2" t="s">
        <v>197</v>
      </c>
      <c r="R1710" s="2">
        <v>3</v>
      </c>
      <c r="S1710" s="2">
        <v>16533.88</v>
      </c>
      <c r="T1710" s="2">
        <v>20</v>
      </c>
      <c r="U1710" s="2">
        <v>39681.31</v>
      </c>
      <c r="V1710" s="2">
        <v>25037.52</v>
      </c>
      <c r="W1710" s="2">
        <v>14643.79</v>
      </c>
      <c r="X1710" s="2">
        <v>36.9</v>
      </c>
      <c r="Y1710" s="2">
        <v>29</v>
      </c>
      <c r="Z1710" s="2" t="s">
        <v>40</v>
      </c>
      <c r="AA1710" s="2" t="s">
        <v>186</v>
      </c>
      <c r="AB1710" s="2" t="s">
        <v>101</v>
      </c>
      <c r="AC1710" s="2"/>
    </row>
    <row r="1711" spans="1:29" x14ac:dyDescent="0.3">
      <c r="A1711" s="3" t="s">
        <v>7842</v>
      </c>
      <c r="B1711" s="3" t="s">
        <v>7843</v>
      </c>
      <c r="C1711" s="3" t="s">
        <v>1045</v>
      </c>
      <c r="D1711" s="3" t="s">
        <v>7844</v>
      </c>
      <c r="E1711" s="3" t="s">
        <v>18</v>
      </c>
      <c r="F1711" s="3" t="s">
        <v>4498</v>
      </c>
      <c r="G1711" s="3" t="s">
        <v>3630</v>
      </c>
      <c r="H1711" s="3" t="s">
        <v>3803</v>
      </c>
      <c r="I1711" s="3">
        <v>5</v>
      </c>
      <c r="J1711" s="3" t="s">
        <v>14</v>
      </c>
      <c r="K1711" s="3" t="s">
        <v>95</v>
      </c>
      <c r="L1711" s="3" t="s">
        <v>95</v>
      </c>
      <c r="M1711" s="3" t="s">
        <v>7845</v>
      </c>
      <c r="N1711" s="3" t="s">
        <v>1380</v>
      </c>
      <c r="O1711" s="3" t="s">
        <v>28</v>
      </c>
      <c r="P1711" s="3" t="s">
        <v>137</v>
      </c>
      <c r="Q1711" s="3" t="s">
        <v>127</v>
      </c>
      <c r="R1711" s="3">
        <v>3</v>
      </c>
      <c r="S1711" s="3">
        <v>28414.31</v>
      </c>
      <c r="T1711" s="3">
        <v>30</v>
      </c>
      <c r="U1711" s="3">
        <v>59670.05</v>
      </c>
      <c r="V1711" s="3">
        <v>30533.3</v>
      </c>
      <c r="W1711" s="3">
        <v>29136.75</v>
      </c>
      <c r="X1711" s="3">
        <v>48.83</v>
      </c>
      <c r="Y1711" s="3">
        <v>99</v>
      </c>
      <c r="Z1711" s="3" t="s">
        <v>48</v>
      </c>
      <c r="AA1711" s="3" t="s">
        <v>672</v>
      </c>
      <c r="AB1711" s="3" t="s">
        <v>101</v>
      </c>
      <c r="AC1711" s="3"/>
    </row>
    <row r="1712" spans="1:29" x14ac:dyDescent="0.3">
      <c r="A1712" s="2" t="s">
        <v>7846</v>
      </c>
      <c r="B1712" s="2" t="s">
        <v>7847</v>
      </c>
      <c r="C1712" s="2" t="s">
        <v>3325</v>
      </c>
      <c r="D1712" s="2" t="s">
        <v>7848</v>
      </c>
      <c r="E1712" s="2" t="s">
        <v>33</v>
      </c>
      <c r="F1712" s="2" t="s">
        <v>1744</v>
      </c>
      <c r="G1712" s="2" t="s">
        <v>1033</v>
      </c>
      <c r="H1712" s="2" t="s">
        <v>1034</v>
      </c>
      <c r="I1712" s="2">
        <v>3</v>
      </c>
      <c r="J1712" s="2" t="s">
        <v>22</v>
      </c>
      <c r="K1712" s="2" t="s">
        <v>443</v>
      </c>
      <c r="L1712" s="2" t="s">
        <v>498</v>
      </c>
      <c r="M1712" s="2" t="s">
        <v>7292</v>
      </c>
      <c r="N1712" s="2" t="s">
        <v>592</v>
      </c>
      <c r="O1712" s="2" t="s">
        <v>21</v>
      </c>
      <c r="P1712" s="2" t="s">
        <v>206</v>
      </c>
      <c r="Q1712" s="2" t="s">
        <v>509</v>
      </c>
      <c r="R1712" s="2">
        <v>2</v>
      </c>
      <c r="S1712" s="2">
        <v>49528.160000000003</v>
      </c>
      <c r="T1712" s="2">
        <v>5</v>
      </c>
      <c r="U1712" s="2">
        <v>94103.5</v>
      </c>
      <c r="V1712" s="2">
        <v>48222.36</v>
      </c>
      <c r="W1712" s="2">
        <v>45881.14</v>
      </c>
      <c r="X1712" s="2">
        <v>48.76</v>
      </c>
      <c r="Y1712" s="2">
        <v>199</v>
      </c>
      <c r="Z1712" s="2" t="s">
        <v>48</v>
      </c>
      <c r="AA1712" s="2" t="s">
        <v>100</v>
      </c>
      <c r="AB1712" s="2" t="s">
        <v>101</v>
      </c>
      <c r="AC1712" s="2">
        <v>1</v>
      </c>
    </row>
    <row r="1713" spans="1:29" x14ac:dyDescent="0.3">
      <c r="A1713" s="3" t="s">
        <v>7849</v>
      </c>
      <c r="B1713" s="3" t="s">
        <v>3050</v>
      </c>
      <c r="C1713" s="3" t="s">
        <v>90</v>
      </c>
      <c r="D1713" s="3" t="s">
        <v>7850</v>
      </c>
      <c r="E1713" s="3" t="s">
        <v>33</v>
      </c>
      <c r="F1713" s="3" t="s">
        <v>1107</v>
      </c>
      <c r="G1713" s="3" t="s">
        <v>2099</v>
      </c>
      <c r="H1713" s="3" t="s">
        <v>3773</v>
      </c>
      <c r="I1713" s="3">
        <v>3</v>
      </c>
      <c r="J1713" s="3" t="s">
        <v>29</v>
      </c>
      <c r="K1713" s="3" t="s">
        <v>160</v>
      </c>
      <c r="L1713" s="3" t="s">
        <v>559</v>
      </c>
      <c r="M1713" s="3" t="s">
        <v>7851</v>
      </c>
      <c r="N1713" s="3" t="s">
        <v>227</v>
      </c>
      <c r="O1713" s="3" t="s">
        <v>13</v>
      </c>
      <c r="P1713" s="3" t="s">
        <v>228</v>
      </c>
      <c r="Q1713" s="3" t="s">
        <v>466</v>
      </c>
      <c r="R1713" s="3">
        <v>4</v>
      </c>
      <c r="S1713" s="3">
        <v>11063.45</v>
      </c>
      <c r="T1713" s="3">
        <v>20</v>
      </c>
      <c r="U1713" s="3">
        <v>35403.040000000001</v>
      </c>
      <c r="V1713" s="3">
        <v>17394.34</v>
      </c>
      <c r="W1713" s="3">
        <v>18008.7</v>
      </c>
      <c r="X1713" s="3">
        <v>50.87</v>
      </c>
      <c r="Y1713" s="3">
        <v>49</v>
      </c>
      <c r="Z1713" s="3" t="s">
        <v>15</v>
      </c>
      <c r="AA1713" s="3" t="s">
        <v>139</v>
      </c>
      <c r="AB1713" s="3" t="s">
        <v>140</v>
      </c>
      <c r="AC1713" s="3"/>
    </row>
    <row r="1714" spans="1:29" x14ac:dyDescent="0.3">
      <c r="A1714" s="2" t="s">
        <v>7852</v>
      </c>
      <c r="B1714" s="2" t="s">
        <v>7853</v>
      </c>
      <c r="C1714" s="2" t="s">
        <v>1196</v>
      </c>
      <c r="D1714" s="2" t="s">
        <v>7854</v>
      </c>
      <c r="E1714" s="2" t="s">
        <v>18</v>
      </c>
      <c r="F1714" s="2" t="s">
        <v>1920</v>
      </c>
      <c r="G1714" s="2" t="s">
        <v>3157</v>
      </c>
      <c r="H1714" s="2" t="s">
        <v>1647</v>
      </c>
      <c r="I1714" s="2">
        <v>2</v>
      </c>
      <c r="J1714" s="2" t="s">
        <v>14</v>
      </c>
      <c r="K1714" s="2" t="s">
        <v>95</v>
      </c>
      <c r="L1714" s="2" t="s">
        <v>95</v>
      </c>
      <c r="M1714" s="2" t="s">
        <v>7855</v>
      </c>
      <c r="N1714" s="2" t="s">
        <v>125</v>
      </c>
      <c r="O1714" s="2" t="s">
        <v>21</v>
      </c>
      <c r="P1714" s="2" t="s">
        <v>126</v>
      </c>
      <c r="Q1714" s="2" t="s">
        <v>246</v>
      </c>
      <c r="R1714" s="2">
        <v>1</v>
      </c>
      <c r="S1714" s="2">
        <v>39782.660000000003</v>
      </c>
      <c r="T1714" s="2">
        <v>20</v>
      </c>
      <c r="U1714" s="2">
        <v>31826.13</v>
      </c>
      <c r="V1714" s="2">
        <v>15835.56</v>
      </c>
      <c r="W1714" s="2">
        <v>15990.57</v>
      </c>
      <c r="X1714" s="2">
        <v>50.24</v>
      </c>
      <c r="Y1714" s="2">
        <v>0</v>
      </c>
      <c r="Z1714" s="2" t="s">
        <v>40</v>
      </c>
      <c r="AA1714" s="2" t="s">
        <v>100</v>
      </c>
      <c r="AB1714" s="2" t="s">
        <v>140</v>
      </c>
      <c r="AC1714" s="2">
        <v>5</v>
      </c>
    </row>
    <row r="1715" spans="1:29" x14ac:dyDescent="0.3">
      <c r="A1715" s="3" t="s">
        <v>7856</v>
      </c>
      <c r="B1715" s="3" t="s">
        <v>7857</v>
      </c>
      <c r="C1715" s="3" t="s">
        <v>1054</v>
      </c>
      <c r="D1715" s="3" t="s">
        <v>1638</v>
      </c>
      <c r="E1715" s="3" t="s">
        <v>33</v>
      </c>
      <c r="F1715" s="3" t="s">
        <v>119</v>
      </c>
      <c r="G1715" s="3" t="s">
        <v>120</v>
      </c>
      <c r="H1715" s="3" t="s">
        <v>3389</v>
      </c>
      <c r="I1715" s="3">
        <v>6</v>
      </c>
      <c r="J1715" s="3" t="s">
        <v>14</v>
      </c>
      <c r="K1715" s="3" t="s">
        <v>95</v>
      </c>
      <c r="L1715" s="3" t="s">
        <v>95</v>
      </c>
      <c r="M1715" s="3" t="s">
        <v>7858</v>
      </c>
      <c r="N1715" s="3" t="s">
        <v>266</v>
      </c>
      <c r="O1715" s="3" t="s">
        <v>28</v>
      </c>
      <c r="P1715" s="3" t="s">
        <v>151</v>
      </c>
      <c r="Q1715" s="3" t="s">
        <v>355</v>
      </c>
      <c r="R1715" s="3">
        <v>3</v>
      </c>
      <c r="S1715" s="3">
        <v>32186.51</v>
      </c>
      <c r="T1715" s="3">
        <v>5</v>
      </c>
      <c r="U1715" s="3">
        <v>91731.55</v>
      </c>
      <c r="V1715" s="3">
        <v>55620.75</v>
      </c>
      <c r="W1715" s="3">
        <v>36110.800000000003</v>
      </c>
      <c r="X1715" s="3">
        <v>39.369999999999997</v>
      </c>
      <c r="Y1715" s="3">
        <v>29</v>
      </c>
      <c r="Z1715" s="3" t="s">
        <v>15</v>
      </c>
      <c r="AA1715" s="3" t="s">
        <v>100</v>
      </c>
      <c r="AB1715" s="3" t="s">
        <v>101</v>
      </c>
      <c r="AC1715" s="3">
        <v>2</v>
      </c>
    </row>
    <row r="1716" spans="1:29" x14ac:dyDescent="0.3">
      <c r="A1716" s="2" t="s">
        <v>7859</v>
      </c>
      <c r="B1716" s="2" t="s">
        <v>7860</v>
      </c>
      <c r="C1716" s="2" t="s">
        <v>2141</v>
      </c>
      <c r="D1716" s="2" t="s">
        <v>7861</v>
      </c>
      <c r="E1716" s="2" t="s">
        <v>26</v>
      </c>
      <c r="F1716" s="2" t="s">
        <v>1013</v>
      </c>
      <c r="G1716" s="2" t="s">
        <v>549</v>
      </c>
      <c r="H1716" s="2" t="s">
        <v>2455</v>
      </c>
      <c r="I1716" s="2">
        <v>5</v>
      </c>
      <c r="J1716" s="2" t="s">
        <v>14</v>
      </c>
      <c r="K1716" s="2" t="s">
        <v>171</v>
      </c>
      <c r="L1716" s="2" t="s">
        <v>541</v>
      </c>
      <c r="M1716" s="2" t="s">
        <v>4335</v>
      </c>
      <c r="N1716" s="2" t="s">
        <v>195</v>
      </c>
      <c r="O1716" s="2" t="s">
        <v>21</v>
      </c>
      <c r="P1716" s="2" t="s">
        <v>196</v>
      </c>
      <c r="Q1716" s="2" t="s">
        <v>99</v>
      </c>
      <c r="R1716" s="2">
        <v>5</v>
      </c>
      <c r="S1716" s="2">
        <v>48074.39</v>
      </c>
      <c r="T1716" s="2">
        <v>0</v>
      </c>
      <c r="U1716" s="2">
        <v>240371.95</v>
      </c>
      <c r="V1716" s="2">
        <v>151870.16</v>
      </c>
      <c r="W1716" s="2">
        <v>88501.79</v>
      </c>
      <c r="X1716" s="2">
        <v>36.82</v>
      </c>
      <c r="Y1716" s="2">
        <v>99</v>
      </c>
      <c r="Z1716" s="2" t="s">
        <v>47</v>
      </c>
      <c r="AA1716" s="2" t="s">
        <v>100</v>
      </c>
      <c r="AB1716" s="2" t="s">
        <v>101</v>
      </c>
      <c r="AC1716" s="2">
        <v>4</v>
      </c>
    </row>
    <row r="1717" spans="1:29" x14ac:dyDescent="0.3">
      <c r="A1717" s="3" t="s">
        <v>7862</v>
      </c>
      <c r="B1717" s="3" t="s">
        <v>7863</v>
      </c>
      <c r="C1717" s="3" t="s">
        <v>178</v>
      </c>
      <c r="D1717" s="3" t="s">
        <v>7864</v>
      </c>
      <c r="E1717" s="3" t="s">
        <v>33</v>
      </c>
      <c r="F1717" s="3" t="s">
        <v>5402</v>
      </c>
      <c r="G1717" s="3" t="s">
        <v>1733</v>
      </c>
      <c r="H1717" s="3" t="s">
        <v>7400</v>
      </c>
      <c r="I1717" s="3">
        <v>3</v>
      </c>
      <c r="J1717" s="3" t="s">
        <v>39</v>
      </c>
      <c r="K1717" s="3" t="s">
        <v>225</v>
      </c>
      <c r="L1717" s="3" t="s">
        <v>225</v>
      </c>
      <c r="M1717" s="3" t="s">
        <v>3462</v>
      </c>
      <c r="N1717" s="3" t="s">
        <v>805</v>
      </c>
      <c r="O1717" s="3" t="s">
        <v>28</v>
      </c>
      <c r="P1717" s="3" t="s">
        <v>151</v>
      </c>
      <c r="Q1717" s="3" t="s">
        <v>355</v>
      </c>
      <c r="R1717" s="3">
        <v>5</v>
      </c>
      <c r="S1717" s="3">
        <v>30915.16</v>
      </c>
      <c r="T1717" s="3">
        <v>20</v>
      </c>
      <c r="U1717" s="3">
        <v>123660.64</v>
      </c>
      <c r="V1717" s="3">
        <v>73497.679999999993</v>
      </c>
      <c r="W1717" s="3">
        <v>50162.96</v>
      </c>
      <c r="X1717" s="3">
        <v>40.57</v>
      </c>
      <c r="Y1717" s="3">
        <v>149</v>
      </c>
      <c r="Z1717" s="3" t="s">
        <v>47</v>
      </c>
      <c r="AA1717" s="3" t="s">
        <v>186</v>
      </c>
      <c r="AB1717" s="3" t="s">
        <v>101</v>
      </c>
      <c r="AC1717" s="3"/>
    </row>
    <row r="1718" spans="1:29" x14ac:dyDescent="0.3">
      <c r="A1718" s="2" t="s">
        <v>7865</v>
      </c>
      <c r="B1718" s="2" t="s">
        <v>7866</v>
      </c>
      <c r="C1718" s="2" t="s">
        <v>973</v>
      </c>
      <c r="D1718" s="2" t="s">
        <v>7867</v>
      </c>
      <c r="E1718" s="2" t="s">
        <v>26</v>
      </c>
      <c r="F1718" s="2" t="s">
        <v>1048</v>
      </c>
      <c r="G1718" s="2" t="s">
        <v>2747</v>
      </c>
      <c r="H1718" s="2" t="s">
        <v>1907</v>
      </c>
      <c r="I1718" s="2">
        <v>3</v>
      </c>
      <c r="J1718" s="2" t="s">
        <v>39</v>
      </c>
      <c r="K1718" s="2" t="s">
        <v>225</v>
      </c>
      <c r="L1718" s="2" t="s">
        <v>225</v>
      </c>
      <c r="M1718" s="2" t="s">
        <v>6951</v>
      </c>
      <c r="N1718" s="2" t="s">
        <v>964</v>
      </c>
      <c r="O1718" s="2" t="s">
        <v>13</v>
      </c>
      <c r="P1718" s="2" t="s">
        <v>98</v>
      </c>
      <c r="Q1718" s="2" t="s">
        <v>287</v>
      </c>
      <c r="R1718" s="2">
        <v>2</v>
      </c>
      <c r="S1718" s="2">
        <v>37111.089999999997</v>
      </c>
      <c r="T1718" s="2">
        <v>5</v>
      </c>
      <c r="U1718" s="2">
        <v>70511.070000000007</v>
      </c>
      <c r="V1718" s="2">
        <v>46543.41</v>
      </c>
      <c r="W1718" s="2">
        <v>23967.66</v>
      </c>
      <c r="X1718" s="2">
        <v>33.99</v>
      </c>
      <c r="Y1718" s="2">
        <v>0</v>
      </c>
      <c r="Z1718" s="2" t="s">
        <v>47</v>
      </c>
      <c r="AA1718" s="2" t="s">
        <v>100</v>
      </c>
      <c r="AB1718" s="2" t="s">
        <v>101</v>
      </c>
      <c r="AC1718" s="2">
        <v>3</v>
      </c>
    </row>
    <row r="1719" spans="1:29" x14ac:dyDescent="0.3">
      <c r="A1719" s="3" t="s">
        <v>7868</v>
      </c>
      <c r="B1719" s="3" t="s">
        <v>1929</v>
      </c>
      <c r="C1719" s="3" t="s">
        <v>200</v>
      </c>
      <c r="D1719" s="3" t="s">
        <v>7869</v>
      </c>
      <c r="E1719" s="3" t="s">
        <v>18</v>
      </c>
      <c r="F1719" s="3" t="s">
        <v>645</v>
      </c>
      <c r="G1719" s="3" t="s">
        <v>2467</v>
      </c>
      <c r="H1719" s="3" t="s">
        <v>361</v>
      </c>
      <c r="I1719" s="3">
        <v>6</v>
      </c>
      <c r="J1719" s="3" t="s">
        <v>29</v>
      </c>
      <c r="K1719" s="3" t="s">
        <v>148</v>
      </c>
      <c r="L1719" s="3" t="s">
        <v>148</v>
      </c>
      <c r="M1719" s="3" t="s">
        <v>7870</v>
      </c>
      <c r="N1719" s="3" t="s">
        <v>533</v>
      </c>
      <c r="O1719" s="3" t="s">
        <v>19</v>
      </c>
      <c r="P1719" s="3" t="s">
        <v>297</v>
      </c>
      <c r="Q1719" s="3" t="s">
        <v>246</v>
      </c>
      <c r="R1719" s="3">
        <v>5</v>
      </c>
      <c r="S1719" s="3">
        <v>34550.5</v>
      </c>
      <c r="T1719" s="3">
        <v>20</v>
      </c>
      <c r="U1719" s="3">
        <v>138202</v>
      </c>
      <c r="V1719" s="3">
        <v>75805.289999999994</v>
      </c>
      <c r="W1719" s="3">
        <v>62396.71</v>
      </c>
      <c r="X1719" s="3">
        <v>45.15</v>
      </c>
      <c r="Y1719" s="3">
        <v>0</v>
      </c>
      <c r="Z1719" s="3" t="s">
        <v>43</v>
      </c>
      <c r="AA1719" s="3" t="s">
        <v>100</v>
      </c>
      <c r="AB1719" s="3" t="s">
        <v>101</v>
      </c>
      <c r="AC1719" s="3"/>
    </row>
    <row r="1720" spans="1:29" x14ac:dyDescent="0.3">
      <c r="A1720" s="2" t="s">
        <v>7871</v>
      </c>
      <c r="B1720" s="2" t="s">
        <v>7250</v>
      </c>
      <c r="C1720" s="2" t="s">
        <v>918</v>
      </c>
      <c r="D1720" s="2" t="s">
        <v>7872</v>
      </c>
      <c r="E1720" s="2" t="s">
        <v>26</v>
      </c>
      <c r="F1720" s="2" t="s">
        <v>202</v>
      </c>
      <c r="G1720" s="2" t="s">
        <v>2327</v>
      </c>
      <c r="H1720" s="2" t="s">
        <v>770</v>
      </c>
      <c r="I1720" s="2">
        <v>3</v>
      </c>
      <c r="J1720" s="2" t="s">
        <v>22</v>
      </c>
      <c r="K1720" s="2" t="s">
        <v>443</v>
      </c>
      <c r="L1720" s="2" t="s">
        <v>567</v>
      </c>
      <c r="M1720" s="2" t="s">
        <v>7873</v>
      </c>
      <c r="N1720" s="2" t="s">
        <v>399</v>
      </c>
      <c r="O1720" s="2" t="s">
        <v>21</v>
      </c>
      <c r="P1720" s="2" t="s">
        <v>196</v>
      </c>
      <c r="Q1720" s="2" t="s">
        <v>400</v>
      </c>
      <c r="R1720" s="2">
        <v>5</v>
      </c>
      <c r="S1720" s="2">
        <v>24432.44</v>
      </c>
      <c r="T1720" s="2">
        <v>5</v>
      </c>
      <c r="U1720" s="2">
        <v>116054.09</v>
      </c>
      <c r="V1720" s="2">
        <v>78837.86</v>
      </c>
      <c r="W1720" s="2">
        <v>37216.230000000003</v>
      </c>
      <c r="X1720" s="2">
        <v>32.07</v>
      </c>
      <c r="Y1720" s="2">
        <v>99</v>
      </c>
      <c r="Z1720" s="2" t="s">
        <v>43</v>
      </c>
      <c r="AA1720" s="2" t="s">
        <v>100</v>
      </c>
      <c r="AB1720" s="2" t="s">
        <v>101</v>
      </c>
      <c r="AC1720" s="2"/>
    </row>
    <row r="1721" spans="1:29" x14ac:dyDescent="0.3">
      <c r="A1721" s="3" t="s">
        <v>7874</v>
      </c>
      <c r="B1721" s="3" t="s">
        <v>7875</v>
      </c>
      <c r="C1721" s="3" t="s">
        <v>2834</v>
      </c>
      <c r="D1721" s="3" t="s">
        <v>7876</v>
      </c>
      <c r="E1721" s="3" t="s">
        <v>26</v>
      </c>
      <c r="F1721" s="3" t="s">
        <v>2494</v>
      </c>
      <c r="G1721" s="3" t="s">
        <v>3428</v>
      </c>
      <c r="H1721" s="3" t="s">
        <v>3383</v>
      </c>
      <c r="I1721" s="3">
        <v>7</v>
      </c>
      <c r="J1721" s="3" t="s">
        <v>39</v>
      </c>
      <c r="K1721" s="3" t="s">
        <v>314</v>
      </c>
      <c r="L1721" s="3" t="s">
        <v>314</v>
      </c>
      <c r="M1721" s="3" t="s">
        <v>7877</v>
      </c>
      <c r="N1721" s="3" t="s">
        <v>1122</v>
      </c>
      <c r="O1721" s="3" t="s">
        <v>27</v>
      </c>
      <c r="P1721" s="3" t="s">
        <v>257</v>
      </c>
      <c r="Q1721" s="3" t="s">
        <v>246</v>
      </c>
      <c r="R1721" s="3">
        <v>2</v>
      </c>
      <c r="S1721" s="3">
        <v>18222.03</v>
      </c>
      <c r="T1721" s="3">
        <v>20</v>
      </c>
      <c r="U1721" s="3">
        <v>29155.25</v>
      </c>
      <c r="V1721" s="3">
        <v>18120.89</v>
      </c>
      <c r="W1721" s="3">
        <v>11034.36</v>
      </c>
      <c r="X1721" s="3">
        <v>37.85</v>
      </c>
      <c r="Y1721" s="3">
        <v>29</v>
      </c>
      <c r="Z1721" s="3" t="s">
        <v>30</v>
      </c>
      <c r="AA1721" s="3" t="s">
        <v>100</v>
      </c>
      <c r="AB1721" s="3" t="s">
        <v>101</v>
      </c>
      <c r="AC1721" s="3">
        <v>2</v>
      </c>
    </row>
    <row r="1722" spans="1:29" x14ac:dyDescent="0.3">
      <c r="A1722" s="2" t="s">
        <v>7878</v>
      </c>
      <c r="B1722" s="2" t="s">
        <v>7879</v>
      </c>
      <c r="C1722" s="2" t="s">
        <v>290</v>
      </c>
      <c r="D1722" s="2" t="s">
        <v>7880</v>
      </c>
      <c r="E1722" s="2" t="s">
        <v>26</v>
      </c>
      <c r="F1722" s="2" t="s">
        <v>2707</v>
      </c>
      <c r="G1722" s="2" t="s">
        <v>3505</v>
      </c>
      <c r="H1722" s="2" t="s">
        <v>180</v>
      </c>
      <c r="I1722" s="2">
        <v>8</v>
      </c>
      <c r="J1722" s="2" t="s">
        <v>14</v>
      </c>
      <c r="K1722" s="2" t="s">
        <v>95</v>
      </c>
      <c r="L1722" s="2" t="s">
        <v>95</v>
      </c>
      <c r="M1722" s="2" t="s">
        <v>7881</v>
      </c>
      <c r="N1722" s="2" t="s">
        <v>266</v>
      </c>
      <c r="O1722" s="2" t="s">
        <v>28</v>
      </c>
      <c r="P1722" s="2" t="s">
        <v>151</v>
      </c>
      <c r="Q1722" s="2" t="s">
        <v>608</v>
      </c>
      <c r="R1722" s="2">
        <v>3</v>
      </c>
      <c r="S1722" s="2">
        <v>37637.64</v>
      </c>
      <c r="T1722" s="2">
        <v>20</v>
      </c>
      <c r="U1722" s="2">
        <v>90330.34</v>
      </c>
      <c r="V1722" s="2">
        <v>53060.46</v>
      </c>
      <c r="W1722" s="2">
        <v>37269.879999999997</v>
      </c>
      <c r="X1722" s="2">
        <v>41.26</v>
      </c>
      <c r="Y1722" s="2">
        <v>29</v>
      </c>
      <c r="Z1722" s="2" t="s">
        <v>48</v>
      </c>
      <c r="AA1722" s="2" t="s">
        <v>100</v>
      </c>
      <c r="AB1722" s="2" t="s">
        <v>101</v>
      </c>
      <c r="AC1722" s="2">
        <v>1</v>
      </c>
    </row>
    <row r="1723" spans="1:29" x14ac:dyDescent="0.3">
      <c r="A1723" s="3" t="s">
        <v>7882</v>
      </c>
      <c r="B1723" s="3" t="s">
        <v>2501</v>
      </c>
      <c r="C1723" s="3" t="s">
        <v>459</v>
      </c>
      <c r="D1723" s="3" t="s">
        <v>7883</v>
      </c>
      <c r="E1723" s="3" t="s">
        <v>18</v>
      </c>
      <c r="F1723" s="3" t="s">
        <v>3101</v>
      </c>
      <c r="G1723" s="3" t="s">
        <v>2707</v>
      </c>
      <c r="H1723" s="3" t="s">
        <v>3047</v>
      </c>
      <c r="I1723" s="3">
        <v>7</v>
      </c>
      <c r="J1723" s="3" t="s">
        <v>14</v>
      </c>
      <c r="K1723" s="3" t="s">
        <v>171</v>
      </c>
      <c r="L1723" s="3" t="s">
        <v>541</v>
      </c>
      <c r="M1723" s="3" t="s">
        <v>4317</v>
      </c>
      <c r="N1723" s="3" t="s">
        <v>852</v>
      </c>
      <c r="O1723" s="3" t="s">
        <v>27</v>
      </c>
      <c r="P1723" s="3" t="s">
        <v>175</v>
      </c>
      <c r="Q1723" s="3" t="s">
        <v>138</v>
      </c>
      <c r="R1723" s="3">
        <v>5</v>
      </c>
      <c r="S1723" s="3">
        <v>12186.57</v>
      </c>
      <c r="T1723" s="3">
        <v>0</v>
      </c>
      <c r="U1723" s="3">
        <v>60932.85</v>
      </c>
      <c r="V1723" s="3">
        <v>33620.959999999999</v>
      </c>
      <c r="W1723" s="3">
        <v>27311.89</v>
      </c>
      <c r="X1723" s="3">
        <v>44.82</v>
      </c>
      <c r="Y1723" s="3">
        <v>29</v>
      </c>
      <c r="Z1723" s="3" t="s">
        <v>23</v>
      </c>
      <c r="AA1723" s="3" t="s">
        <v>186</v>
      </c>
      <c r="AB1723" s="3" t="s">
        <v>101</v>
      </c>
      <c r="AC1723" s="3"/>
    </row>
    <row r="1724" spans="1:29" x14ac:dyDescent="0.3">
      <c r="A1724" s="2" t="s">
        <v>7884</v>
      </c>
      <c r="B1724" s="2" t="s">
        <v>7885</v>
      </c>
      <c r="C1724" s="2" t="s">
        <v>2572</v>
      </c>
      <c r="D1724" s="2" t="s">
        <v>7886</v>
      </c>
      <c r="E1724" s="2" t="s">
        <v>33</v>
      </c>
      <c r="F1724" s="2" t="s">
        <v>5512</v>
      </c>
      <c r="G1724" s="2" t="s">
        <v>794</v>
      </c>
      <c r="H1724" s="2" t="s">
        <v>530</v>
      </c>
      <c r="I1724" s="2">
        <v>8</v>
      </c>
      <c r="J1724" s="2" t="s">
        <v>29</v>
      </c>
      <c r="K1724" s="2" t="s">
        <v>427</v>
      </c>
      <c r="L1724" s="2" t="s">
        <v>1871</v>
      </c>
      <c r="M1724" s="2" t="s">
        <v>7887</v>
      </c>
      <c r="N1724" s="2" t="s">
        <v>174</v>
      </c>
      <c r="O1724" s="2" t="s">
        <v>27</v>
      </c>
      <c r="P1724" s="2" t="s">
        <v>175</v>
      </c>
      <c r="Q1724" s="2" t="s">
        <v>127</v>
      </c>
      <c r="R1724" s="2">
        <v>2</v>
      </c>
      <c r="S1724" s="2">
        <v>29334.61</v>
      </c>
      <c r="T1724" s="2">
        <v>5</v>
      </c>
      <c r="U1724" s="2">
        <v>55735.76</v>
      </c>
      <c r="V1724" s="2">
        <v>36168.370000000003</v>
      </c>
      <c r="W1724" s="2">
        <v>19567.39</v>
      </c>
      <c r="X1724" s="2">
        <v>35.11</v>
      </c>
      <c r="Y1724" s="2">
        <v>149</v>
      </c>
      <c r="Z1724" s="2" t="s">
        <v>48</v>
      </c>
      <c r="AA1724" s="2" t="s">
        <v>100</v>
      </c>
      <c r="AB1724" s="2" t="s">
        <v>101</v>
      </c>
      <c r="AC1724" s="2">
        <v>1</v>
      </c>
    </row>
    <row r="1725" spans="1:29" x14ac:dyDescent="0.3">
      <c r="A1725" s="3" t="s">
        <v>7888</v>
      </c>
      <c r="B1725" s="3" t="s">
        <v>7889</v>
      </c>
      <c r="C1725" s="3" t="s">
        <v>512</v>
      </c>
      <c r="D1725" s="3" t="s">
        <v>7890</v>
      </c>
      <c r="E1725" s="3" t="s">
        <v>42</v>
      </c>
      <c r="F1725" s="3" t="s">
        <v>1275</v>
      </c>
      <c r="G1725" s="3" t="s">
        <v>1277</v>
      </c>
      <c r="H1725" s="3" t="s">
        <v>5004</v>
      </c>
      <c r="I1725" s="3">
        <v>5</v>
      </c>
      <c r="J1725" s="3" t="s">
        <v>29</v>
      </c>
      <c r="K1725" s="3" t="s">
        <v>148</v>
      </c>
      <c r="L1725" s="3" t="s">
        <v>148</v>
      </c>
      <c r="M1725" s="3" t="s">
        <v>4570</v>
      </c>
      <c r="N1725" s="3" t="s">
        <v>256</v>
      </c>
      <c r="O1725" s="3" t="s">
        <v>27</v>
      </c>
      <c r="P1725" s="3" t="s">
        <v>257</v>
      </c>
      <c r="Q1725" s="3" t="s">
        <v>127</v>
      </c>
      <c r="R1725" s="3">
        <v>1</v>
      </c>
      <c r="S1725" s="3">
        <v>25865.88</v>
      </c>
      <c r="T1725" s="3">
        <v>0</v>
      </c>
      <c r="U1725" s="3">
        <v>25865.88</v>
      </c>
      <c r="V1725" s="3">
        <v>13728.04</v>
      </c>
      <c r="W1725" s="3">
        <v>12137.84</v>
      </c>
      <c r="X1725" s="3">
        <v>46.93</v>
      </c>
      <c r="Y1725" s="3">
        <v>29</v>
      </c>
      <c r="Z1725" s="3" t="s">
        <v>23</v>
      </c>
      <c r="AA1725" s="3" t="s">
        <v>100</v>
      </c>
      <c r="AB1725" s="3" t="s">
        <v>140</v>
      </c>
      <c r="AC1725" s="3">
        <v>1</v>
      </c>
    </row>
    <row r="1726" spans="1:29" x14ac:dyDescent="0.3">
      <c r="A1726" s="2" t="s">
        <v>7891</v>
      </c>
      <c r="B1726" s="2" t="s">
        <v>7892</v>
      </c>
      <c r="C1726" s="2" t="s">
        <v>1364</v>
      </c>
      <c r="D1726" s="2" t="s">
        <v>7893</v>
      </c>
      <c r="E1726" s="2" t="s">
        <v>33</v>
      </c>
      <c r="F1726" s="2" t="s">
        <v>5197</v>
      </c>
      <c r="G1726" s="2" t="s">
        <v>1592</v>
      </c>
      <c r="H1726" s="2" t="s">
        <v>547</v>
      </c>
      <c r="I1726" s="2">
        <v>2</v>
      </c>
      <c r="J1726" s="2" t="s">
        <v>22</v>
      </c>
      <c r="K1726" s="2" t="s">
        <v>122</v>
      </c>
      <c r="L1726" s="2" t="s">
        <v>812</v>
      </c>
      <c r="M1726" s="2" t="s">
        <v>7894</v>
      </c>
      <c r="N1726" s="2" t="s">
        <v>551</v>
      </c>
      <c r="O1726" s="2" t="s">
        <v>13</v>
      </c>
      <c r="P1726" s="2" t="s">
        <v>98</v>
      </c>
      <c r="Q1726" s="2" t="s">
        <v>127</v>
      </c>
      <c r="R1726" s="2">
        <v>4</v>
      </c>
      <c r="S1726" s="2">
        <v>22997.63</v>
      </c>
      <c r="T1726" s="2">
        <v>5</v>
      </c>
      <c r="U1726" s="2">
        <v>87390.99</v>
      </c>
      <c r="V1726" s="2">
        <v>44090.13</v>
      </c>
      <c r="W1726" s="2">
        <v>43300.86</v>
      </c>
      <c r="X1726" s="2">
        <v>49.55</v>
      </c>
      <c r="Y1726" s="2">
        <v>149</v>
      </c>
      <c r="Z1726" s="2" t="s">
        <v>43</v>
      </c>
      <c r="AA1726" s="2" t="s">
        <v>100</v>
      </c>
      <c r="AB1726" s="2" t="s">
        <v>101</v>
      </c>
      <c r="AC1726" s="2">
        <v>1</v>
      </c>
    </row>
    <row r="1727" spans="1:29" x14ac:dyDescent="0.3">
      <c r="A1727" s="3" t="s">
        <v>7895</v>
      </c>
      <c r="B1727" s="3" t="s">
        <v>7896</v>
      </c>
      <c r="C1727" s="3" t="s">
        <v>2339</v>
      </c>
      <c r="D1727" s="3" t="s">
        <v>7897</v>
      </c>
      <c r="E1727" s="3" t="s">
        <v>18</v>
      </c>
      <c r="F1727" s="3" t="s">
        <v>3015</v>
      </c>
      <c r="G1727" s="3" t="s">
        <v>1100</v>
      </c>
      <c r="H1727" s="3" t="s">
        <v>1486</v>
      </c>
      <c r="I1727" s="3">
        <v>2</v>
      </c>
      <c r="J1727" s="3" t="s">
        <v>29</v>
      </c>
      <c r="K1727" s="3" t="s">
        <v>427</v>
      </c>
      <c r="L1727" s="3" t="s">
        <v>1081</v>
      </c>
      <c r="M1727" s="3" t="s">
        <v>7898</v>
      </c>
      <c r="N1727" s="3" t="s">
        <v>475</v>
      </c>
      <c r="O1727" s="3" t="s">
        <v>13</v>
      </c>
      <c r="P1727" s="3" t="s">
        <v>228</v>
      </c>
      <c r="Q1727" s="3" t="s">
        <v>114</v>
      </c>
      <c r="R1727" s="3">
        <v>5</v>
      </c>
      <c r="S1727" s="3">
        <v>38669.07</v>
      </c>
      <c r="T1727" s="3">
        <v>30</v>
      </c>
      <c r="U1727" s="3">
        <v>135341.74</v>
      </c>
      <c r="V1727" s="3">
        <v>71188.94</v>
      </c>
      <c r="W1727" s="3">
        <v>64152.800000000003</v>
      </c>
      <c r="X1727" s="3">
        <v>47.4</v>
      </c>
      <c r="Y1727" s="3">
        <v>29</v>
      </c>
      <c r="Z1727" s="3" t="s">
        <v>40</v>
      </c>
      <c r="AA1727" s="3" t="s">
        <v>100</v>
      </c>
      <c r="AB1727" s="3" t="s">
        <v>101</v>
      </c>
      <c r="AC1727" s="3">
        <v>5</v>
      </c>
    </row>
    <row r="1728" spans="1:29" x14ac:dyDescent="0.3">
      <c r="A1728" s="2" t="s">
        <v>7899</v>
      </c>
      <c r="B1728" s="2" t="s">
        <v>7900</v>
      </c>
      <c r="C1728" s="2" t="s">
        <v>855</v>
      </c>
      <c r="D1728" s="2" t="s">
        <v>7901</v>
      </c>
      <c r="E1728" s="2" t="s">
        <v>18</v>
      </c>
      <c r="F1728" s="2" t="s">
        <v>3615</v>
      </c>
      <c r="G1728" s="2" t="s">
        <v>2270</v>
      </c>
      <c r="H1728" s="2" t="s">
        <v>1099</v>
      </c>
      <c r="I1728" s="2">
        <v>3</v>
      </c>
      <c r="J1728" s="2" t="s">
        <v>39</v>
      </c>
      <c r="K1728" s="2" t="s">
        <v>314</v>
      </c>
      <c r="L1728" s="2" t="s">
        <v>314</v>
      </c>
      <c r="M1728" s="2" t="s">
        <v>7902</v>
      </c>
      <c r="N1728" s="2" t="s">
        <v>964</v>
      </c>
      <c r="O1728" s="2" t="s">
        <v>13</v>
      </c>
      <c r="P1728" s="2" t="s">
        <v>98</v>
      </c>
      <c r="Q1728" s="2" t="s">
        <v>608</v>
      </c>
      <c r="R1728" s="2">
        <v>4</v>
      </c>
      <c r="S1728" s="2">
        <v>40538.19</v>
      </c>
      <c r="T1728" s="2">
        <v>30</v>
      </c>
      <c r="U1728" s="2">
        <v>113506.93</v>
      </c>
      <c r="V1728" s="2">
        <v>66599.570000000007</v>
      </c>
      <c r="W1728" s="2">
        <v>46907.360000000001</v>
      </c>
      <c r="X1728" s="2">
        <v>41.33</v>
      </c>
      <c r="Y1728" s="2">
        <v>99</v>
      </c>
      <c r="Z1728" s="2" t="s">
        <v>48</v>
      </c>
      <c r="AA1728" s="2" t="s">
        <v>100</v>
      </c>
      <c r="AB1728" s="2" t="s">
        <v>101</v>
      </c>
      <c r="AC1728" s="2"/>
    </row>
    <row r="1729" spans="1:29" x14ac:dyDescent="0.3">
      <c r="A1729" s="3" t="s">
        <v>7903</v>
      </c>
      <c r="B1729" s="3" t="s">
        <v>7904</v>
      </c>
      <c r="C1729" s="3" t="s">
        <v>1737</v>
      </c>
      <c r="D1729" s="3" t="s">
        <v>7905</v>
      </c>
      <c r="E1729" s="3" t="s">
        <v>33</v>
      </c>
      <c r="F1729" s="3" t="s">
        <v>2493</v>
      </c>
      <c r="G1729" s="3" t="s">
        <v>2731</v>
      </c>
      <c r="H1729" s="3" t="s">
        <v>2046</v>
      </c>
      <c r="I1729" s="3">
        <v>7</v>
      </c>
      <c r="J1729" s="3" t="s">
        <v>22</v>
      </c>
      <c r="K1729" s="3" t="s">
        <v>122</v>
      </c>
      <c r="L1729" s="3" t="s">
        <v>812</v>
      </c>
      <c r="M1729" s="3" t="s">
        <v>4471</v>
      </c>
      <c r="N1729" s="3" t="s">
        <v>508</v>
      </c>
      <c r="O1729" s="3" t="s">
        <v>19</v>
      </c>
      <c r="P1729" s="3" t="s">
        <v>365</v>
      </c>
      <c r="Q1729" s="3" t="s">
        <v>246</v>
      </c>
      <c r="R1729" s="3">
        <v>2</v>
      </c>
      <c r="S1729" s="3">
        <v>39969.910000000003</v>
      </c>
      <c r="T1729" s="3">
        <v>30</v>
      </c>
      <c r="U1729" s="3">
        <v>55957.87</v>
      </c>
      <c r="V1729" s="3">
        <v>38149.71</v>
      </c>
      <c r="W1729" s="3">
        <v>17808.16</v>
      </c>
      <c r="X1729" s="3">
        <v>31.82</v>
      </c>
      <c r="Y1729" s="3">
        <v>99</v>
      </c>
      <c r="Z1729" s="3" t="s">
        <v>30</v>
      </c>
      <c r="AA1729" s="3" t="s">
        <v>275</v>
      </c>
      <c r="AB1729" s="3" t="s">
        <v>101</v>
      </c>
      <c r="AC1729" s="3"/>
    </row>
    <row r="1730" spans="1:29" x14ac:dyDescent="0.3">
      <c r="A1730" s="2" t="s">
        <v>7906</v>
      </c>
      <c r="B1730" s="2" t="s">
        <v>7907</v>
      </c>
      <c r="C1730" s="2" t="s">
        <v>1597</v>
      </c>
      <c r="D1730" s="2" t="s">
        <v>7908</v>
      </c>
      <c r="E1730" s="2" t="s">
        <v>18</v>
      </c>
      <c r="F1730" s="2" t="s">
        <v>371</v>
      </c>
      <c r="G1730" s="2" t="s">
        <v>2032</v>
      </c>
      <c r="H1730" s="2" t="s">
        <v>157</v>
      </c>
      <c r="I1730" s="2">
        <v>7</v>
      </c>
      <c r="J1730" s="2" t="s">
        <v>14</v>
      </c>
      <c r="K1730" s="2" t="s">
        <v>171</v>
      </c>
      <c r="L1730" s="2" t="s">
        <v>172</v>
      </c>
      <c r="M1730" s="2" t="s">
        <v>7909</v>
      </c>
      <c r="N1730" s="2" t="s">
        <v>296</v>
      </c>
      <c r="O1730" s="2" t="s">
        <v>19</v>
      </c>
      <c r="P1730" s="2" t="s">
        <v>297</v>
      </c>
      <c r="Q1730" s="2" t="s">
        <v>246</v>
      </c>
      <c r="R1730" s="2">
        <v>1</v>
      </c>
      <c r="S1730" s="2">
        <v>48632.41</v>
      </c>
      <c r="T1730" s="2">
        <v>10</v>
      </c>
      <c r="U1730" s="2">
        <v>43769.17</v>
      </c>
      <c r="V1730" s="2">
        <v>19930.900000000001</v>
      </c>
      <c r="W1730" s="2">
        <v>23838.27</v>
      </c>
      <c r="X1730" s="2">
        <v>54.46</v>
      </c>
      <c r="Y1730" s="2">
        <v>49</v>
      </c>
      <c r="Z1730" s="2" t="s">
        <v>43</v>
      </c>
      <c r="AA1730" s="2" t="s">
        <v>100</v>
      </c>
      <c r="AB1730" s="2" t="s">
        <v>101</v>
      </c>
      <c r="AC1730" s="2"/>
    </row>
    <row r="1731" spans="1:29" x14ac:dyDescent="0.3">
      <c r="A1731" s="3" t="s">
        <v>7910</v>
      </c>
      <c r="B1731" s="3" t="s">
        <v>7911</v>
      </c>
      <c r="C1731" s="3" t="s">
        <v>2325</v>
      </c>
      <c r="D1731" s="3" t="s">
        <v>2336</v>
      </c>
      <c r="E1731" s="3" t="s">
        <v>18</v>
      </c>
      <c r="F1731" s="3" t="s">
        <v>3242</v>
      </c>
      <c r="G1731" s="3" t="s">
        <v>3821</v>
      </c>
      <c r="H1731" s="3" t="s">
        <v>2592</v>
      </c>
      <c r="I1731" s="3">
        <v>4</v>
      </c>
      <c r="J1731" s="3" t="s">
        <v>22</v>
      </c>
      <c r="K1731" s="3" t="s">
        <v>283</v>
      </c>
      <c r="L1731" s="3" t="s">
        <v>748</v>
      </c>
      <c r="M1731" s="3" t="s">
        <v>2520</v>
      </c>
      <c r="N1731" s="3" t="s">
        <v>274</v>
      </c>
      <c r="O1731" s="3" t="s">
        <v>21</v>
      </c>
      <c r="P1731" s="3" t="s">
        <v>126</v>
      </c>
      <c r="Q1731" s="3" t="s">
        <v>197</v>
      </c>
      <c r="R1731" s="3">
        <v>1</v>
      </c>
      <c r="S1731" s="3">
        <v>33219.72</v>
      </c>
      <c r="T1731" s="3">
        <v>25</v>
      </c>
      <c r="U1731" s="3">
        <v>24914.79</v>
      </c>
      <c r="V1731" s="3">
        <v>13129.95</v>
      </c>
      <c r="W1731" s="3">
        <v>11784.84</v>
      </c>
      <c r="X1731" s="3">
        <v>47.3</v>
      </c>
      <c r="Y1731" s="3">
        <v>29</v>
      </c>
      <c r="Z1731" s="3" t="s">
        <v>43</v>
      </c>
      <c r="AA1731" s="3" t="s">
        <v>139</v>
      </c>
      <c r="AB1731" s="3" t="s">
        <v>140</v>
      </c>
      <c r="AC1731" s="3"/>
    </row>
    <row r="1732" spans="1:29" x14ac:dyDescent="0.3">
      <c r="A1732" s="2" t="s">
        <v>7912</v>
      </c>
      <c r="B1732" s="2" t="s">
        <v>7913</v>
      </c>
      <c r="C1732" s="2" t="s">
        <v>2534</v>
      </c>
      <c r="D1732" s="2" t="s">
        <v>7914</v>
      </c>
      <c r="E1732" s="2" t="s">
        <v>33</v>
      </c>
      <c r="F1732" s="2" t="s">
        <v>3479</v>
      </c>
      <c r="G1732" s="2" t="s">
        <v>331</v>
      </c>
      <c r="H1732" s="2" t="s">
        <v>691</v>
      </c>
      <c r="I1732" s="2">
        <v>4</v>
      </c>
      <c r="J1732" s="2" t="s">
        <v>39</v>
      </c>
      <c r="K1732" s="2" t="s">
        <v>324</v>
      </c>
      <c r="L1732" s="2" t="s">
        <v>1028</v>
      </c>
      <c r="M1732" s="2" t="s">
        <v>6646</v>
      </c>
      <c r="N1732" s="2" t="s">
        <v>924</v>
      </c>
      <c r="O1732" s="2" t="s">
        <v>13</v>
      </c>
      <c r="P1732" s="2" t="s">
        <v>228</v>
      </c>
      <c r="Q1732" s="2" t="s">
        <v>152</v>
      </c>
      <c r="R1732" s="2">
        <v>2</v>
      </c>
      <c r="S1732" s="2">
        <v>19972.009999999998</v>
      </c>
      <c r="T1732" s="2">
        <v>10</v>
      </c>
      <c r="U1732" s="2">
        <v>35949.620000000003</v>
      </c>
      <c r="V1732" s="2">
        <v>22548.76</v>
      </c>
      <c r="W1732" s="2">
        <v>13400.86</v>
      </c>
      <c r="X1732" s="2">
        <v>37.28</v>
      </c>
      <c r="Y1732" s="2">
        <v>49</v>
      </c>
      <c r="Z1732" s="2" t="s">
        <v>15</v>
      </c>
      <c r="AA1732" s="2" t="s">
        <v>672</v>
      </c>
      <c r="AB1732" s="2" t="s">
        <v>101</v>
      </c>
      <c r="AC1732" s="2"/>
    </row>
    <row r="1733" spans="1:29" x14ac:dyDescent="0.3">
      <c r="A1733" s="3" t="s">
        <v>7915</v>
      </c>
      <c r="B1733" s="3" t="s">
        <v>7916</v>
      </c>
      <c r="C1733" s="3" t="s">
        <v>603</v>
      </c>
      <c r="D1733" s="3" t="s">
        <v>7917</v>
      </c>
      <c r="E1733" s="3" t="s">
        <v>18</v>
      </c>
      <c r="F1733" s="3" t="s">
        <v>4253</v>
      </c>
      <c r="G1733" s="3" t="s">
        <v>3957</v>
      </c>
      <c r="H1733" s="3" t="s">
        <v>4082</v>
      </c>
      <c r="I1733" s="3">
        <v>6</v>
      </c>
      <c r="J1733" s="3" t="s">
        <v>14</v>
      </c>
      <c r="K1733" s="3" t="s">
        <v>183</v>
      </c>
      <c r="L1733" s="3" t="s">
        <v>183</v>
      </c>
      <c r="M1733" s="3" t="s">
        <v>4020</v>
      </c>
      <c r="N1733" s="3" t="s">
        <v>631</v>
      </c>
      <c r="O1733" s="3" t="s">
        <v>19</v>
      </c>
      <c r="P1733" s="3" t="s">
        <v>297</v>
      </c>
      <c r="Q1733" s="3" t="s">
        <v>197</v>
      </c>
      <c r="R1733" s="3">
        <v>1</v>
      </c>
      <c r="S1733" s="3">
        <v>6097.46</v>
      </c>
      <c r="T1733" s="3">
        <v>0</v>
      </c>
      <c r="U1733" s="3">
        <v>6097.46</v>
      </c>
      <c r="V1733" s="3">
        <v>3328.39</v>
      </c>
      <c r="W1733" s="3">
        <v>2769.07</v>
      </c>
      <c r="X1733" s="3">
        <v>45.41</v>
      </c>
      <c r="Y1733" s="3">
        <v>0</v>
      </c>
      <c r="Z1733" s="3" t="s">
        <v>23</v>
      </c>
      <c r="AA1733" s="3" t="s">
        <v>100</v>
      </c>
      <c r="AB1733" s="3" t="s">
        <v>101</v>
      </c>
      <c r="AC1733" s="3">
        <v>3</v>
      </c>
    </row>
    <row r="1734" spans="1:29" x14ac:dyDescent="0.3">
      <c r="A1734" s="2" t="s">
        <v>7918</v>
      </c>
      <c r="B1734" s="2" t="s">
        <v>7919</v>
      </c>
      <c r="C1734" s="2" t="s">
        <v>2729</v>
      </c>
      <c r="D1734" s="2" t="s">
        <v>7920</v>
      </c>
      <c r="E1734" s="2" t="s">
        <v>18</v>
      </c>
      <c r="F1734" s="2" t="s">
        <v>4108</v>
      </c>
      <c r="G1734" s="2" t="s">
        <v>629</v>
      </c>
      <c r="H1734" s="2" t="s">
        <v>3781</v>
      </c>
      <c r="I1734" s="2">
        <v>3</v>
      </c>
      <c r="J1734" s="2" t="s">
        <v>22</v>
      </c>
      <c r="K1734" s="2" t="s">
        <v>443</v>
      </c>
      <c r="L1734" s="2" t="s">
        <v>498</v>
      </c>
      <c r="M1734" s="2" t="s">
        <v>1648</v>
      </c>
      <c r="N1734" s="2" t="s">
        <v>639</v>
      </c>
      <c r="O1734" s="2" t="s">
        <v>27</v>
      </c>
      <c r="P1734" s="2" t="s">
        <v>175</v>
      </c>
      <c r="Q1734" s="2" t="s">
        <v>152</v>
      </c>
      <c r="R1734" s="2">
        <v>4</v>
      </c>
      <c r="S1734" s="2">
        <v>17103.79</v>
      </c>
      <c r="T1734" s="2">
        <v>30</v>
      </c>
      <c r="U1734" s="2">
        <v>47890.61</v>
      </c>
      <c r="V1734" s="2">
        <v>25876.26</v>
      </c>
      <c r="W1734" s="2">
        <v>22014.35</v>
      </c>
      <c r="X1734" s="2">
        <v>45.97</v>
      </c>
      <c r="Y1734" s="2">
        <v>99</v>
      </c>
      <c r="Z1734" s="2" t="s">
        <v>47</v>
      </c>
      <c r="AA1734" s="2" t="s">
        <v>100</v>
      </c>
      <c r="AB1734" s="2" t="s">
        <v>101</v>
      </c>
      <c r="AC1734" s="2">
        <v>3</v>
      </c>
    </row>
    <row r="1735" spans="1:29" x14ac:dyDescent="0.3">
      <c r="A1735" s="3" t="s">
        <v>7921</v>
      </c>
      <c r="B1735" s="3" t="s">
        <v>7922</v>
      </c>
      <c r="C1735" s="3" t="s">
        <v>104</v>
      </c>
      <c r="D1735" s="3" t="s">
        <v>1132</v>
      </c>
      <c r="E1735" s="3" t="s">
        <v>42</v>
      </c>
      <c r="F1735" s="3" t="s">
        <v>2433</v>
      </c>
      <c r="G1735" s="3" t="s">
        <v>900</v>
      </c>
      <c r="H1735" s="3" t="s">
        <v>2434</v>
      </c>
      <c r="I1735" s="3">
        <v>5</v>
      </c>
      <c r="J1735" s="3" t="s">
        <v>29</v>
      </c>
      <c r="K1735" s="3" t="s">
        <v>834</v>
      </c>
      <c r="L1735" s="3" t="s">
        <v>1000</v>
      </c>
      <c r="M1735" s="3" t="s">
        <v>3761</v>
      </c>
      <c r="N1735" s="3" t="s">
        <v>227</v>
      </c>
      <c r="O1735" s="3" t="s">
        <v>13</v>
      </c>
      <c r="P1735" s="3" t="s">
        <v>228</v>
      </c>
      <c r="Q1735" s="3" t="s">
        <v>114</v>
      </c>
      <c r="R1735" s="3">
        <v>2</v>
      </c>
      <c r="S1735" s="3">
        <v>48613.73</v>
      </c>
      <c r="T1735" s="3">
        <v>20</v>
      </c>
      <c r="U1735" s="3">
        <v>77781.97</v>
      </c>
      <c r="V1735" s="3">
        <v>42737.17</v>
      </c>
      <c r="W1735" s="3">
        <v>35044.800000000003</v>
      </c>
      <c r="X1735" s="3">
        <v>45.06</v>
      </c>
      <c r="Y1735" s="3">
        <v>149</v>
      </c>
      <c r="Z1735" s="3" t="s">
        <v>23</v>
      </c>
      <c r="AA1735" s="3" t="s">
        <v>100</v>
      </c>
      <c r="AB1735" s="3" t="s">
        <v>101</v>
      </c>
      <c r="AC1735" s="3">
        <v>4</v>
      </c>
    </row>
    <row r="1736" spans="1:29" x14ac:dyDescent="0.3">
      <c r="A1736" s="2" t="s">
        <v>7923</v>
      </c>
      <c r="B1736" s="2" t="s">
        <v>6060</v>
      </c>
      <c r="C1736" s="2" t="s">
        <v>1822</v>
      </c>
      <c r="D1736" s="2" t="s">
        <v>7924</v>
      </c>
      <c r="E1736" s="2" t="s">
        <v>33</v>
      </c>
      <c r="F1736" s="2" t="s">
        <v>1751</v>
      </c>
      <c r="G1736" s="2" t="s">
        <v>1320</v>
      </c>
      <c r="H1736" s="2" t="s">
        <v>1322</v>
      </c>
      <c r="I1736" s="2">
        <v>4</v>
      </c>
      <c r="J1736" s="2" t="s">
        <v>39</v>
      </c>
      <c r="K1736" s="2" t="s">
        <v>225</v>
      </c>
      <c r="L1736" s="2" t="s">
        <v>225</v>
      </c>
      <c r="M1736" s="2" t="s">
        <v>7925</v>
      </c>
      <c r="N1736" s="2" t="s">
        <v>390</v>
      </c>
      <c r="O1736" s="2" t="s">
        <v>19</v>
      </c>
      <c r="P1736" s="2" t="s">
        <v>297</v>
      </c>
      <c r="Q1736" s="2" t="s">
        <v>207</v>
      </c>
      <c r="R1736" s="2">
        <v>4</v>
      </c>
      <c r="S1736" s="2">
        <v>7176.9</v>
      </c>
      <c r="T1736" s="2">
        <v>0</v>
      </c>
      <c r="U1736" s="2">
        <v>28707.599999999999</v>
      </c>
      <c r="V1736" s="2">
        <v>16304.4</v>
      </c>
      <c r="W1736" s="2">
        <v>12403.2</v>
      </c>
      <c r="X1736" s="2">
        <v>43.21</v>
      </c>
      <c r="Y1736" s="2">
        <v>29</v>
      </c>
      <c r="Z1736" s="2" t="s">
        <v>30</v>
      </c>
      <c r="AA1736" s="2" t="s">
        <v>100</v>
      </c>
      <c r="AB1736" s="2" t="s">
        <v>101</v>
      </c>
      <c r="AC1736" s="2">
        <v>2</v>
      </c>
    </row>
    <row r="1737" spans="1:29" x14ac:dyDescent="0.3">
      <c r="A1737" s="3" t="s">
        <v>7926</v>
      </c>
      <c r="B1737" s="3" t="s">
        <v>3126</v>
      </c>
      <c r="C1737" s="3" t="s">
        <v>1335</v>
      </c>
      <c r="D1737" s="3" t="s">
        <v>7927</v>
      </c>
      <c r="E1737" s="3" t="s">
        <v>18</v>
      </c>
      <c r="F1737" s="3" t="s">
        <v>1397</v>
      </c>
      <c r="G1737" s="3" t="s">
        <v>351</v>
      </c>
      <c r="H1737" s="3" t="s">
        <v>352</v>
      </c>
      <c r="I1737" s="3">
        <v>8</v>
      </c>
      <c r="J1737" s="3" t="s">
        <v>29</v>
      </c>
      <c r="K1737" s="3" t="s">
        <v>148</v>
      </c>
      <c r="L1737" s="3" t="s">
        <v>148</v>
      </c>
      <c r="M1737" s="3" t="s">
        <v>7928</v>
      </c>
      <c r="N1737" s="3" t="s">
        <v>686</v>
      </c>
      <c r="O1737" s="3" t="s">
        <v>13</v>
      </c>
      <c r="P1737" s="3" t="s">
        <v>228</v>
      </c>
      <c r="Q1737" s="3" t="s">
        <v>509</v>
      </c>
      <c r="R1737" s="3">
        <v>2</v>
      </c>
      <c r="S1737" s="3">
        <v>43987.86</v>
      </c>
      <c r="T1737" s="3">
        <v>10</v>
      </c>
      <c r="U1737" s="3">
        <v>79178.149999999994</v>
      </c>
      <c r="V1737" s="3">
        <v>51919.05</v>
      </c>
      <c r="W1737" s="3">
        <v>27259.1</v>
      </c>
      <c r="X1737" s="3">
        <v>34.43</v>
      </c>
      <c r="Y1737" s="3">
        <v>199</v>
      </c>
      <c r="Z1737" s="3" t="s">
        <v>40</v>
      </c>
      <c r="AA1737" s="3" t="s">
        <v>100</v>
      </c>
      <c r="AB1737" s="3" t="s">
        <v>140</v>
      </c>
      <c r="AC1737" s="3">
        <v>3</v>
      </c>
    </row>
    <row r="1738" spans="1:29" x14ac:dyDescent="0.3">
      <c r="A1738" s="2" t="s">
        <v>7929</v>
      </c>
      <c r="B1738" s="2" t="s">
        <v>7930</v>
      </c>
      <c r="C1738" s="2" t="s">
        <v>918</v>
      </c>
      <c r="D1738" s="2" t="s">
        <v>7931</v>
      </c>
      <c r="E1738" s="2" t="s">
        <v>18</v>
      </c>
      <c r="F1738" s="2" t="s">
        <v>2248</v>
      </c>
      <c r="G1738" s="2" t="s">
        <v>1766</v>
      </c>
      <c r="H1738" s="2" t="s">
        <v>191</v>
      </c>
      <c r="I1738" s="2">
        <v>4</v>
      </c>
      <c r="J1738" s="2" t="s">
        <v>14</v>
      </c>
      <c r="K1738" s="2" t="s">
        <v>712</v>
      </c>
      <c r="L1738" s="2" t="s">
        <v>712</v>
      </c>
      <c r="M1738" s="2" t="s">
        <v>7932</v>
      </c>
      <c r="N1738" s="2" t="s">
        <v>740</v>
      </c>
      <c r="O1738" s="2" t="s">
        <v>21</v>
      </c>
      <c r="P1738" s="2" t="s">
        <v>126</v>
      </c>
      <c r="Q1738" s="2" t="s">
        <v>197</v>
      </c>
      <c r="R1738" s="2">
        <v>1</v>
      </c>
      <c r="S1738" s="2">
        <v>11223.35</v>
      </c>
      <c r="T1738" s="2">
        <v>10</v>
      </c>
      <c r="U1738" s="2">
        <v>10101.02</v>
      </c>
      <c r="V1738" s="2">
        <v>4576.7700000000004</v>
      </c>
      <c r="W1738" s="2">
        <v>5524.25</v>
      </c>
      <c r="X1738" s="2">
        <v>54.69</v>
      </c>
      <c r="Y1738" s="2">
        <v>199</v>
      </c>
      <c r="Z1738" s="2" t="s">
        <v>23</v>
      </c>
      <c r="AA1738" s="2" t="s">
        <v>100</v>
      </c>
      <c r="AB1738" s="2" t="s">
        <v>101</v>
      </c>
      <c r="AC1738" s="2">
        <v>4</v>
      </c>
    </row>
    <row r="1739" spans="1:29" x14ac:dyDescent="0.3">
      <c r="A1739" s="3" t="s">
        <v>7933</v>
      </c>
      <c r="B1739" s="3" t="s">
        <v>5400</v>
      </c>
      <c r="C1739" s="3" t="s">
        <v>733</v>
      </c>
      <c r="D1739" s="3" t="s">
        <v>7934</v>
      </c>
      <c r="E1739" s="3" t="s">
        <v>33</v>
      </c>
      <c r="F1739" s="3" t="s">
        <v>2928</v>
      </c>
      <c r="G1739" s="3" t="s">
        <v>2929</v>
      </c>
      <c r="H1739" s="3" t="s">
        <v>2253</v>
      </c>
      <c r="I1739" s="3">
        <v>4</v>
      </c>
      <c r="J1739" s="3" t="s">
        <v>29</v>
      </c>
      <c r="K1739" s="3" t="s">
        <v>160</v>
      </c>
      <c r="L1739" s="3" t="s">
        <v>976</v>
      </c>
      <c r="M1739" s="3" t="s">
        <v>5000</v>
      </c>
      <c r="N1739" s="3" t="s">
        <v>1332</v>
      </c>
      <c r="O1739" s="3" t="s">
        <v>19</v>
      </c>
      <c r="P1739" s="3" t="s">
        <v>447</v>
      </c>
      <c r="Q1739" s="3" t="s">
        <v>99</v>
      </c>
      <c r="R1739" s="3">
        <v>2</v>
      </c>
      <c r="S1739" s="3">
        <v>18113.689999999999</v>
      </c>
      <c r="T1739" s="3">
        <v>15</v>
      </c>
      <c r="U1739" s="3">
        <v>30793.27</v>
      </c>
      <c r="V1739" s="3">
        <v>20265.88</v>
      </c>
      <c r="W1739" s="3">
        <v>10527.39</v>
      </c>
      <c r="X1739" s="3">
        <v>34.19</v>
      </c>
      <c r="Y1739" s="3">
        <v>149</v>
      </c>
      <c r="Z1739" s="3" t="s">
        <v>47</v>
      </c>
      <c r="AA1739" s="3" t="s">
        <v>100</v>
      </c>
      <c r="AB1739" s="3" t="s">
        <v>101</v>
      </c>
      <c r="AC1739" s="3">
        <v>4</v>
      </c>
    </row>
    <row r="1740" spans="1:29" x14ac:dyDescent="0.3">
      <c r="A1740" s="2" t="s">
        <v>7935</v>
      </c>
      <c r="B1740" s="2" t="s">
        <v>7936</v>
      </c>
      <c r="C1740" s="2" t="s">
        <v>716</v>
      </c>
      <c r="D1740" s="2" t="s">
        <v>7937</v>
      </c>
      <c r="E1740" s="2" t="s">
        <v>18</v>
      </c>
      <c r="F1740" s="2" t="s">
        <v>415</v>
      </c>
      <c r="G1740" s="2" t="s">
        <v>3106</v>
      </c>
      <c r="H1740" s="2" t="s">
        <v>3315</v>
      </c>
      <c r="I1740" s="2">
        <v>7</v>
      </c>
      <c r="J1740" s="2" t="s">
        <v>22</v>
      </c>
      <c r="K1740" s="2" t="s">
        <v>254</v>
      </c>
      <c r="L1740" s="2" t="s">
        <v>254</v>
      </c>
      <c r="M1740" s="2" t="s">
        <v>7938</v>
      </c>
      <c r="N1740" s="2" t="s">
        <v>1535</v>
      </c>
      <c r="O1740" s="2" t="s">
        <v>13</v>
      </c>
      <c r="P1740" s="2" t="s">
        <v>98</v>
      </c>
      <c r="Q1740" s="2" t="s">
        <v>246</v>
      </c>
      <c r="R1740" s="2">
        <v>5</v>
      </c>
      <c r="S1740" s="2">
        <v>21152.27</v>
      </c>
      <c r="T1740" s="2">
        <v>10</v>
      </c>
      <c r="U1740" s="2">
        <v>95185.22</v>
      </c>
      <c r="V1740" s="2">
        <v>59225.34</v>
      </c>
      <c r="W1740" s="2">
        <v>35959.879999999997</v>
      </c>
      <c r="X1740" s="2">
        <v>37.78</v>
      </c>
      <c r="Y1740" s="2">
        <v>149</v>
      </c>
      <c r="Z1740" s="2" t="s">
        <v>30</v>
      </c>
      <c r="AA1740" s="2" t="s">
        <v>275</v>
      </c>
      <c r="AB1740" s="2" t="s">
        <v>101</v>
      </c>
      <c r="AC1740" s="2"/>
    </row>
    <row r="1741" spans="1:29" x14ac:dyDescent="0.3">
      <c r="A1741" s="3" t="s">
        <v>7939</v>
      </c>
      <c r="B1741" s="3" t="s">
        <v>4685</v>
      </c>
      <c r="C1741" s="3" t="s">
        <v>3325</v>
      </c>
      <c r="D1741" s="3" t="s">
        <v>7940</v>
      </c>
      <c r="E1741" s="3" t="s">
        <v>42</v>
      </c>
      <c r="F1741" s="3" t="s">
        <v>2921</v>
      </c>
      <c r="G1741" s="3" t="s">
        <v>4145</v>
      </c>
      <c r="H1741" s="3" t="s">
        <v>4534</v>
      </c>
      <c r="I1741" s="3">
        <v>5</v>
      </c>
      <c r="J1741" s="3" t="s">
        <v>29</v>
      </c>
      <c r="K1741" s="3" t="s">
        <v>834</v>
      </c>
      <c r="L1741" s="3" t="s">
        <v>835</v>
      </c>
      <c r="M1741" s="3" t="s">
        <v>7941</v>
      </c>
      <c r="N1741" s="3" t="s">
        <v>286</v>
      </c>
      <c r="O1741" s="3" t="s">
        <v>28</v>
      </c>
      <c r="P1741" s="3" t="s">
        <v>137</v>
      </c>
      <c r="Q1741" s="3" t="s">
        <v>99</v>
      </c>
      <c r="R1741" s="3">
        <v>1</v>
      </c>
      <c r="S1741" s="3">
        <v>144.15</v>
      </c>
      <c r="T1741" s="3">
        <v>15</v>
      </c>
      <c r="U1741" s="3">
        <v>122.53</v>
      </c>
      <c r="V1741" s="3">
        <v>75.64</v>
      </c>
      <c r="W1741" s="3">
        <v>46.89</v>
      </c>
      <c r="X1741" s="3">
        <v>38.270000000000003</v>
      </c>
      <c r="Y1741" s="3">
        <v>99</v>
      </c>
      <c r="Z1741" s="3" t="s">
        <v>23</v>
      </c>
      <c r="AA1741" s="3" t="s">
        <v>100</v>
      </c>
      <c r="AB1741" s="3" t="s">
        <v>140</v>
      </c>
      <c r="AC1741" s="3">
        <v>1</v>
      </c>
    </row>
    <row r="1742" spans="1:29" x14ac:dyDescent="0.3">
      <c r="A1742" s="2" t="s">
        <v>7942</v>
      </c>
      <c r="B1742" s="2" t="s">
        <v>7943</v>
      </c>
      <c r="C1742" s="2" t="s">
        <v>536</v>
      </c>
      <c r="D1742" s="2" t="s">
        <v>7944</v>
      </c>
      <c r="E1742" s="2" t="s">
        <v>18</v>
      </c>
      <c r="F1742" s="2" t="s">
        <v>2943</v>
      </c>
      <c r="G1742" s="2" t="s">
        <v>5855</v>
      </c>
      <c r="H1742" s="2" t="s">
        <v>2564</v>
      </c>
      <c r="I1742" s="2">
        <v>6</v>
      </c>
      <c r="J1742" s="2" t="s">
        <v>14</v>
      </c>
      <c r="K1742" s="2" t="s">
        <v>171</v>
      </c>
      <c r="L1742" s="2" t="s">
        <v>172</v>
      </c>
      <c r="M1742" s="2" t="s">
        <v>7945</v>
      </c>
      <c r="N1742" s="2" t="s">
        <v>1603</v>
      </c>
      <c r="O1742" s="2" t="s">
        <v>19</v>
      </c>
      <c r="P1742" s="2" t="s">
        <v>365</v>
      </c>
      <c r="Q1742" s="2" t="s">
        <v>355</v>
      </c>
      <c r="R1742" s="2">
        <v>2</v>
      </c>
      <c r="S1742" s="2">
        <v>37033.25</v>
      </c>
      <c r="T1742" s="2">
        <v>5</v>
      </c>
      <c r="U1742" s="2">
        <v>70363.179999999993</v>
      </c>
      <c r="V1742" s="2">
        <v>41117.019999999997</v>
      </c>
      <c r="W1742" s="2">
        <v>29246.16</v>
      </c>
      <c r="X1742" s="2">
        <v>41.56</v>
      </c>
      <c r="Y1742" s="2">
        <v>29</v>
      </c>
      <c r="Z1742" s="2" t="s">
        <v>47</v>
      </c>
      <c r="AA1742" s="2" t="s">
        <v>139</v>
      </c>
      <c r="AB1742" s="2" t="s">
        <v>140</v>
      </c>
      <c r="AC1742" s="2"/>
    </row>
    <row r="1743" spans="1:29" x14ac:dyDescent="0.3">
      <c r="A1743" s="3" t="s">
        <v>7946</v>
      </c>
      <c r="B1743" s="3" t="s">
        <v>7947</v>
      </c>
      <c r="C1743" s="3" t="s">
        <v>1665</v>
      </c>
      <c r="D1743" s="3" t="s">
        <v>7948</v>
      </c>
      <c r="E1743" s="3" t="s">
        <v>18</v>
      </c>
      <c r="F1743" s="3" t="s">
        <v>2665</v>
      </c>
      <c r="G1743" s="3" t="s">
        <v>2666</v>
      </c>
      <c r="H1743" s="3" t="s">
        <v>379</v>
      </c>
      <c r="I1743" s="3">
        <v>4</v>
      </c>
      <c r="J1743" s="3" t="s">
        <v>14</v>
      </c>
      <c r="K1743" s="3" t="s">
        <v>95</v>
      </c>
      <c r="L1743" s="3" t="s">
        <v>95</v>
      </c>
      <c r="M1743" s="3" t="s">
        <v>7949</v>
      </c>
      <c r="N1743" s="3" t="s">
        <v>227</v>
      </c>
      <c r="O1743" s="3" t="s">
        <v>13</v>
      </c>
      <c r="P1743" s="3" t="s">
        <v>228</v>
      </c>
      <c r="Q1743" s="3" t="s">
        <v>99</v>
      </c>
      <c r="R1743" s="3">
        <v>4</v>
      </c>
      <c r="S1743" s="3">
        <v>939.82</v>
      </c>
      <c r="T1743" s="3">
        <v>5</v>
      </c>
      <c r="U1743" s="3">
        <v>3571.32</v>
      </c>
      <c r="V1743" s="3">
        <v>2472.88</v>
      </c>
      <c r="W1743" s="3">
        <v>1098.44</v>
      </c>
      <c r="X1743" s="3">
        <v>30.76</v>
      </c>
      <c r="Y1743" s="3">
        <v>99</v>
      </c>
      <c r="Z1743" s="3" t="s">
        <v>23</v>
      </c>
      <c r="AA1743" s="3" t="s">
        <v>100</v>
      </c>
      <c r="AB1743" s="3" t="s">
        <v>101</v>
      </c>
      <c r="AC1743" s="3">
        <v>4</v>
      </c>
    </row>
    <row r="1744" spans="1:29" x14ac:dyDescent="0.3">
      <c r="A1744" s="2" t="s">
        <v>7950</v>
      </c>
      <c r="B1744" s="2" t="s">
        <v>7951</v>
      </c>
      <c r="C1744" s="2" t="s">
        <v>1364</v>
      </c>
      <c r="D1744" s="2" t="s">
        <v>7952</v>
      </c>
      <c r="E1744" s="2" t="s">
        <v>18</v>
      </c>
      <c r="F1744" s="2" t="s">
        <v>5480</v>
      </c>
      <c r="G1744" s="2" t="s">
        <v>1554</v>
      </c>
      <c r="H1744" s="2" t="s">
        <v>886</v>
      </c>
      <c r="I1744" s="2">
        <v>8</v>
      </c>
      <c r="J1744" s="2" t="s">
        <v>14</v>
      </c>
      <c r="K1744" s="2" t="s">
        <v>215</v>
      </c>
      <c r="L1744" s="2" t="s">
        <v>215</v>
      </c>
      <c r="M1744" s="2" t="s">
        <v>7953</v>
      </c>
      <c r="N1744" s="2" t="s">
        <v>136</v>
      </c>
      <c r="O1744" s="2" t="s">
        <v>28</v>
      </c>
      <c r="P1744" s="2" t="s">
        <v>137</v>
      </c>
      <c r="Q1744" s="2" t="s">
        <v>127</v>
      </c>
      <c r="R1744" s="2">
        <v>2</v>
      </c>
      <c r="S1744" s="2">
        <v>37536.26</v>
      </c>
      <c r="T1744" s="2">
        <v>5</v>
      </c>
      <c r="U1744" s="2">
        <v>71318.89</v>
      </c>
      <c r="V1744" s="2">
        <v>38310.660000000003</v>
      </c>
      <c r="W1744" s="2">
        <v>33008.230000000003</v>
      </c>
      <c r="X1744" s="2">
        <v>46.28</v>
      </c>
      <c r="Y1744" s="2">
        <v>29</v>
      </c>
      <c r="Z1744" s="2" t="s">
        <v>48</v>
      </c>
      <c r="AA1744" s="2" t="s">
        <v>100</v>
      </c>
      <c r="AB1744" s="2" t="s">
        <v>101</v>
      </c>
      <c r="AC1744" s="2">
        <v>4</v>
      </c>
    </row>
    <row r="1745" spans="1:29" x14ac:dyDescent="0.3">
      <c r="A1745" s="3" t="s">
        <v>7954</v>
      </c>
      <c r="B1745" s="3" t="s">
        <v>7189</v>
      </c>
      <c r="C1745" s="3" t="s">
        <v>912</v>
      </c>
      <c r="D1745" s="3" t="s">
        <v>7955</v>
      </c>
      <c r="E1745" s="3" t="s">
        <v>18</v>
      </c>
      <c r="F1745" s="3" t="s">
        <v>181</v>
      </c>
      <c r="G1745" s="3" t="s">
        <v>4779</v>
      </c>
      <c r="H1745" s="3" t="s">
        <v>6712</v>
      </c>
      <c r="I1745" s="3">
        <v>6</v>
      </c>
      <c r="J1745" s="3" t="s">
        <v>29</v>
      </c>
      <c r="K1745" s="3" t="s">
        <v>834</v>
      </c>
      <c r="L1745" s="3" t="s">
        <v>1000</v>
      </c>
      <c r="M1745" s="3" t="s">
        <v>7956</v>
      </c>
      <c r="N1745" s="3" t="s">
        <v>750</v>
      </c>
      <c r="O1745" s="3" t="s">
        <v>13</v>
      </c>
      <c r="P1745" s="3" t="s">
        <v>419</v>
      </c>
      <c r="Q1745" s="3" t="s">
        <v>246</v>
      </c>
      <c r="R1745" s="3">
        <v>1</v>
      </c>
      <c r="S1745" s="3">
        <v>30138.7</v>
      </c>
      <c r="T1745" s="3">
        <v>25</v>
      </c>
      <c r="U1745" s="3">
        <v>22604.03</v>
      </c>
      <c r="V1745" s="3">
        <v>11854.05</v>
      </c>
      <c r="W1745" s="3">
        <v>10749.98</v>
      </c>
      <c r="X1745" s="3">
        <v>47.56</v>
      </c>
      <c r="Y1745" s="3">
        <v>99</v>
      </c>
      <c r="Z1745" s="3" t="s">
        <v>48</v>
      </c>
      <c r="AA1745" s="3" t="s">
        <v>100</v>
      </c>
      <c r="AB1745" s="3" t="s">
        <v>101</v>
      </c>
      <c r="AC1745" s="3"/>
    </row>
    <row r="1746" spans="1:29" x14ac:dyDescent="0.3">
      <c r="A1746" s="2" t="s">
        <v>7957</v>
      </c>
      <c r="B1746" s="2" t="s">
        <v>7958</v>
      </c>
      <c r="C1746" s="2" t="s">
        <v>1822</v>
      </c>
      <c r="D1746" s="2" t="s">
        <v>7959</v>
      </c>
      <c r="E1746" s="2" t="s">
        <v>26</v>
      </c>
      <c r="F1746" s="2" t="s">
        <v>2386</v>
      </c>
      <c r="G1746" s="2" t="s">
        <v>4578</v>
      </c>
      <c r="H1746" s="2" t="s">
        <v>1996</v>
      </c>
      <c r="I1746" s="2">
        <v>6</v>
      </c>
      <c r="J1746" s="2" t="s">
        <v>22</v>
      </c>
      <c r="K1746" s="2" t="s">
        <v>443</v>
      </c>
      <c r="L1746" s="2" t="s">
        <v>498</v>
      </c>
      <c r="M1746" s="2" t="s">
        <v>2776</v>
      </c>
      <c r="N1746" s="2" t="s">
        <v>1223</v>
      </c>
      <c r="O1746" s="2" t="s">
        <v>19</v>
      </c>
      <c r="P1746" s="2" t="s">
        <v>447</v>
      </c>
      <c r="Q1746" s="2" t="s">
        <v>466</v>
      </c>
      <c r="R1746" s="2">
        <v>3</v>
      </c>
      <c r="S1746" s="2">
        <v>21834.82</v>
      </c>
      <c r="T1746" s="2">
        <v>10</v>
      </c>
      <c r="U1746" s="2">
        <v>58954.01</v>
      </c>
      <c r="V1746" s="2">
        <v>30812.42</v>
      </c>
      <c r="W1746" s="2">
        <v>28141.59</v>
      </c>
      <c r="X1746" s="2">
        <v>47.73</v>
      </c>
      <c r="Y1746" s="2">
        <v>99</v>
      </c>
      <c r="Z1746" s="2" t="s">
        <v>47</v>
      </c>
      <c r="AA1746" s="2" t="s">
        <v>100</v>
      </c>
      <c r="AB1746" s="2" t="s">
        <v>101</v>
      </c>
      <c r="AC1746" s="2">
        <v>2</v>
      </c>
    </row>
    <row r="1747" spans="1:29" x14ac:dyDescent="0.3">
      <c r="A1747" s="3" t="s">
        <v>7960</v>
      </c>
      <c r="B1747" s="3" t="s">
        <v>5258</v>
      </c>
      <c r="C1747" s="3" t="s">
        <v>1606</v>
      </c>
      <c r="D1747" s="3" t="s">
        <v>7961</v>
      </c>
      <c r="E1747" s="3" t="s">
        <v>18</v>
      </c>
      <c r="F1747" s="3" t="s">
        <v>1213</v>
      </c>
      <c r="G1747" s="3" t="s">
        <v>2462</v>
      </c>
      <c r="H1747" s="3" t="s">
        <v>264</v>
      </c>
      <c r="I1747" s="3">
        <v>8</v>
      </c>
      <c r="J1747" s="3" t="s">
        <v>29</v>
      </c>
      <c r="K1747" s="3" t="s">
        <v>834</v>
      </c>
      <c r="L1747" s="3" t="s">
        <v>835</v>
      </c>
      <c r="M1747" s="3" t="s">
        <v>7962</v>
      </c>
      <c r="N1747" s="3" t="s">
        <v>639</v>
      </c>
      <c r="O1747" s="3" t="s">
        <v>27</v>
      </c>
      <c r="P1747" s="3" t="s">
        <v>175</v>
      </c>
      <c r="Q1747" s="3" t="s">
        <v>152</v>
      </c>
      <c r="R1747" s="3">
        <v>1</v>
      </c>
      <c r="S1747" s="3">
        <v>45714.39</v>
      </c>
      <c r="T1747" s="3">
        <v>5</v>
      </c>
      <c r="U1747" s="3">
        <v>43428.67</v>
      </c>
      <c r="V1747" s="3">
        <v>20721.849999999999</v>
      </c>
      <c r="W1747" s="3">
        <v>22706.82</v>
      </c>
      <c r="X1747" s="3">
        <v>52.29</v>
      </c>
      <c r="Y1747" s="3">
        <v>149</v>
      </c>
      <c r="Z1747" s="3" t="s">
        <v>23</v>
      </c>
      <c r="AA1747" s="3" t="s">
        <v>100</v>
      </c>
      <c r="AB1747" s="3" t="s">
        <v>101</v>
      </c>
      <c r="AC1747" s="3">
        <v>3</v>
      </c>
    </row>
    <row r="1748" spans="1:29" x14ac:dyDescent="0.3">
      <c r="A1748" s="2" t="s">
        <v>7963</v>
      </c>
      <c r="B1748" s="2" t="s">
        <v>7964</v>
      </c>
      <c r="C1748" s="2" t="s">
        <v>973</v>
      </c>
      <c r="D1748" s="2" t="s">
        <v>7965</v>
      </c>
      <c r="E1748" s="2" t="s">
        <v>18</v>
      </c>
      <c r="F1748" s="2" t="s">
        <v>3428</v>
      </c>
      <c r="G1748" s="2" t="s">
        <v>2046</v>
      </c>
      <c r="H1748" s="2" t="s">
        <v>1435</v>
      </c>
      <c r="I1748" s="2">
        <v>2</v>
      </c>
      <c r="J1748" s="2" t="s">
        <v>29</v>
      </c>
      <c r="K1748" s="2" t="s">
        <v>834</v>
      </c>
      <c r="L1748" s="2" t="s">
        <v>901</v>
      </c>
      <c r="M1748" s="2" t="s">
        <v>7966</v>
      </c>
      <c r="N1748" s="2" t="s">
        <v>409</v>
      </c>
      <c r="O1748" s="2" t="s">
        <v>21</v>
      </c>
      <c r="P1748" s="2" t="s">
        <v>196</v>
      </c>
      <c r="Q1748" s="2" t="s">
        <v>207</v>
      </c>
      <c r="R1748" s="2">
        <v>5</v>
      </c>
      <c r="S1748" s="2">
        <v>16443.27</v>
      </c>
      <c r="T1748" s="2">
        <v>0</v>
      </c>
      <c r="U1748" s="2">
        <v>82216.350000000006</v>
      </c>
      <c r="V1748" s="2">
        <v>48150.14</v>
      </c>
      <c r="W1748" s="2">
        <v>34066.21</v>
      </c>
      <c r="X1748" s="2">
        <v>41.43</v>
      </c>
      <c r="Y1748" s="2">
        <v>149</v>
      </c>
      <c r="Z1748" s="2" t="s">
        <v>15</v>
      </c>
      <c r="AA1748" s="2" t="s">
        <v>100</v>
      </c>
      <c r="AB1748" s="2" t="s">
        <v>101</v>
      </c>
      <c r="AC1748" s="2">
        <v>1</v>
      </c>
    </row>
    <row r="1749" spans="1:29" x14ac:dyDescent="0.3">
      <c r="A1749" s="3" t="s">
        <v>7967</v>
      </c>
      <c r="B1749" s="3" t="s">
        <v>7968</v>
      </c>
      <c r="C1749" s="3" t="s">
        <v>1665</v>
      </c>
      <c r="D1749" s="3" t="s">
        <v>7969</v>
      </c>
      <c r="E1749" s="3" t="s">
        <v>42</v>
      </c>
      <c r="F1749" s="3" t="s">
        <v>2922</v>
      </c>
      <c r="G1749" s="3" t="s">
        <v>4534</v>
      </c>
      <c r="H1749" s="3" t="s">
        <v>3209</v>
      </c>
      <c r="I1749" s="3">
        <v>7</v>
      </c>
      <c r="J1749" s="3" t="s">
        <v>22</v>
      </c>
      <c r="K1749" s="3" t="s">
        <v>254</v>
      </c>
      <c r="L1749" s="3" t="s">
        <v>254</v>
      </c>
      <c r="M1749" s="3" t="s">
        <v>3887</v>
      </c>
      <c r="N1749" s="3" t="s">
        <v>185</v>
      </c>
      <c r="O1749" s="3" t="s">
        <v>28</v>
      </c>
      <c r="P1749" s="3" t="s">
        <v>151</v>
      </c>
      <c r="Q1749" s="3" t="s">
        <v>355</v>
      </c>
      <c r="R1749" s="3">
        <v>5</v>
      </c>
      <c r="S1749" s="3">
        <v>12394.55</v>
      </c>
      <c r="T1749" s="3">
        <v>0</v>
      </c>
      <c r="U1749" s="3">
        <v>61972.75</v>
      </c>
      <c r="V1749" s="3">
        <v>41241.65</v>
      </c>
      <c r="W1749" s="3">
        <v>20731.099999999999</v>
      </c>
      <c r="X1749" s="3">
        <v>33.450000000000003</v>
      </c>
      <c r="Y1749" s="3">
        <v>149</v>
      </c>
      <c r="Z1749" s="3" t="s">
        <v>23</v>
      </c>
      <c r="AA1749" s="3" t="s">
        <v>100</v>
      </c>
      <c r="AB1749" s="3" t="s">
        <v>101</v>
      </c>
      <c r="AC1749" s="3">
        <v>3</v>
      </c>
    </row>
    <row r="1750" spans="1:29" x14ac:dyDescent="0.3">
      <c r="A1750" s="2" t="s">
        <v>7970</v>
      </c>
      <c r="B1750" s="2" t="s">
        <v>1929</v>
      </c>
      <c r="C1750" s="2" t="s">
        <v>1981</v>
      </c>
      <c r="D1750" s="2" t="s">
        <v>7971</v>
      </c>
      <c r="E1750" s="2" t="s">
        <v>33</v>
      </c>
      <c r="F1750" s="2" t="s">
        <v>2763</v>
      </c>
      <c r="G1750" s="2" t="s">
        <v>2764</v>
      </c>
      <c r="H1750" s="2" t="s">
        <v>3405</v>
      </c>
      <c r="I1750" s="2">
        <v>8</v>
      </c>
      <c r="J1750" s="2" t="s">
        <v>14</v>
      </c>
      <c r="K1750" s="2" t="s">
        <v>183</v>
      </c>
      <c r="L1750" s="2" t="s">
        <v>183</v>
      </c>
      <c r="M1750" s="2" t="s">
        <v>7972</v>
      </c>
      <c r="N1750" s="2" t="s">
        <v>484</v>
      </c>
      <c r="O1750" s="2" t="s">
        <v>13</v>
      </c>
      <c r="P1750" s="2" t="s">
        <v>98</v>
      </c>
      <c r="Q1750" s="2" t="s">
        <v>99</v>
      </c>
      <c r="R1750" s="2">
        <v>2</v>
      </c>
      <c r="S1750" s="2">
        <v>33278.9</v>
      </c>
      <c r="T1750" s="2">
        <v>5</v>
      </c>
      <c r="U1750" s="2">
        <v>63229.91</v>
      </c>
      <c r="V1750" s="2">
        <v>32408.53</v>
      </c>
      <c r="W1750" s="2">
        <v>30821.38</v>
      </c>
      <c r="X1750" s="2">
        <v>48.74</v>
      </c>
      <c r="Y1750" s="2">
        <v>99</v>
      </c>
      <c r="Z1750" s="2" t="s">
        <v>47</v>
      </c>
      <c r="AA1750" s="2" t="s">
        <v>672</v>
      </c>
      <c r="AB1750" s="2" t="s">
        <v>101</v>
      </c>
      <c r="AC1750" s="2"/>
    </row>
    <row r="1751" spans="1:29" x14ac:dyDescent="0.3">
      <c r="A1751" s="3" t="s">
        <v>7973</v>
      </c>
      <c r="B1751" s="3" t="s">
        <v>7974</v>
      </c>
      <c r="C1751" s="3" t="s">
        <v>278</v>
      </c>
      <c r="D1751" s="3" t="s">
        <v>7975</v>
      </c>
      <c r="E1751" s="3" t="s">
        <v>42</v>
      </c>
      <c r="F1751" s="3" t="s">
        <v>397</v>
      </c>
      <c r="G1751" s="3" t="s">
        <v>4356</v>
      </c>
      <c r="H1751" s="3" t="s">
        <v>1547</v>
      </c>
      <c r="I1751" s="3">
        <v>7</v>
      </c>
      <c r="J1751" s="3" t="s">
        <v>29</v>
      </c>
      <c r="K1751" s="3" t="s">
        <v>334</v>
      </c>
      <c r="L1751" s="3" t="s">
        <v>335</v>
      </c>
      <c r="M1751" s="3" t="s">
        <v>2810</v>
      </c>
      <c r="N1751" s="3" t="s">
        <v>390</v>
      </c>
      <c r="O1751" s="3" t="s">
        <v>19</v>
      </c>
      <c r="P1751" s="3" t="s">
        <v>297</v>
      </c>
      <c r="Q1751" s="3" t="s">
        <v>197</v>
      </c>
      <c r="R1751" s="3">
        <v>2</v>
      </c>
      <c r="S1751" s="3">
        <v>25433.33</v>
      </c>
      <c r="T1751" s="3">
        <v>30</v>
      </c>
      <c r="U1751" s="3">
        <v>35606.660000000003</v>
      </c>
      <c r="V1751" s="3">
        <v>17775.830000000002</v>
      </c>
      <c r="W1751" s="3">
        <v>17830.830000000002</v>
      </c>
      <c r="X1751" s="3">
        <v>50.08</v>
      </c>
      <c r="Y1751" s="3">
        <v>29</v>
      </c>
      <c r="Z1751" s="3" t="s">
        <v>43</v>
      </c>
      <c r="AA1751" s="3" t="s">
        <v>275</v>
      </c>
      <c r="AB1751" s="3" t="s">
        <v>101</v>
      </c>
      <c r="AC1751" s="3"/>
    </row>
    <row r="1752" spans="1:29" x14ac:dyDescent="0.3">
      <c r="A1752" s="2" t="s">
        <v>7976</v>
      </c>
      <c r="B1752" s="2" t="s">
        <v>7977</v>
      </c>
      <c r="C1752" s="2" t="s">
        <v>2305</v>
      </c>
      <c r="D1752" s="2" t="s">
        <v>7978</v>
      </c>
      <c r="E1752" s="2" t="s">
        <v>26</v>
      </c>
      <c r="F1752" s="2" t="s">
        <v>190</v>
      </c>
      <c r="G1752" s="2" t="s">
        <v>2752</v>
      </c>
      <c r="H1752" s="2" t="s">
        <v>1219</v>
      </c>
      <c r="I1752" s="2">
        <v>4</v>
      </c>
      <c r="J1752" s="2" t="s">
        <v>29</v>
      </c>
      <c r="K1752" s="2" t="s">
        <v>427</v>
      </c>
      <c r="L1752" s="2" t="s">
        <v>428</v>
      </c>
      <c r="M1752" s="2" t="s">
        <v>7979</v>
      </c>
      <c r="N1752" s="2" t="s">
        <v>788</v>
      </c>
      <c r="O1752" s="2" t="s">
        <v>27</v>
      </c>
      <c r="P1752" s="2" t="s">
        <v>113</v>
      </c>
      <c r="Q1752" s="2" t="s">
        <v>197</v>
      </c>
      <c r="R1752" s="2">
        <v>4</v>
      </c>
      <c r="S1752" s="2">
        <v>5066.16</v>
      </c>
      <c r="T1752" s="2">
        <v>20</v>
      </c>
      <c r="U1752" s="2">
        <v>16211.71</v>
      </c>
      <c r="V1752" s="2">
        <v>10835.88</v>
      </c>
      <c r="W1752" s="2">
        <v>5375.83</v>
      </c>
      <c r="X1752" s="2">
        <v>33.159999999999997</v>
      </c>
      <c r="Y1752" s="2">
        <v>29</v>
      </c>
      <c r="Z1752" s="2" t="s">
        <v>30</v>
      </c>
      <c r="AA1752" s="2" t="s">
        <v>100</v>
      </c>
      <c r="AB1752" s="2" t="s">
        <v>101</v>
      </c>
      <c r="AC1752" s="2">
        <v>3</v>
      </c>
    </row>
    <row r="1753" spans="1:29" x14ac:dyDescent="0.3">
      <c r="A1753" s="3" t="s">
        <v>7980</v>
      </c>
      <c r="B1753" s="3" t="s">
        <v>5873</v>
      </c>
      <c r="C1753" s="3" t="s">
        <v>2291</v>
      </c>
      <c r="D1753" s="3" t="s">
        <v>7981</v>
      </c>
      <c r="E1753" s="3" t="s">
        <v>18</v>
      </c>
      <c r="F1753" s="3" t="s">
        <v>2950</v>
      </c>
      <c r="G1753" s="3" t="s">
        <v>293</v>
      </c>
      <c r="H1753" s="3" t="s">
        <v>294</v>
      </c>
      <c r="I1753" s="3">
        <v>3</v>
      </c>
      <c r="J1753" s="3" t="s">
        <v>29</v>
      </c>
      <c r="K1753" s="3" t="s">
        <v>334</v>
      </c>
      <c r="L1753" s="3" t="s">
        <v>614</v>
      </c>
      <c r="M1753" s="3" t="s">
        <v>5682</v>
      </c>
      <c r="N1753" s="3" t="s">
        <v>418</v>
      </c>
      <c r="O1753" s="3" t="s">
        <v>13</v>
      </c>
      <c r="P1753" s="3" t="s">
        <v>419</v>
      </c>
      <c r="Q1753" s="3" t="s">
        <v>99</v>
      </c>
      <c r="R1753" s="3">
        <v>4</v>
      </c>
      <c r="S1753" s="3">
        <v>30003.82</v>
      </c>
      <c r="T1753" s="3">
        <v>10</v>
      </c>
      <c r="U1753" s="3">
        <v>108013.75</v>
      </c>
      <c r="V1753" s="3">
        <v>62500.74</v>
      </c>
      <c r="W1753" s="3">
        <v>45513.01</v>
      </c>
      <c r="X1753" s="3">
        <v>42.14</v>
      </c>
      <c r="Y1753" s="3">
        <v>29</v>
      </c>
      <c r="Z1753" s="3" t="s">
        <v>40</v>
      </c>
      <c r="AA1753" s="3" t="s">
        <v>275</v>
      </c>
      <c r="AB1753" s="3" t="s">
        <v>101</v>
      </c>
      <c r="AC1753" s="3"/>
    </row>
    <row r="1754" spans="1:29" x14ac:dyDescent="0.3">
      <c r="A1754" s="2" t="s">
        <v>7982</v>
      </c>
      <c r="B1754" s="2" t="s">
        <v>7983</v>
      </c>
      <c r="C1754" s="2" t="s">
        <v>1077</v>
      </c>
      <c r="D1754" s="2" t="s">
        <v>7984</v>
      </c>
      <c r="E1754" s="2" t="s">
        <v>18</v>
      </c>
      <c r="F1754" s="2" t="s">
        <v>6314</v>
      </c>
      <c r="G1754" s="2" t="s">
        <v>1413</v>
      </c>
      <c r="H1754" s="2" t="s">
        <v>2002</v>
      </c>
      <c r="I1754" s="2">
        <v>3</v>
      </c>
      <c r="J1754" s="2" t="s">
        <v>39</v>
      </c>
      <c r="K1754" s="2" t="s">
        <v>314</v>
      </c>
      <c r="L1754" s="2" t="s">
        <v>314</v>
      </c>
      <c r="M1754" s="2" t="s">
        <v>7985</v>
      </c>
      <c r="N1754" s="2" t="s">
        <v>306</v>
      </c>
      <c r="O1754" s="2" t="s">
        <v>21</v>
      </c>
      <c r="P1754" s="2" t="s">
        <v>126</v>
      </c>
      <c r="Q1754" s="2" t="s">
        <v>114</v>
      </c>
      <c r="R1754" s="2">
        <v>4</v>
      </c>
      <c r="S1754" s="2">
        <v>18371.03</v>
      </c>
      <c r="T1754" s="2">
        <v>0</v>
      </c>
      <c r="U1754" s="2">
        <v>73484.12</v>
      </c>
      <c r="V1754" s="2">
        <v>40335.43</v>
      </c>
      <c r="W1754" s="2">
        <v>33148.69</v>
      </c>
      <c r="X1754" s="2">
        <v>45.11</v>
      </c>
      <c r="Y1754" s="2">
        <v>0</v>
      </c>
      <c r="Z1754" s="2" t="s">
        <v>30</v>
      </c>
      <c r="AA1754" s="2" t="s">
        <v>100</v>
      </c>
      <c r="AB1754" s="2" t="s">
        <v>101</v>
      </c>
      <c r="AC1754" s="2"/>
    </row>
    <row r="1755" spans="1:29" x14ac:dyDescent="0.3">
      <c r="A1755" s="3" t="s">
        <v>7986</v>
      </c>
      <c r="B1755" s="3" t="s">
        <v>7987</v>
      </c>
      <c r="C1755" s="3" t="s">
        <v>1233</v>
      </c>
      <c r="D1755" s="3" t="s">
        <v>7988</v>
      </c>
      <c r="E1755" s="3" t="s">
        <v>26</v>
      </c>
      <c r="F1755" s="3" t="s">
        <v>831</v>
      </c>
      <c r="G1755" s="3" t="s">
        <v>3242</v>
      </c>
      <c r="H1755" s="3" t="s">
        <v>5512</v>
      </c>
      <c r="I1755" s="3">
        <v>3</v>
      </c>
      <c r="J1755" s="3" t="s">
        <v>29</v>
      </c>
      <c r="K1755" s="3" t="s">
        <v>334</v>
      </c>
      <c r="L1755" s="3" t="s">
        <v>614</v>
      </c>
      <c r="M1755" s="3" t="s">
        <v>7989</v>
      </c>
      <c r="N1755" s="3" t="s">
        <v>409</v>
      </c>
      <c r="O1755" s="3" t="s">
        <v>21</v>
      </c>
      <c r="P1755" s="3" t="s">
        <v>196</v>
      </c>
      <c r="Q1755" s="3" t="s">
        <v>138</v>
      </c>
      <c r="R1755" s="3">
        <v>3</v>
      </c>
      <c r="S1755" s="3">
        <v>37174.730000000003</v>
      </c>
      <c r="T1755" s="3">
        <v>30</v>
      </c>
      <c r="U1755" s="3">
        <v>78066.929999999993</v>
      </c>
      <c r="V1755" s="3">
        <v>36805.43</v>
      </c>
      <c r="W1755" s="3">
        <v>41261.5</v>
      </c>
      <c r="X1755" s="3">
        <v>52.85</v>
      </c>
      <c r="Y1755" s="3">
        <v>99</v>
      </c>
      <c r="Z1755" s="3" t="s">
        <v>48</v>
      </c>
      <c r="AA1755" s="3" t="s">
        <v>186</v>
      </c>
      <c r="AB1755" s="3" t="s">
        <v>101</v>
      </c>
      <c r="AC1755" s="3"/>
    </row>
    <row r="1756" spans="1:29" x14ac:dyDescent="0.3">
      <c r="A1756" s="2" t="s">
        <v>7990</v>
      </c>
      <c r="B1756" s="2" t="s">
        <v>7991</v>
      </c>
      <c r="C1756" s="2" t="s">
        <v>1782</v>
      </c>
      <c r="D1756" s="2" t="s">
        <v>7992</v>
      </c>
      <c r="E1756" s="2" t="s">
        <v>42</v>
      </c>
      <c r="F1756" s="2" t="s">
        <v>1869</v>
      </c>
      <c r="G1756" s="2" t="s">
        <v>396</v>
      </c>
      <c r="H1756" s="2" t="s">
        <v>2618</v>
      </c>
      <c r="I1756" s="2">
        <v>6</v>
      </c>
      <c r="J1756" s="2" t="s">
        <v>22</v>
      </c>
      <c r="K1756" s="2" t="s">
        <v>122</v>
      </c>
      <c r="L1756" s="2" t="s">
        <v>236</v>
      </c>
      <c r="M1756" s="2" t="s">
        <v>7993</v>
      </c>
      <c r="N1756" s="2" t="s">
        <v>852</v>
      </c>
      <c r="O1756" s="2" t="s">
        <v>27</v>
      </c>
      <c r="P1756" s="2" t="s">
        <v>175</v>
      </c>
      <c r="Q1756" s="2" t="s">
        <v>127</v>
      </c>
      <c r="R1756" s="2">
        <v>3</v>
      </c>
      <c r="S1756" s="2">
        <v>44501.23</v>
      </c>
      <c r="T1756" s="2">
        <v>20</v>
      </c>
      <c r="U1756" s="2">
        <v>106802.95</v>
      </c>
      <c r="V1756" s="2">
        <v>73385.38</v>
      </c>
      <c r="W1756" s="2">
        <v>33417.57</v>
      </c>
      <c r="X1756" s="2">
        <v>31.29</v>
      </c>
      <c r="Y1756" s="2">
        <v>49</v>
      </c>
      <c r="Z1756" s="2" t="s">
        <v>48</v>
      </c>
      <c r="AA1756" s="2" t="s">
        <v>100</v>
      </c>
      <c r="AB1756" s="2" t="s">
        <v>101</v>
      </c>
      <c r="AC1756" s="2">
        <v>3</v>
      </c>
    </row>
    <row r="1757" spans="1:29" x14ac:dyDescent="0.3">
      <c r="A1757" s="3" t="s">
        <v>7994</v>
      </c>
      <c r="B1757" s="3" t="s">
        <v>7995</v>
      </c>
      <c r="C1757" s="3" t="s">
        <v>1989</v>
      </c>
      <c r="D1757" s="3" t="s">
        <v>7996</v>
      </c>
      <c r="E1757" s="3" t="s">
        <v>26</v>
      </c>
      <c r="F1757" s="3" t="s">
        <v>4858</v>
      </c>
      <c r="G1757" s="3" t="s">
        <v>3698</v>
      </c>
      <c r="H1757" s="3" t="s">
        <v>3316</v>
      </c>
      <c r="I1757" s="3">
        <v>4</v>
      </c>
      <c r="J1757" s="3" t="s">
        <v>29</v>
      </c>
      <c r="K1757" s="3" t="s">
        <v>148</v>
      </c>
      <c r="L1757" s="3" t="s">
        <v>148</v>
      </c>
      <c r="M1757" s="3" t="s">
        <v>7997</v>
      </c>
      <c r="N1757" s="3" t="s">
        <v>931</v>
      </c>
      <c r="O1757" s="3" t="s">
        <v>13</v>
      </c>
      <c r="P1757" s="3" t="s">
        <v>419</v>
      </c>
      <c r="Q1757" s="3" t="s">
        <v>246</v>
      </c>
      <c r="R1757" s="3">
        <v>2</v>
      </c>
      <c r="S1757" s="3">
        <v>20504.09</v>
      </c>
      <c r="T1757" s="3">
        <v>15</v>
      </c>
      <c r="U1757" s="3">
        <v>34856.949999999997</v>
      </c>
      <c r="V1757" s="3">
        <v>22534.560000000001</v>
      </c>
      <c r="W1757" s="3">
        <v>12322.39</v>
      </c>
      <c r="X1757" s="3">
        <v>35.35</v>
      </c>
      <c r="Y1757" s="3">
        <v>199</v>
      </c>
      <c r="Z1757" s="3" t="s">
        <v>48</v>
      </c>
      <c r="AA1757" s="3" t="s">
        <v>100</v>
      </c>
      <c r="AB1757" s="3" t="s">
        <v>101</v>
      </c>
      <c r="AC1757" s="3"/>
    </row>
    <row r="1758" spans="1:29" x14ac:dyDescent="0.3">
      <c r="A1758" s="2" t="s">
        <v>7998</v>
      </c>
      <c r="B1758" s="2" t="s">
        <v>7999</v>
      </c>
      <c r="C1758" s="2" t="s">
        <v>210</v>
      </c>
      <c r="D1758" s="2" t="s">
        <v>8000</v>
      </c>
      <c r="E1758" s="2" t="s">
        <v>33</v>
      </c>
      <c r="F1758" s="2" t="s">
        <v>3802</v>
      </c>
      <c r="G1758" s="2" t="s">
        <v>1609</v>
      </c>
      <c r="H1758" s="2" t="s">
        <v>7023</v>
      </c>
      <c r="I1758" s="2">
        <v>2</v>
      </c>
      <c r="J1758" s="2" t="s">
        <v>22</v>
      </c>
      <c r="K1758" s="2" t="s">
        <v>254</v>
      </c>
      <c r="L1758" s="2" t="s">
        <v>254</v>
      </c>
      <c r="M1758" s="2" t="s">
        <v>8001</v>
      </c>
      <c r="N1758" s="2" t="s">
        <v>616</v>
      </c>
      <c r="O1758" s="2" t="s">
        <v>21</v>
      </c>
      <c r="P1758" s="2" t="s">
        <v>206</v>
      </c>
      <c r="Q1758" s="2" t="s">
        <v>400</v>
      </c>
      <c r="R1758" s="2">
        <v>4</v>
      </c>
      <c r="S1758" s="2">
        <v>21569.55</v>
      </c>
      <c r="T1758" s="2">
        <v>0</v>
      </c>
      <c r="U1758" s="2">
        <v>86278.2</v>
      </c>
      <c r="V1758" s="2">
        <v>43816.480000000003</v>
      </c>
      <c r="W1758" s="2">
        <v>42461.72</v>
      </c>
      <c r="X1758" s="2">
        <v>49.21</v>
      </c>
      <c r="Y1758" s="2">
        <v>199</v>
      </c>
      <c r="Z1758" s="2" t="s">
        <v>23</v>
      </c>
      <c r="AA1758" s="2" t="s">
        <v>100</v>
      </c>
      <c r="AB1758" s="2" t="s">
        <v>101</v>
      </c>
      <c r="AC1758" s="2">
        <v>2</v>
      </c>
    </row>
    <row r="1759" spans="1:29" x14ac:dyDescent="0.3">
      <c r="A1759" s="3" t="s">
        <v>8002</v>
      </c>
      <c r="B1759" s="3" t="s">
        <v>8003</v>
      </c>
      <c r="C1759" s="3" t="s">
        <v>1433</v>
      </c>
      <c r="D1759" s="3" t="s">
        <v>8004</v>
      </c>
      <c r="E1759" s="3" t="s">
        <v>18</v>
      </c>
      <c r="F1759" s="3" t="s">
        <v>921</v>
      </c>
      <c r="G1759" s="3" t="s">
        <v>4127</v>
      </c>
      <c r="H1759" s="3" t="s">
        <v>6094</v>
      </c>
      <c r="I1759" s="3">
        <v>6</v>
      </c>
      <c r="J1759" s="3" t="s">
        <v>29</v>
      </c>
      <c r="K1759" s="3" t="s">
        <v>834</v>
      </c>
      <c r="L1759" s="3" t="s">
        <v>1000</v>
      </c>
      <c r="M1759" s="3" t="s">
        <v>8005</v>
      </c>
      <c r="N1759" s="3" t="s">
        <v>722</v>
      </c>
      <c r="O1759" s="3" t="s">
        <v>27</v>
      </c>
      <c r="P1759" s="3" t="s">
        <v>175</v>
      </c>
      <c r="Q1759" s="3" t="s">
        <v>246</v>
      </c>
      <c r="R1759" s="3">
        <v>2</v>
      </c>
      <c r="S1759" s="3">
        <v>4727.46</v>
      </c>
      <c r="T1759" s="3">
        <v>20</v>
      </c>
      <c r="U1759" s="3">
        <v>7563.94</v>
      </c>
      <c r="V1759" s="3">
        <v>4987.96</v>
      </c>
      <c r="W1759" s="3">
        <v>2575.98</v>
      </c>
      <c r="X1759" s="3">
        <v>34.06</v>
      </c>
      <c r="Y1759" s="3">
        <v>199</v>
      </c>
      <c r="Z1759" s="3" t="s">
        <v>15</v>
      </c>
      <c r="AA1759" s="3" t="s">
        <v>186</v>
      </c>
      <c r="AB1759" s="3" t="s">
        <v>101</v>
      </c>
      <c r="AC1759" s="3"/>
    </row>
    <row r="1760" spans="1:29" x14ac:dyDescent="0.3">
      <c r="A1760" s="2" t="s">
        <v>8006</v>
      </c>
      <c r="B1760" s="2" t="s">
        <v>8007</v>
      </c>
      <c r="C1760" s="2" t="s">
        <v>1273</v>
      </c>
      <c r="D1760" s="2" t="s">
        <v>8008</v>
      </c>
      <c r="E1760" s="2" t="s">
        <v>42</v>
      </c>
      <c r="F1760" s="2" t="s">
        <v>3302</v>
      </c>
      <c r="G1760" s="2" t="s">
        <v>2408</v>
      </c>
      <c r="H1760" s="2" t="s">
        <v>1255</v>
      </c>
      <c r="I1760" s="2">
        <v>4</v>
      </c>
      <c r="J1760" s="2" t="s">
        <v>14</v>
      </c>
      <c r="K1760" s="2" t="s">
        <v>215</v>
      </c>
      <c r="L1760" s="2" t="s">
        <v>215</v>
      </c>
      <c r="M1760" s="2" t="s">
        <v>8009</v>
      </c>
      <c r="N1760" s="2" t="s">
        <v>354</v>
      </c>
      <c r="O1760" s="2" t="s">
        <v>21</v>
      </c>
      <c r="P1760" s="2" t="s">
        <v>196</v>
      </c>
      <c r="Q1760" s="2" t="s">
        <v>114</v>
      </c>
      <c r="R1760" s="2">
        <v>5</v>
      </c>
      <c r="S1760" s="2">
        <v>6461.46</v>
      </c>
      <c r="T1760" s="2">
        <v>15</v>
      </c>
      <c r="U1760" s="2">
        <v>27461.200000000001</v>
      </c>
      <c r="V1760" s="2">
        <v>14603.03</v>
      </c>
      <c r="W1760" s="2">
        <v>12858.17</v>
      </c>
      <c r="X1760" s="2">
        <v>46.82</v>
      </c>
      <c r="Y1760" s="2">
        <v>0</v>
      </c>
      <c r="Z1760" s="2" t="s">
        <v>40</v>
      </c>
      <c r="AA1760" s="2" t="s">
        <v>100</v>
      </c>
      <c r="AB1760" s="2" t="s">
        <v>101</v>
      </c>
      <c r="AC1760" s="2">
        <v>1</v>
      </c>
    </row>
    <row r="1761" spans="1:29" x14ac:dyDescent="0.3">
      <c r="A1761" s="3" t="s">
        <v>8010</v>
      </c>
      <c r="B1761" s="3" t="s">
        <v>6969</v>
      </c>
      <c r="C1761" s="3" t="s">
        <v>2651</v>
      </c>
      <c r="D1761" s="3" t="s">
        <v>8011</v>
      </c>
      <c r="E1761" s="3" t="s">
        <v>33</v>
      </c>
      <c r="F1761" s="3" t="s">
        <v>2666</v>
      </c>
      <c r="G1761" s="3" t="s">
        <v>894</v>
      </c>
      <c r="H1761" s="3" t="s">
        <v>803</v>
      </c>
      <c r="I1761" s="3">
        <v>2</v>
      </c>
      <c r="J1761" s="3" t="s">
        <v>39</v>
      </c>
      <c r="K1761" s="3" t="s">
        <v>314</v>
      </c>
      <c r="L1761" s="3" t="s">
        <v>314</v>
      </c>
      <c r="M1761" s="3" t="s">
        <v>8012</v>
      </c>
      <c r="N1761" s="3" t="s">
        <v>274</v>
      </c>
      <c r="O1761" s="3" t="s">
        <v>21</v>
      </c>
      <c r="P1761" s="3" t="s">
        <v>126</v>
      </c>
      <c r="Q1761" s="3" t="s">
        <v>355</v>
      </c>
      <c r="R1761" s="3">
        <v>1</v>
      </c>
      <c r="S1761" s="3">
        <v>6289.48</v>
      </c>
      <c r="T1761" s="3">
        <v>15</v>
      </c>
      <c r="U1761" s="3">
        <v>5346.06</v>
      </c>
      <c r="V1761" s="3">
        <v>2921.03</v>
      </c>
      <c r="W1761" s="3">
        <v>2425.0300000000002</v>
      </c>
      <c r="X1761" s="3">
        <v>45.36</v>
      </c>
      <c r="Y1761" s="3">
        <v>29</v>
      </c>
      <c r="Z1761" s="3" t="s">
        <v>15</v>
      </c>
      <c r="AA1761" s="3" t="s">
        <v>100</v>
      </c>
      <c r="AB1761" s="3" t="s">
        <v>101</v>
      </c>
      <c r="AC1761" s="3">
        <v>2</v>
      </c>
    </row>
    <row r="1762" spans="1:29" x14ac:dyDescent="0.3">
      <c r="A1762" s="2" t="s">
        <v>8013</v>
      </c>
      <c r="B1762" s="2" t="s">
        <v>8014</v>
      </c>
      <c r="C1762" s="2" t="s">
        <v>1981</v>
      </c>
      <c r="D1762" s="2" t="s">
        <v>8015</v>
      </c>
      <c r="E1762" s="2" t="s">
        <v>18</v>
      </c>
      <c r="F1762" s="2" t="s">
        <v>1632</v>
      </c>
      <c r="G1762" s="2" t="s">
        <v>1344</v>
      </c>
      <c r="H1762" s="2" t="s">
        <v>2167</v>
      </c>
      <c r="I1762" s="2">
        <v>8</v>
      </c>
      <c r="J1762" s="2" t="s">
        <v>22</v>
      </c>
      <c r="K1762" s="2" t="s">
        <v>283</v>
      </c>
      <c r="L1762" s="2" t="s">
        <v>1346</v>
      </c>
      <c r="M1762" s="2" t="s">
        <v>7109</v>
      </c>
      <c r="N1762" s="2" t="s">
        <v>286</v>
      </c>
      <c r="O1762" s="2" t="s">
        <v>28</v>
      </c>
      <c r="P1762" s="2" t="s">
        <v>137</v>
      </c>
      <c r="Q1762" s="2" t="s">
        <v>207</v>
      </c>
      <c r="R1762" s="2">
        <v>1</v>
      </c>
      <c r="S1762" s="2">
        <v>2938.18</v>
      </c>
      <c r="T1762" s="2">
        <v>5</v>
      </c>
      <c r="U1762" s="2">
        <v>2791.27</v>
      </c>
      <c r="V1762" s="2">
        <v>1389.61</v>
      </c>
      <c r="W1762" s="2">
        <v>1401.66</v>
      </c>
      <c r="X1762" s="2">
        <v>50.22</v>
      </c>
      <c r="Y1762" s="2">
        <v>199</v>
      </c>
      <c r="Z1762" s="2" t="s">
        <v>30</v>
      </c>
      <c r="AA1762" s="2" t="s">
        <v>100</v>
      </c>
      <c r="AB1762" s="2" t="s">
        <v>101</v>
      </c>
      <c r="AC1762" s="2">
        <v>5</v>
      </c>
    </row>
    <row r="1763" spans="1:29" x14ac:dyDescent="0.3">
      <c r="A1763" s="3" t="s">
        <v>8016</v>
      </c>
      <c r="B1763" s="3" t="s">
        <v>2241</v>
      </c>
      <c r="C1763" s="3" t="s">
        <v>1866</v>
      </c>
      <c r="D1763" s="3" t="s">
        <v>8017</v>
      </c>
      <c r="E1763" s="3" t="s">
        <v>26</v>
      </c>
      <c r="F1763" s="3" t="s">
        <v>1633</v>
      </c>
      <c r="G1763" s="3" t="s">
        <v>2980</v>
      </c>
      <c r="H1763" s="3" t="s">
        <v>1889</v>
      </c>
      <c r="I1763" s="3">
        <v>8</v>
      </c>
      <c r="J1763" s="3" t="s">
        <v>22</v>
      </c>
      <c r="K1763" s="3" t="s">
        <v>283</v>
      </c>
      <c r="L1763" s="3" t="s">
        <v>284</v>
      </c>
      <c r="M1763" s="3" t="s">
        <v>8018</v>
      </c>
      <c r="N1763" s="3" t="s">
        <v>1188</v>
      </c>
      <c r="O1763" s="3" t="s">
        <v>27</v>
      </c>
      <c r="P1763" s="3" t="s">
        <v>257</v>
      </c>
      <c r="Q1763" s="3" t="s">
        <v>138</v>
      </c>
      <c r="R1763" s="3">
        <v>4</v>
      </c>
      <c r="S1763" s="3">
        <v>41696.85</v>
      </c>
      <c r="T1763" s="3">
        <v>15</v>
      </c>
      <c r="U1763" s="3">
        <v>141769.29</v>
      </c>
      <c r="V1763" s="3">
        <v>87400.92</v>
      </c>
      <c r="W1763" s="3">
        <v>54368.37</v>
      </c>
      <c r="X1763" s="3">
        <v>38.35</v>
      </c>
      <c r="Y1763" s="3">
        <v>149</v>
      </c>
      <c r="Z1763" s="3" t="s">
        <v>47</v>
      </c>
      <c r="AA1763" s="3" t="s">
        <v>672</v>
      </c>
      <c r="AB1763" s="3" t="s">
        <v>101</v>
      </c>
      <c r="AC1763" s="3"/>
    </row>
    <row r="1764" spans="1:29" x14ac:dyDescent="0.3">
      <c r="A1764" s="2" t="s">
        <v>8019</v>
      </c>
      <c r="B1764" s="2" t="s">
        <v>3951</v>
      </c>
      <c r="C1764" s="2" t="s">
        <v>1273</v>
      </c>
      <c r="D1764" s="2" t="s">
        <v>8020</v>
      </c>
      <c r="E1764" s="2" t="s">
        <v>18</v>
      </c>
      <c r="F1764" s="2" t="s">
        <v>2747</v>
      </c>
      <c r="G1764" s="2" t="s">
        <v>3615</v>
      </c>
      <c r="H1764" s="2" t="s">
        <v>3015</v>
      </c>
      <c r="I1764" s="2">
        <v>4</v>
      </c>
      <c r="J1764" s="2" t="s">
        <v>29</v>
      </c>
      <c r="K1764" s="2" t="s">
        <v>834</v>
      </c>
      <c r="L1764" s="2" t="s">
        <v>835</v>
      </c>
      <c r="M1764" s="2" t="s">
        <v>8021</v>
      </c>
      <c r="N1764" s="2" t="s">
        <v>195</v>
      </c>
      <c r="O1764" s="2" t="s">
        <v>21</v>
      </c>
      <c r="P1764" s="2" t="s">
        <v>196</v>
      </c>
      <c r="Q1764" s="2" t="s">
        <v>114</v>
      </c>
      <c r="R1764" s="2">
        <v>4</v>
      </c>
      <c r="S1764" s="2">
        <v>5238.1499999999996</v>
      </c>
      <c r="T1764" s="2">
        <v>0</v>
      </c>
      <c r="U1764" s="2">
        <v>20952.599999999999</v>
      </c>
      <c r="V1764" s="2">
        <v>9912.5499999999993</v>
      </c>
      <c r="W1764" s="2">
        <v>11040.05</v>
      </c>
      <c r="X1764" s="2">
        <v>52.69</v>
      </c>
      <c r="Y1764" s="2">
        <v>49</v>
      </c>
      <c r="Z1764" s="2" t="s">
        <v>23</v>
      </c>
      <c r="AA1764" s="2" t="s">
        <v>100</v>
      </c>
      <c r="AB1764" s="2" t="s">
        <v>101</v>
      </c>
      <c r="AC1764" s="2">
        <v>5</v>
      </c>
    </row>
    <row r="1765" spans="1:29" x14ac:dyDescent="0.3">
      <c r="A1765" s="3" t="s">
        <v>8022</v>
      </c>
      <c r="B1765" s="3" t="s">
        <v>8023</v>
      </c>
      <c r="C1765" s="3" t="s">
        <v>4068</v>
      </c>
      <c r="D1765" s="3" t="s">
        <v>8024</v>
      </c>
      <c r="E1765" s="3" t="s">
        <v>33</v>
      </c>
      <c r="F1765" s="3" t="s">
        <v>3256</v>
      </c>
      <c r="G1765" s="3" t="s">
        <v>3945</v>
      </c>
      <c r="H1765" s="3" t="s">
        <v>1072</v>
      </c>
      <c r="I1765" s="3">
        <v>7</v>
      </c>
      <c r="J1765" s="3" t="s">
        <v>22</v>
      </c>
      <c r="K1765" s="3" t="s">
        <v>122</v>
      </c>
      <c r="L1765" s="3" t="s">
        <v>812</v>
      </c>
      <c r="M1765" s="3" t="s">
        <v>8025</v>
      </c>
      <c r="N1765" s="3" t="s">
        <v>446</v>
      </c>
      <c r="O1765" s="3" t="s">
        <v>19</v>
      </c>
      <c r="P1765" s="3" t="s">
        <v>447</v>
      </c>
      <c r="Q1765" s="3" t="s">
        <v>99</v>
      </c>
      <c r="R1765" s="3">
        <v>2</v>
      </c>
      <c r="S1765" s="3">
        <v>29382.03</v>
      </c>
      <c r="T1765" s="3">
        <v>10</v>
      </c>
      <c r="U1765" s="3">
        <v>52887.65</v>
      </c>
      <c r="V1765" s="3">
        <v>28423.759999999998</v>
      </c>
      <c r="W1765" s="3">
        <v>24463.89</v>
      </c>
      <c r="X1765" s="3">
        <v>46.26</v>
      </c>
      <c r="Y1765" s="3">
        <v>99</v>
      </c>
      <c r="Z1765" s="3" t="s">
        <v>43</v>
      </c>
      <c r="AA1765" s="3" t="s">
        <v>100</v>
      </c>
      <c r="AB1765" s="3" t="s">
        <v>101</v>
      </c>
      <c r="AC1765" s="3">
        <v>1</v>
      </c>
    </row>
    <row r="1766" spans="1:29" x14ac:dyDescent="0.3">
      <c r="A1766" s="2" t="s">
        <v>8026</v>
      </c>
      <c r="B1766" s="2" t="s">
        <v>8027</v>
      </c>
      <c r="C1766" s="2" t="s">
        <v>995</v>
      </c>
      <c r="D1766" s="2" t="s">
        <v>8028</v>
      </c>
      <c r="E1766" s="2" t="s">
        <v>18</v>
      </c>
      <c r="F1766" s="2" t="s">
        <v>1048</v>
      </c>
      <c r="G1766" s="2" t="s">
        <v>1049</v>
      </c>
      <c r="H1766" s="2" t="s">
        <v>4268</v>
      </c>
      <c r="I1766" s="2">
        <v>7</v>
      </c>
      <c r="J1766" s="2" t="s">
        <v>14</v>
      </c>
      <c r="K1766" s="2" t="s">
        <v>183</v>
      </c>
      <c r="L1766" s="2" t="s">
        <v>183</v>
      </c>
      <c r="M1766" s="2" t="s">
        <v>8029</v>
      </c>
      <c r="N1766" s="2" t="s">
        <v>1223</v>
      </c>
      <c r="O1766" s="2" t="s">
        <v>19</v>
      </c>
      <c r="P1766" s="2" t="s">
        <v>447</v>
      </c>
      <c r="Q1766" s="2" t="s">
        <v>287</v>
      </c>
      <c r="R1766" s="2">
        <v>2</v>
      </c>
      <c r="S1766" s="2">
        <v>36998.300000000003</v>
      </c>
      <c r="T1766" s="2">
        <v>5</v>
      </c>
      <c r="U1766" s="2">
        <v>70296.77</v>
      </c>
      <c r="V1766" s="2">
        <v>34688.86</v>
      </c>
      <c r="W1766" s="2">
        <v>35607.910000000003</v>
      </c>
      <c r="X1766" s="2">
        <v>50.65</v>
      </c>
      <c r="Y1766" s="2">
        <v>99</v>
      </c>
      <c r="Z1766" s="2" t="s">
        <v>15</v>
      </c>
      <c r="AA1766" s="2" t="s">
        <v>100</v>
      </c>
      <c r="AB1766" s="2" t="s">
        <v>140</v>
      </c>
      <c r="AC1766" s="2">
        <v>4</v>
      </c>
    </row>
    <row r="1767" spans="1:29" x14ac:dyDescent="0.3">
      <c r="A1767" s="3" t="s">
        <v>8030</v>
      </c>
      <c r="B1767" s="3" t="s">
        <v>7829</v>
      </c>
      <c r="C1767" s="3" t="s">
        <v>1273</v>
      </c>
      <c r="D1767" s="3" t="s">
        <v>8031</v>
      </c>
      <c r="E1767" s="3" t="s">
        <v>42</v>
      </c>
      <c r="F1767" s="3" t="s">
        <v>3630</v>
      </c>
      <c r="G1767" s="3" t="s">
        <v>3802</v>
      </c>
      <c r="H1767" s="3" t="s">
        <v>1402</v>
      </c>
      <c r="I1767" s="3">
        <v>6</v>
      </c>
      <c r="J1767" s="3" t="s">
        <v>22</v>
      </c>
      <c r="K1767" s="3" t="s">
        <v>254</v>
      </c>
      <c r="L1767" s="3" t="s">
        <v>254</v>
      </c>
      <c r="M1767" s="3" t="s">
        <v>8032</v>
      </c>
      <c r="N1767" s="3" t="s">
        <v>533</v>
      </c>
      <c r="O1767" s="3" t="s">
        <v>19</v>
      </c>
      <c r="P1767" s="3" t="s">
        <v>297</v>
      </c>
      <c r="Q1767" s="3" t="s">
        <v>246</v>
      </c>
      <c r="R1767" s="3">
        <v>5</v>
      </c>
      <c r="S1767" s="3">
        <v>12264.99</v>
      </c>
      <c r="T1767" s="3">
        <v>0</v>
      </c>
      <c r="U1767" s="3">
        <v>61324.95</v>
      </c>
      <c r="V1767" s="3">
        <v>38907.800000000003</v>
      </c>
      <c r="W1767" s="3">
        <v>22417.15</v>
      </c>
      <c r="X1767" s="3">
        <v>36.549999999999997</v>
      </c>
      <c r="Y1767" s="3">
        <v>0</v>
      </c>
      <c r="Z1767" s="3" t="s">
        <v>40</v>
      </c>
      <c r="AA1767" s="3" t="s">
        <v>100</v>
      </c>
      <c r="AB1767" s="3" t="s">
        <v>101</v>
      </c>
      <c r="AC1767" s="3">
        <v>5</v>
      </c>
    </row>
    <row r="1768" spans="1:29" x14ac:dyDescent="0.3">
      <c r="A1768" s="2" t="s">
        <v>8033</v>
      </c>
      <c r="B1768" s="2" t="s">
        <v>8034</v>
      </c>
      <c r="C1768" s="2" t="s">
        <v>2110</v>
      </c>
      <c r="D1768" s="2" t="s">
        <v>8035</v>
      </c>
      <c r="E1768" s="2" t="s">
        <v>18</v>
      </c>
      <c r="F1768" s="2" t="s">
        <v>3322</v>
      </c>
      <c r="G1768" s="2" t="s">
        <v>332</v>
      </c>
      <c r="H1768" s="2" t="s">
        <v>691</v>
      </c>
      <c r="I1768" s="2">
        <v>3</v>
      </c>
      <c r="J1768" s="2" t="s">
        <v>14</v>
      </c>
      <c r="K1768" s="2" t="s">
        <v>171</v>
      </c>
      <c r="L1768" s="2" t="s">
        <v>172</v>
      </c>
      <c r="M1768" s="2" t="s">
        <v>8036</v>
      </c>
      <c r="N1768" s="2" t="s">
        <v>1535</v>
      </c>
      <c r="O1768" s="2" t="s">
        <v>13</v>
      </c>
      <c r="P1768" s="2" t="s">
        <v>98</v>
      </c>
      <c r="Q1768" s="2" t="s">
        <v>218</v>
      </c>
      <c r="R1768" s="2">
        <v>5</v>
      </c>
      <c r="S1768" s="2">
        <v>15117.1</v>
      </c>
      <c r="T1768" s="2">
        <v>0</v>
      </c>
      <c r="U1768" s="2">
        <v>75585.5</v>
      </c>
      <c r="V1768" s="2">
        <v>42410.74</v>
      </c>
      <c r="W1768" s="2">
        <v>33174.76</v>
      </c>
      <c r="X1768" s="2">
        <v>43.89</v>
      </c>
      <c r="Y1768" s="2">
        <v>49</v>
      </c>
      <c r="Z1768" s="2" t="s">
        <v>30</v>
      </c>
      <c r="AA1768" s="2" t="s">
        <v>186</v>
      </c>
      <c r="AB1768" s="2" t="s">
        <v>101</v>
      </c>
      <c r="AC1768" s="2"/>
    </row>
    <row r="1769" spans="1:29" x14ac:dyDescent="0.3">
      <c r="A1769" s="3" t="s">
        <v>8037</v>
      </c>
      <c r="B1769" s="3" t="s">
        <v>1682</v>
      </c>
      <c r="C1769" s="3" t="s">
        <v>774</v>
      </c>
      <c r="D1769" s="3" t="s">
        <v>8038</v>
      </c>
      <c r="E1769" s="3" t="s">
        <v>18</v>
      </c>
      <c r="F1769" s="3" t="s">
        <v>574</v>
      </c>
      <c r="G1769" s="3" t="s">
        <v>3844</v>
      </c>
      <c r="H1769" s="3" t="s">
        <v>2216</v>
      </c>
      <c r="I1769" s="3">
        <v>8</v>
      </c>
      <c r="J1769" s="3" t="s">
        <v>22</v>
      </c>
      <c r="K1769" s="3" t="s">
        <v>443</v>
      </c>
      <c r="L1769" s="3" t="s">
        <v>444</v>
      </c>
      <c r="M1769" s="3" t="s">
        <v>8039</v>
      </c>
      <c r="N1769" s="3" t="s">
        <v>195</v>
      </c>
      <c r="O1769" s="3" t="s">
        <v>21</v>
      </c>
      <c r="P1769" s="3" t="s">
        <v>196</v>
      </c>
      <c r="Q1769" s="3" t="s">
        <v>287</v>
      </c>
      <c r="R1769" s="3">
        <v>1</v>
      </c>
      <c r="S1769" s="3">
        <v>29623.59</v>
      </c>
      <c r="T1769" s="3">
        <v>30</v>
      </c>
      <c r="U1769" s="3">
        <v>20736.509999999998</v>
      </c>
      <c r="V1769" s="3">
        <v>14505.13</v>
      </c>
      <c r="W1769" s="3">
        <v>6231.38</v>
      </c>
      <c r="X1769" s="3">
        <v>30.05</v>
      </c>
      <c r="Y1769" s="3">
        <v>29</v>
      </c>
      <c r="Z1769" s="3" t="s">
        <v>47</v>
      </c>
      <c r="AA1769" s="3" t="s">
        <v>100</v>
      </c>
      <c r="AB1769" s="3" t="s">
        <v>101</v>
      </c>
      <c r="AC1769" s="3"/>
    </row>
    <row r="1770" spans="1:29" x14ac:dyDescent="0.3">
      <c r="A1770" s="2" t="s">
        <v>8040</v>
      </c>
      <c r="B1770" s="2" t="s">
        <v>3759</v>
      </c>
      <c r="C1770" s="2" t="s">
        <v>319</v>
      </c>
      <c r="D1770" s="2" t="s">
        <v>8041</v>
      </c>
      <c r="E1770" s="2" t="s">
        <v>18</v>
      </c>
      <c r="F1770" s="2" t="s">
        <v>1652</v>
      </c>
      <c r="G1770" s="2" t="s">
        <v>1653</v>
      </c>
      <c r="H1770" s="2" t="s">
        <v>1654</v>
      </c>
      <c r="I1770" s="2">
        <v>7</v>
      </c>
      <c r="J1770" s="2" t="s">
        <v>39</v>
      </c>
      <c r="K1770" s="2" t="s">
        <v>314</v>
      </c>
      <c r="L1770" s="2" t="s">
        <v>314</v>
      </c>
      <c r="M1770" s="2" t="s">
        <v>8042</v>
      </c>
      <c r="N1770" s="2" t="s">
        <v>227</v>
      </c>
      <c r="O1770" s="2" t="s">
        <v>13</v>
      </c>
      <c r="P1770" s="2" t="s">
        <v>228</v>
      </c>
      <c r="Q1770" s="2" t="s">
        <v>152</v>
      </c>
      <c r="R1770" s="2">
        <v>5</v>
      </c>
      <c r="S1770" s="2">
        <v>35755.519999999997</v>
      </c>
      <c r="T1770" s="2">
        <v>10</v>
      </c>
      <c r="U1770" s="2">
        <v>160899.84</v>
      </c>
      <c r="V1770" s="2">
        <v>73892.740000000005</v>
      </c>
      <c r="W1770" s="2">
        <v>87007.1</v>
      </c>
      <c r="X1770" s="2">
        <v>54.08</v>
      </c>
      <c r="Y1770" s="2">
        <v>149</v>
      </c>
      <c r="Z1770" s="2" t="s">
        <v>23</v>
      </c>
      <c r="AA1770" s="2" t="s">
        <v>275</v>
      </c>
      <c r="AB1770" s="2" t="s">
        <v>101</v>
      </c>
      <c r="AC1770" s="2"/>
    </row>
    <row r="1771" spans="1:29" x14ac:dyDescent="0.3">
      <c r="A1771" s="3" t="s">
        <v>8043</v>
      </c>
      <c r="B1771" s="3" t="s">
        <v>8044</v>
      </c>
      <c r="C1771" s="3" t="s">
        <v>2882</v>
      </c>
      <c r="D1771" s="3" t="s">
        <v>8045</v>
      </c>
      <c r="E1771" s="3" t="s">
        <v>26</v>
      </c>
      <c r="F1771" s="3" t="s">
        <v>3973</v>
      </c>
      <c r="G1771" s="3" t="s">
        <v>1359</v>
      </c>
      <c r="H1771" s="3" t="s">
        <v>1811</v>
      </c>
      <c r="I1771" s="3">
        <v>3</v>
      </c>
      <c r="J1771" s="3" t="s">
        <v>29</v>
      </c>
      <c r="K1771" s="3" t="s">
        <v>834</v>
      </c>
      <c r="L1771" s="3" t="s">
        <v>835</v>
      </c>
      <c r="M1771" s="3" t="s">
        <v>8046</v>
      </c>
      <c r="N1771" s="3" t="s">
        <v>592</v>
      </c>
      <c r="O1771" s="3" t="s">
        <v>21</v>
      </c>
      <c r="P1771" s="3" t="s">
        <v>206</v>
      </c>
      <c r="Q1771" s="3" t="s">
        <v>138</v>
      </c>
      <c r="R1771" s="3">
        <v>2</v>
      </c>
      <c r="S1771" s="3">
        <v>28476.25</v>
      </c>
      <c r="T1771" s="3">
        <v>30</v>
      </c>
      <c r="U1771" s="3">
        <v>39866.75</v>
      </c>
      <c r="V1771" s="3">
        <v>18443.48</v>
      </c>
      <c r="W1771" s="3">
        <v>21423.27</v>
      </c>
      <c r="X1771" s="3">
        <v>53.74</v>
      </c>
      <c r="Y1771" s="3">
        <v>0</v>
      </c>
      <c r="Z1771" s="3" t="s">
        <v>48</v>
      </c>
      <c r="AA1771" s="3" t="s">
        <v>672</v>
      </c>
      <c r="AB1771" s="3" t="s">
        <v>101</v>
      </c>
      <c r="AC1771" s="3"/>
    </row>
    <row r="1772" spans="1:29" x14ac:dyDescent="0.3">
      <c r="A1772" s="2" t="s">
        <v>8047</v>
      </c>
      <c r="B1772" s="2" t="s">
        <v>8048</v>
      </c>
      <c r="C1772" s="2" t="s">
        <v>2151</v>
      </c>
      <c r="D1772" s="2" t="s">
        <v>5600</v>
      </c>
      <c r="E1772" s="2" t="s">
        <v>33</v>
      </c>
      <c r="F1772" s="2" t="s">
        <v>1888</v>
      </c>
      <c r="G1772" s="2" t="s">
        <v>1345</v>
      </c>
      <c r="H1772" s="2" t="s">
        <v>2536</v>
      </c>
      <c r="I1772" s="2">
        <v>5</v>
      </c>
      <c r="J1772" s="2" t="s">
        <v>29</v>
      </c>
      <c r="K1772" s="2" t="s">
        <v>334</v>
      </c>
      <c r="L1772" s="2" t="s">
        <v>335</v>
      </c>
      <c r="M1772" s="2" t="s">
        <v>3390</v>
      </c>
      <c r="N1772" s="2" t="s">
        <v>205</v>
      </c>
      <c r="O1772" s="2" t="s">
        <v>21</v>
      </c>
      <c r="P1772" s="2" t="s">
        <v>206</v>
      </c>
      <c r="Q1772" s="2" t="s">
        <v>207</v>
      </c>
      <c r="R1772" s="2">
        <v>5</v>
      </c>
      <c r="S1772" s="2">
        <v>44493.17</v>
      </c>
      <c r="T1772" s="2">
        <v>0</v>
      </c>
      <c r="U1772" s="2">
        <v>222465.85</v>
      </c>
      <c r="V1772" s="2">
        <v>139082.81</v>
      </c>
      <c r="W1772" s="2">
        <v>83383.039999999994</v>
      </c>
      <c r="X1772" s="2">
        <v>37.479999999999997</v>
      </c>
      <c r="Y1772" s="2">
        <v>149</v>
      </c>
      <c r="Z1772" s="2" t="s">
        <v>48</v>
      </c>
      <c r="AA1772" s="2" t="s">
        <v>100</v>
      </c>
      <c r="AB1772" s="2" t="s">
        <v>101</v>
      </c>
      <c r="AC1772" s="2">
        <v>3</v>
      </c>
    </row>
    <row r="1773" spans="1:29" x14ac:dyDescent="0.3">
      <c r="A1773" s="3" t="s">
        <v>8049</v>
      </c>
      <c r="B1773" s="3" t="s">
        <v>8050</v>
      </c>
      <c r="C1773" s="3" t="s">
        <v>1797</v>
      </c>
      <c r="D1773" s="3" t="s">
        <v>1287</v>
      </c>
      <c r="E1773" s="3" t="s">
        <v>26</v>
      </c>
      <c r="F1773" s="3" t="s">
        <v>1525</v>
      </c>
      <c r="G1773" s="3" t="s">
        <v>2617</v>
      </c>
      <c r="H1773" s="3" t="s">
        <v>676</v>
      </c>
      <c r="I1773" s="3">
        <v>7</v>
      </c>
      <c r="J1773" s="3" t="s">
        <v>22</v>
      </c>
      <c r="K1773" s="3" t="s">
        <v>122</v>
      </c>
      <c r="L1773" s="3" t="s">
        <v>812</v>
      </c>
      <c r="M1773" s="3" t="s">
        <v>8051</v>
      </c>
      <c r="N1773" s="3" t="s">
        <v>409</v>
      </c>
      <c r="O1773" s="3" t="s">
        <v>21</v>
      </c>
      <c r="P1773" s="3" t="s">
        <v>196</v>
      </c>
      <c r="Q1773" s="3" t="s">
        <v>509</v>
      </c>
      <c r="R1773" s="3">
        <v>5</v>
      </c>
      <c r="S1773" s="3">
        <v>19648.900000000001</v>
      </c>
      <c r="T1773" s="3">
        <v>15</v>
      </c>
      <c r="U1773" s="3">
        <v>83507.820000000007</v>
      </c>
      <c r="V1773" s="3">
        <v>48763.93</v>
      </c>
      <c r="W1773" s="3">
        <v>34743.89</v>
      </c>
      <c r="X1773" s="3">
        <v>41.61</v>
      </c>
      <c r="Y1773" s="3">
        <v>29</v>
      </c>
      <c r="Z1773" s="3" t="s">
        <v>15</v>
      </c>
      <c r="AA1773" s="3" t="s">
        <v>100</v>
      </c>
      <c r="AB1773" s="3" t="s">
        <v>101</v>
      </c>
      <c r="AC1773" s="3">
        <v>2</v>
      </c>
    </row>
    <row r="1774" spans="1:29" x14ac:dyDescent="0.3">
      <c r="A1774" s="2" t="s">
        <v>8052</v>
      </c>
      <c r="B1774" s="2" t="s">
        <v>8053</v>
      </c>
      <c r="C1774" s="2" t="s">
        <v>666</v>
      </c>
      <c r="D1774" s="2" t="s">
        <v>8054</v>
      </c>
      <c r="E1774" s="2" t="s">
        <v>33</v>
      </c>
      <c r="F1774" s="2" t="s">
        <v>3495</v>
      </c>
      <c r="G1774" s="2" t="s">
        <v>1841</v>
      </c>
      <c r="H1774" s="2" t="s">
        <v>395</v>
      </c>
      <c r="I1774" s="2">
        <v>5</v>
      </c>
      <c r="J1774" s="2" t="s">
        <v>14</v>
      </c>
      <c r="K1774" s="2" t="s">
        <v>215</v>
      </c>
      <c r="L1774" s="2" t="s">
        <v>215</v>
      </c>
      <c r="M1774" s="2" t="s">
        <v>3804</v>
      </c>
      <c r="N1774" s="2" t="s">
        <v>327</v>
      </c>
      <c r="O1774" s="2" t="s">
        <v>27</v>
      </c>
      <c r="P1774" s="2" t="s">
        <v>113</v>
      </c>
      <c r="Q1774" s="2" t="s">
        <v>466</v>
      </c>
      <c r="R1774" s="2">
        <v>4</v>
      </c>
      <c r="S1774" s="2">
        <v>1537.74</v>
      </c>
      <c r="T1774" s="2">
        <v>15</v>
      </c>
      <c r="U1774" s="2">
        <v>5228.32</v>
      </c>
      <c r="V1774" s="2">
        <v>2869.13</v>
      </c>
      <c r="W1774" s="2">
        <v>2359.19</v>
      </c>
      <c r="X1774" s="2">
        <v>45.12</v>
      </c>
      <c r="Y1774" s="2">
        <v>49</v>
      </c>
      <c r="Z1774" s="2" t="s">
        <v>40</v>
      </c>
      <c r="AA1774" s="2" t="s">
        <v>100</v>
      </c>
      <c r="AB1774" s="2" t="s">
        <v>101</v>
      </c>
      <c r="AC1774" s="2">
        <v>2</v>
      </c>
    </row>
    <row r="1775" spans="1:29" x14ac:dyDescent="0.3">
      <c r="A1775" s="3" t="s">
        <v>8055</v>
      </c>
      <c r="B1775" s="3" t="s">
        <v>8056</v>
      </c>
      <c r="C1775" s="3" t="s">
        <v>290</v>
      </c>
      <c r="D1775" s="3" t="s">
        <v>8057</v>
      </c>
      <c r="E1775" s="3" t="s">
        <v>42</v>
      </c>
      <c r="F1775" s="3" t="s">
        <v>2192</v>
      </c>
      <c r="G1775" s="3" t="s">
        <v>1033</v>
      </c>
      <c r="H1775" s="3" t="s">
        <v>6786</v>
      </c>
      <c r="I1775" s="3">
        <v>5</v>
      </c>
      <c r="J1775" s="3" t="s">
        <v>39</v>
      </c>
      <c r="K1775" s="3" t="s">
        <v>324</v>
      </c>
      <c r="L1775" s="3" t="s">
        <v>1028</v>
      </c>
      <c r="M1775" s="3" t="s">
        <v>8058</v>
      </c>
      <c r="N1775" s="3" t="s">
        <v>475</v>
      </c>
      <c r="O1775" s="3" t="s">
        <v>13</v>
      </c>
      <c r="P1775" s="3" t="s">
        <v>228</v>
      </c>
      <c r="Q1775" s="3" t="s">
        <v>152</v>
      </c>
      <c r="R1775" s="3">
        <v>5</v>
      </c>
      <c r="S1775" s="3">
        <v>49281.83</v>
      </c>
      <c r="T1775" s="3">
        <v>10</v>
      </c>
      <c r="U1775" s="3">
        <v>221768.24</v>
      </c>
      <c r="V1775" s="3">
        <v>112135.15</v>
      </c>
      <c r="W1775" s="3">
        <v>109633.09</v>
      </c>
      <c r="X1775" s="3">
        <v>49.44</v>
      </c>
      <c r="Y1775" s="3">
        <v>49</v>
      </c>
      <c r="Z1775" s="3" t="s">
        <v>40</v>
      </c>
      <c r="AA1775" s="3" t="s">
        <v>100</v>
      </c>
      <c r="AB1775" s="3" t="s">
        <v>101</v>
      </c>
      <c r="AC1775" s="3">
        <v>4</v>
      </c>
    </row>
    <row r="1776" spans="1:29" x14ac:dyDescent="0.3">
      <c r="A1776" s="2" t="s">
        <v>8059</v>
      </c>
      <c r="B1776" s="2" t="s">
        <v>8060</v>
      </c>
      <c r="C1776" s="2" t="s">
        <v>716</v>
      </c>
      <c r="D1776" s="2" t="s">
        <v>8061</v>
      </c>
      <c r="E1776" s="2" t="s">
        <v>33</v>
      </c>
      <c r="F1776" s="2" t="s">
        <v>372</v>
      </c>
      <c r="G1776" s="2" t="s">
        <v>2822</v>
      </c>
      <c r="H1776" s="2" t="s">
        <v>404</v>
      </c>
      <c r="I1776" s="2">
        <v>4</v>
      </c>
      <c r="J1776" s="2" t="s">
        <v>29</v>
      </c>
      <c r="K1776" s="2" t="s">
        <v>834</v>
      </c>
      <c r="L1776" s="2" t="s">
        <v>835</v>
      </c>
      <c r="M1776" s="2" t="s">
        <v>2975</v>
      </c>
      <c r="N1776" s="2" t="s">
        <v>390</v>
      </c>
      <c r="O1776" s="2" t="s">
        <v>19</v>
      </c>
      <c r="P1776" s="2" t="s">
        <v>297</v>
      </c>
      <c r="Q1776" s="2" t="s">
        <v>400</v>
      </c>
      <c r="R1776" s="2">
        <v>5</v>
      </c>
      <c r="S1776" s="2">
        <v>46474.25</v>
      </c>
      <c r="T1776" s="2">
        <v>10</v>
      </c>
      <c r="U1776" s="2">
        <v>209134.12</v>
      </c>
      <c r="V1776" s="2">
        <v>98805.52</v>
      </c>
      <c r="W1776" s="2">
        <v>110328.6</v>
      </c>
      <c r="X1776" s="2">
        <v>52.75</v>
      </c>
      <c r="Y1776" s="2">
        <v>0</v>
      </c>
      <c r="Z1776" s="2" t="s">
        <v>48</v>
      </c>
      <c r="AA1776" s="2" t="s">
        <v>275</v>
      </c>
      <c r="AB1776" s="2" t="s">
        <v>101</v>
      </c>
      <c r="AC1776" s="2"/>
    </row>
    <row r="1777" spans="1:29" x14ac:dyDescent="0.3">
      <c r="A1777" s="3" t="s">
        <v>8062</v>
      </c>
      <c r="B1777" s="3" t="s">
        <v>8063</v>
      </c>
      <c r="C1777" s="3" t="s">
        <v>2136</v>
      </c>
      <c r="D1777" s="3" t="s">
        <v>8064</v>
      </c>
      <c r="E1777" s="3" t="s">
        <v>33</v>
      </c>
      <c r="F1777" s="3" t="s">
        <v>4466</v>
      </c>
      <c r="G1777" s="3" t="s">
        <v>121</v>
      </c>
      <c r="H1777" s="3" t="s">
        <v>4880</v>
      </c>
      <c r="I1777" s="3">
        <v>5</v>
      </c>
      <c r="J1777" s="3" t="s">
        <v>14</v>
      </c>
      <c r="K1777" s="3" t="s">
        <v>712</v>
      </c>
      <c r="L1777" s="3" t="s">
        <v>712</v>
      </c>
      <c r="M1777" s="3" t="s">
        <v>7578</v>
      </c>
      <c r="N1777" s="3" t="s">
        <v>374</v>
      </c>
      <c r="O1777" s="3" t="s">
        <v>21</v>
      </c>
      <c r="P1777" s="3" t="s">
        <v>196</v>
      </c>
      <c r="Q1777" s="3" t="s">
        <v>114</v>
      </c>
      <c r="R1777" s="3">
        <v>5</v>
      </c>
      <c r="S1777" s="3">
        <v>36600.519999999997</v>
      </c>
      <c r="T1777" s="3">
        <v>5</v>
      </c>
      <c r="U1777" s="3">
        <v>173852.47</v>
      </c>
      <c r="V1777" s="3">
        <v>84591.46</v>
      </c>
      <c r="W1777" s="3">
        <v>89261.01</v>
      </c>
      <c r="X1777" s="3">
        <v>51.34</v>
      </c>
      <c r="Y1777" s="3">
        <v>199</v>
      </c>
      <c r="Z1777" s="3" t="s">
        <v>15</v>
      </c>
      <c r="AA1777" s="3" t="s">
        <v>186</v>
      </c>
      <c r="AB1777" s="3" t="s">
        <v>101</v>
      </c>
      <c r="AC1777" s="3"/>
    </row>
    <row r="1778" spans="1:29" x14ac:dyDescent="0.3">
      <c r="A1778" s="2" t="s">
        <v>8065</v>
      </c>
      <c r="B1778" s="2" t="s">
        <v>8066</v>
      </c>
      <c r="C1778" s="2" t="s">
        <v>117</v>
      </c>
      <c r="D1778" s="2" t="s">
        <v>8067</v>
      </c>
      <c r="E1778" s="2" t="s">
        <v>42</v>
      </c>
      <c r="F1778" s="2" t="s">
        <v>92</v>
      </c>
      <c r="G1778" s="2" t="s">
        <v>842</v>
      </c>
      <c r="H1778" s="2" t="s">
        <v>843</v>
      </c>
      <c r="I1778" s="2">
        <v>6</v>
      </c>
      <c r="J1778" s="2" t="s">
        <v>22</v>
      </c>
      <c r="K1778" s="2" t="s">
        <v>443</v>
      </c>
      <c r="L1778" s="2" t="s">
        <v>498</v>
      </c>
      <c r="M1778" s="2" t="s">
        <v>3480</v>
      </c>
      <c r="N1778" s="2" t="s">
        <v>889</v>
      </c>
      <c r="O1778" s="2" t="s">
        <v>27</v>
      </c>
      <c r="P1778" s="2" t="s">
        <v>257</v>
      </c>
      <c r="Q1778" s="2" t="s">
        <v>466</v>
      </c>
      <c r="R1778" s="2">
        <v>5</v>
      </c>
      <c r="S1778" s="2">
        <v>21977.97</v>
      </c>
      <c r="T1778" s="2">
        <v>25</v>
      </c>
      <c r="U1778" s="2">
        <v>82417.39</v>
      </c>
      <c r="V1778" s="2">
        <v>45599.66</v>
      </c>
      <c r="W1778" s="2">
        <v>36817.730000000003</v>
      </c>
      <c r="X1778" s="2">
        <v>44.67</v>
      </c>
      <c r="Y1778" s="2">
        <v>149</v>
      </c>
      <c r="Z1778" s="2" t="s">
        <v>30</v>
      </c>
      <c r="AA1778" s="2" t="s">
        <v>100</v>
      </c>
      <c r="AB1778" s="2" t="s">
        <v>101</v>
      </c>
      <c r="AC1778" s="2">
        <v>1</v>
      </c>
    </row>
    <row r="1779" spans="1:29" x14ac:dyDescent="0.3">
      <c r="A1779" s="3" t="s">
        <v>8068</v>
      </c>
      <c r="B1779" s="3" t="s">
        <v>8069</v>
      </c>
      <c r="C1779" s="3" t="s">
        <v>1253</v>
      </c>
      <c r="D1779" s="3" t="s">
        <v>8070</v>
      </c>
      <c r="E1779" s="3" t="s">
        <v>26</v>
      </c>
      <c r="F1779" s="3" t="s">
        <v>4466</v>
      </c>
      <c r="G1779" s="3" t="s">
        <v>121</v>
      </c>
      <c r="H1779" s="3" t="s">
        <v>2684</v>
      </c>
      <c r="I1779" s="3">
        <v>2</v>
      </c>
      <c r="J1779" s="3" t="s">
        <v>22</v>
      </c>
      <c r="K1779" s="3" t="s">
        <v>443</v>
      </c>
      <c r="L1779" s="3" t="s">
        <v>498</v>
      </c>
      <c r="M1779" s="3" t="s">
        <v>8071</v>
      </c>
      <c r="N1779" s="3" t="s">
        <v>316</v>
      </c>
      <c r="O1779" s="3" t="s">
        <v>28</v>
      </c>
      <c r="P1779" s="3" t="s">
        <v>137</v>
      </c>
      <c r="Q1779" s="3" t="s">
        <v>197</v>
      </c>
      <c r="R1779" s="3">
        <v>1</v>
      </c>
      <c r="S1779" s="3">
        <v>2159.7800000000002</v>
      </c>
      <c r="T1779" s="3">
        <v>25</v>
      </c>
      <c r="U1779" s="3">
        <v>1619.84</v>
      </c>
      <c r="V1779" s="3">
        <v>1107.25</v>
      </c>
      <c r="W1779" s="3">
        <v>512.59</v>
      </c>
      <c r="X1779" s="3">
        <v>31.64</v>
      </c>
      <c r="Y1779" s="3">
        <v>29</v>
      </c>
      <c r="Z1779" s="3" t="s">
        <v>48</v>
      </c>
      <c r="AA1779" s="3" t="s">
        <v>100</v>
      </c>
      <c r="AB1779" s="3" t="s">
        <v>101</v>
      </c>
      <c r="AC1779" s="3">
        <v>2</v>
      </c>
    </row>
    <row r="1780" spans="1:29" x14ac:dyDescent="0.3">
      <c r="A1780" s="2" t="s">
        <v>8072</v>
      </c>
      <c r="B1780" s="2" t="s">
        <v>8073</v>
      </c>
      <c r="C1780" s="2" t="s">
        <v>2834</v>
      </c>
      <c r="D1780" s="2" t="s">
        <v>8074</v>
      </c>
      <c r="E1780" s="2" t="s">
        <v>42</v>
      </c>
      <c r="F1780" s="2" t="s">
        <v>1568</v>
      </c>
      <c r="G1780" s="2" t="s">
        <v>2402</v>
      </c>
      <c r="H1780" s="2" t="s">
        <v>3450</v>
      </c>
      <c r="I1780" s="2">
        <v>8</v>
      </c>
      <c r="J1780" s="2" t="s">
        <v>39</v>
      </c>
      <c r="K1780" s="2" t="s">
        <v>225</v>
      </c>
      <c r="L1780" s="2" t="s">
        <v>225</v>
      </c>
      <c r="M1780" s="2" t="s">
        <v>8075</v>
      </c>
      <c r="N1780" s="2" t="s">
        <v>399</v>
      </c>
      <c r="O1780" s="2" t="s">
        <v>21</v>
      </c>
      <c r="P1780" s="2" t="s">
        <v>196</v>
      </c>
      <c r="Q1780" s="2" t="s">
        <v>287</v>
      </c>
      <c r="R1780" s="2">
        <v>5</v>
      </c>
      <c r="S1780" s="2">
        <v>48684.18</v>
      </c>
      <c r="T1780" s="2">
        <v>0</v>
      </c>
      <c r="U1780" s="2">
        <v>243420.9</v>
      </c>
      <c r="V1780" s="2">
        <v>120478.67</v>
      </c>
      <c r="W1780" s="2">
        <v>122942.23</v>
      </c>
      <c r="X1780" s="2">
        <v>50.51</v>
      </c>
      <c r="Y1780" s="2">
        <v>99</v>
      </c>
      <c r="Z1780" s="2" t="s">
        <v>23</v>
      </c>
      <c r="AA1780" s="2" t="s">
        <v>100</v>
      </c>
      <c r="AB1780" s="2" t="s">
        <v>101</v>
      </c>
      <c r="AC1780" s="2"/>
    </row>
    <row r="1781" spans="1:29" x14ac:dyDescent="0.3">
      <c r="A1781" s="3" t="s">
        <v>8076</v>
      </c>
      <c r="B1781" s="3" t="s">
        <v>8077</v>
      </c>
      <c r="C1781" s="3" t="s">
        <v>768</v>
      </c>
      <c r="D1781" s="3" t="s">
        <v>8078</v>
      </c>
      <c r="E1781" s="3" t="s">
        <v>42</v>
      </c>
      <c r="F1781" s="3" t="s">
        <v>2253</v>
      </c>
      <c r="G1781" s="3" t="s">
        <v>2542</v>
      </c>
      <c r="H1781" s="3" t="s">
        <v>442</v>
      </c>
      <c r="I1781" s="3">
        <v>8</v>
      </c>
      <c r="J1781" s="3" t="s">
        <v>14</v>
      </c>
      <c r="K1781" s="3" t="s">
        <v>183</v>
      </c>
      <c r="L1781" s="3" t="s">
        <v>183</v>
      </c>
      <c r="M1781" s="3" t="s">
        <v>8079</v>
      </c>
      <c r="N1781" s="3" t="s">
        <v>889</v>
      </c>
      <c r="O1781" s="3" t="s">
        <v>27</v>
      </c>
      <c r="P1781" s="3" t="s">
        <v>257</v>
      </c>
      <c r="Q1781" s="3" t="s">
        <v>287</v>
      </c>
      <c r="R1781" s="3">
        <v>5</v>
      </c>
      <c r="S1781" s="3">
        <v>46564.81</v>
      </c>
      <c r="T1781" s="3">
        <v>25</v>
      </c>
      <c r="U1781" s="3">
        <v>174618.04</v>
      </c>
      <c r="V1781" s="3">
        <v>115959.88</v>
      </c>
      <c r="W1781" s="3">
        <v>58658.16</v>
      </c>
      <c r="X1781" s="3">
        <v>33.590000000000003</v>
      </c>
      <c r="Y1781" s="3">
        <v>149</v>
      </c>
      <c r="Z1781" s="3" t="s">
        <v>47</v>
      </c>
      <c r="AA1781" s="3" t="s">
        <v>672</v>
      </c>
      <c r="AB1781" s="3" t="s">
        <v>101</v>
      </c>
      <c r="AC1781" s="3"/>
    </row>
    <row r="1782" spans="1:29" x14ac:dyDescent="0.3">
      <c r="A1782" s="2" t="s">
        <v>8080</v>
      </c>
      <c r="B1782" s="2" t="s">
        <v>8081</v>
      </c>
      <c r="C1782" s="2" t="s">
        <v>1177</v>
      </c>
      <c r="D1782" s="2" t="s">
        <v>8082</v>
      </c>
      <c r="E1782" s="2" t="s">
        <v>42</v>
      </c>
      <c r="F1782" s="2" t="s">
        <v>1976</v>
      </c>
      <c r="G1782" s="2" t="s">
        <v>1488</v>
      </c>
      <c r="H1782" s="2" t="s">
        <v>1322</v>
      </c>
      <c r="I1782" s="2">
        <v>8</v>
      </c>
      <c r="J1782" s="2" t="s">
        <v>22</v>
      </c>
      <c r="K1782" s="2" t="s">
        <v>254</v>
      </c>
      <c r="L1782" s="2" t="s">
        <v>254</v>
      </c>
      <c r="M1782" s="2" t="s">
        <v>8083</v>
      </c>
      <c r="N1782" s="2" t="s">
        <v>852</v>
      </c>
      <c r="O1782" s="2" t="s">
        <v>27</v>
      </c>
      <c r="P1782" s="2" t="s">
        <v>175</v>
      </c>
      <c r="Q1782" s="2" t="s">
        <v>509</v>
      </c>
      <c r="R1782" s="2">
        <v>5</v>
      </c>
      <c r="S1782" s="2">
        <v>45350.42</v>
      </c>
      <c r="T1782" s="2">
        <v>30</v>
      </c>
      <c r="U1782" s="2">
        <v>158726.47</v>
      </c>
      <c r="V1782" s="2">
        <v>88739.86</v>
      </c>
      <c r="W1782" s="2">
        <v>69986.61</v>
      </c>
      <c r="X1782" s="2">
        <v>44.09</v>
      </c>
      <c r="Y1782" s="2">
        <v>29</v>
      </c>
      <c r="Z1782" s="2" t="s">
        <v>48</v>
      </c>
      <c r="AA1782" s="2" t="s">
        <v>275</v>
      </c>
      <c r="AB1782" s="2" t="s">
        <v>101</v>
      </c>
      <c r="AC1782" s="2"/>
    </row>
    <row r="1783" spans="1:29" x14ac:dyDescent="0.3">
      <c r="A1783" s="3" t="s">
        <v>8084</v>
      </c>
      <c r="B1783" s="3" t="s">
        <v>8085</v>
      </c>
      <c r="C1783" s="3" t="s">
        <v>1395</v>
      </c>
      <c r="D1783" s="3" t="s">
        <v>8086</v>
      </c>
      <c r="E1783" s="3" t="s">
        <v>26</v>
      </c>
      <c r="F1783" s="3" t="s">
        <v>3042</v>
      </c>
      <c r="G1783" s="3" t="s">
        <v>4108</v>
      </c>
      <c r="H1783" s="3" t="s">
        <v>3781</v>
      </c>
      <c r="I1783" s="3">
        <v>6</v>
      </c>
      <c r="J1783" s="3" t="s">
        <v>14</v>
      </c>
      <c r="K1783" s="3" t="s">
        <v>95</v>
      </c>
      <c r="L1783" s="3" t="s">
        <v>95</v>
      </c>
      <c r="M1783" s="3" t="s">
        <v>8087</v>
      </c>
      <c r="N1783" s="3" t="s">
        <v>286</v>
      </c>
      <c r="O1783" s="3" t="s">
        <v>28</v>
      </c>
      <c r="P1783" s="3" t="s">
        <v>137</v>
      </c>
      <c r="Q1783" s="3" t="s">
        <v>355</v>
      </c>
      <c r="R1783" s="3">
        <v>5</v>
      </c>
      <c r="S1783" s="3">
        <v>26271.01</v>
      </c>
      <c r="T1783" s="3">
        <v>15</v>
      </c>
      <c r="U1783" s="3">
        <v>111651.79</v>
      </c>
      <c r="V1783" s="3">
        <v>69534.759999999995</v>
      </c>
      <c r="W1783" s="3">
        <v>42117.03</v>
      </c>
      <c r="X1783" s="3">
        <v>37.72</v>
      </c>
      <c r="Y1783" s="3">
        <v>199</v>
      </c>
      <c r="Z1783" s="3" t="s">
        <v>15</v>
      </c>
      <c r="AA1783" s="3" t="s">
        <v>100</v>
      </c>
      <c r="AB1783" s="3" t="s">
        <v>101</v>
      </c>
      <c r="AC1783" s="3"/>
    </row>
    <row r="1784" spans="1:29" x14ac:dyDescent="0.3">
      <c r="A1784" s="2" t="s">
        <v>8088</v>
      </c>
      <c r="B1784" s="2" t="s">
        <v>8089</v>
      </c>
      <c r="C1784" s="2" t="s">
        <v>1630</v>
      </c>
      <c r="D1784" s="2" t="s">
        <v>8090</v>
      </c>
      <c r="E1784" s="2" t="s">
        <v>26</v>
      </c>
      <c r="F1784" s="2" t="s">
        <v>3389</v>
      </c>
      <c r="G1784" s="2" t="s">
        <v>1063</v>
      </c>
      <c r="H1784" s="2" t="s">
        <v>3005</v>
      </c>
      <c r="I1784" s="2">
        <v>5</v>
      </c>
      <c r="J1784" s="2" t="s">
        <v>39</v>
      </c>
      <c r="K1784" s="2" t="s">
        <v>314</v>
      </c>
      <c r="L1784" s="2" t="s">
        <v>314</v>
      </c>
      <c r="M1784" s="2" t="s">
        <v>8091</v>
      </c>
      <c r="N1784" s="2" t="s">
        <v>286</v>
      </c>
      <c r="O1784" s="2" t="s">
        <v>28</v>
      </c>
      <c r="P1784" s="2" t="s">
        <v>137</v>
      </c>
      <c r="Q1784" s="2" t="s">
        <v>152</v>
      </c>
      <c r="R1784" s="2">
        <v>4</v>
      </c>
      <c r="S1784" s="2">
        <v>39586.93</v>
      </c>
      <c r="T1784" s="2">
        <v>10</v>
      </c>
      <c r="U1784" s="2">
        <v>142512.95000000001</v>
      </c>
      <c r="V1784" s="2">
        <v>75969.02</v>
      </c>
      <c r="W1784" s="2">
        <v>66543.929999999993</v>
      </c>
      <c r="X1784" s="2">
        <v>46.69</v>
      </c>
      <c r="Y1784" s="2">
        <v>49</v>
      </c>
      <c r="Z1784" s="2" t="s">
        <v>15</v>
      </c>
      <c r="AA1784" s="2" t="s">
        <v>275</v>
      </c>
      <c r="AB1784" s="2" t="s">
        <v>101</v>
      </c>
      <c r="AC1784" s="2"/>
    </row>
    <row r="1785" spans="1:29" x14ac:dyDescent="0.3">
      <c r="A1785" s="3" t="s">
        <v>8092</v>
      </c>
      <c r="B1785" s="3" t="s">
        <v>8093</v>
      </c>
      <c r="C1785" s="3" t="s">
        <v>1675</v>
      </c>
      <c r="D1785" s="3" t="s">
        <v>8094</v>
      </c>
      <c r="E1785" s="3" t="s">
        <v>26</v>
      </c>
      <c r="F1785" s="3" t="s">
        <v>6838</v>
      </c>
      <c r="G1785" s="3" t="s">
        <v>1378</v>
      </c>
      <c r="H1785" s="3" t="s">
        <v>2910</v>
      </c>
      <c r="I1785" s="3">
        <v>4</v>
      </c>
      <c r="J1785" s="3" t="s">
        <v>14</v>
      </c>
      <c r="K1785" s="3" t="s">
        <v>95</v>
      </c>
      <c r="L1785" s="3" t="s">
        <v>95</v>
      </c>
      <c r="M1785" s="3" t="s">
        <v>8095</v>
      </c>
      <c r="N1785" s="3" t="s">
        <v>125</v>
      </c>
      <c r="O1785" s="3" t="s">
        <v>21</v>
      </c>
      <c r="P1785" s="3" t="s">
        <v>126</v>
      </c>
      <c r="Q1785" s="3" t="s">
        <v>127</v>
      </c>
      <c r="R1785" s="3">
        <v>2</v>
      </c>
      <c r="S1785" s="3">
        <v>5341.69</v>
      </c>
      <c r="T1785" s="3">
        <v>25</v>
      </c>
      <c r="U1785" s="3">
        <v>8012.53</v>
      </c>
      <c r="V1785" s="3">
        <v>5601</v>
      </c>
      <c r="W1785" s="3">
        <v>2411.5300000000002</v>
      </c>
      <c r="X1785" s="3">
        <v>30.1</v>
      </c>
      <c r="Y1785" s="3">
        <v>199</v>
      </c>
      <c r="Z1785" s="3" t="s">
        <v>15</v>
      </c>
      <c r="AA1785" s="3" t="s">
        <v>100</v>
      </c>
      <c r="AB1785" s="3" t="s">
        <v>101</v>
      </c>
      <c r="AC1785" s="3">
        <v>2</v>
      </c>
    </row>
    <row r="1786" spans="1:29" x14ac:dyDescent="0.3">
      <c r="A1786" s="2" t="s">
        <v>8096</v>
      </c>
      <c r="B1786" s="2" t="s">
        <v>7586</v>
      </c>
      <c r="C1786" s="2" t="s">
        <v>1700</v>
      </c>
      <c r="D1786" s="2" t="s">
        <v>8097</v>
      </c>
      <c r="E1786" s="2" t="s">
        <v>42</v>
      </c>
      <c r="F1786" s="2" t="s">
        <v>4633</v>
      </c>
      <c r="G1786" s="2" t="s">
        <v>1080</v>
      </c>
      <c r="H1786" s="2" t="s">
        <v>710</v>
      </c>
      <c r="I1786" s="2">
        <v>5</v>
      </c>
      <c r="J1786" s="2" t="s">
        <v>22</v>
      </c>
      <c r="K1786" s="2" t="s">
        <v>254</v>
      </c>
      <c r="L1786" s="2" t="s">
        <v>254</v>
      </c>
      <c r="M1786" s="2" t="s">
        <v>6780</v>
      </c>
      <c r="N1786" s="2" t="s">
        <v>274</v>
      </c>
      <c r="O1786" s="2" t="s">
        <v>21</v>
      </c>
      <c r="P1786" s="2" t="s">
        <v>126</v>
      </c>
      <c r="Q1786" s="2" t="s">
        <v>152</v>
      </c>
      <c r="R1786" s="2">
        <v>3</v>
      </c>
      <c r="S1786" s="2">
        <v>8713.1</v>
      </c>
      <c r="T1786" s="2">
        <v>0</v>
      </c>
      <c r="U1786" s="2">
        <v>26139.3</v>
      </c>
      <c r="V1786" s="2">
        <v>15117.52</v>
      </c>
      <c r="W1786" s="2">
        <v>11021.78</v>
      </c>
      <c r="X1786" s="2">
        <v>42.17</v>
      </c>
      <c r="Y1786" s="2">
        <v>199</v>
      </c>
      <c r="Z1786" s="2" t="s">
        <v>30</v>
      </c>
      <c r="AA1786" s="2" t="s">
        <v>186</v>
      </c>
      <c r="AB1786" s="2" t="s">
        <v>101</v>
      </c>
      <c r="AC1786" s="2"/>
    </row>
    <row r="1787" spans="1:29" x14ac:dyDescent="0.3">
      <c r="A1787" s="3" t="s">
        <v>8098</v>
      </c>
      <c r="B1787" s="3" t="s">
        <v>8099</v>
      </c>
      <c r="C1787" s="3" t="s">
        <v>200</v>
      </c>
      <c r="D1787" s="3" t="s">
        <v>8100</v>
      </c>
      <c r="E1787" s="3" t="s">
        <v>18</v>
      </c>
      <c r="F1787" s="3" t="s">
        <v>2489</v>
      </c>
      <c r="G1787" s="3" t="s">
        <v>321</v>
      </c>
      <c r="H1787" s="3" t="s">
        <v>1140</v>
      </c>
      <c r="I1787" s="3">
        <v>5</v>
      </c>
      <c r="J1787" s="3" t="s">
        <v>29</v>
      </c>
      <c r="K1787" s="3" t="s">
        <v>834</v>
      </c>
      <c r="L1787" s="3" t="s">
        <v>835</v>
      </c>
      <c r="M1787" s="3" t="s">
        <v>8101</v>
      </c>
      <c r="N1787" s="3" t="s">
        <v>306</v>
      </c>
      <c r="O1787" s="3" t="s">
        <v>21</v>
      </c>
      <c r="P1787" s="3" t="s">
        <v>126</v>
      </c>
      <c r="Q1787" s="3" t="s">
        <v>99</v>
      </c>
      <c r="R1787" s="3">
        <v>3</v>
      </c>
      <c r="S1787" s="3">
        <v>25873.88</v>
      </c>
      <c r="T1787" s="3">
        <v>0</v>
      </c>
      <c r="U1787" s="3">
        <v>77621.64</v>
      </c>
      <c r="V1787" s="3">
        <v>53501.48</v>
      </c>
      <c r="W1787" s="3">
        <v>24120.16</v>
      </c>
      <c r="X1787" s="3">
        <v>31.07</v>
      </c>
      <c r="Y1787" s="3">
        <v>29</v>
      </c>
      <c r="Z1787" s="3" t="s">
        <v>40</v>
      </c>
      <c r="AA1787" s="3" t="s">
        <v>100</v>
      </c>
      <c r="AB1787" s="3" t="s">
        <v>101</v>
      </c>
      <c r="AC1787" s="3"/>
    </row>
    <row r="1788" spans="1:29" x14ac:dyDescent="0.3">
      <c r="A1788" s="2" t="s">
        <v>8102</v>
      </c>
      <c r="B1788" s="2" t="s">
        <v>8103</v>
      </c>
      <c r="C1788" s="2" t="s">
        <v>1644</v>
      </c>
      <c r="D1788" s="2" t="s">
        <v>1631</v>
      </c>
      <c r="E1788" s="2" t="s">
        <v>42</v>
      </c>
      <c r="F1788" s="2" t="s">
        <v>819</v>
      </c>
      <c r="G1788" s="2" t="s">
        <v>6786</v>
      </c>
      <c r="H1788" s="2" t="s">
        <v>557</v>
      </c>
      <c r="I1788" s="2">
        <v>8</v>
      </c>
      <c r="J1788" s="2" t="s">
        <v>14</v>
      </c>
      <c r="K1788" s="2" t="s">
        <v>171</v>
      </c>
      <c r="L1788" s="2" t="s">
        <v>407</v>
      </c>
      <c r="M1788" s="2" t="s">
        <v>8104</v>
      </c>
      <c r="N1788" s="2" t="s">
        <v>788</v>
      </c>
      <c r="O1788" s="2" t="s">
        <v>27</v>
      </c>
      <c r="P1788" s="2" t="s">
        <v>113</v>
      </c>
      <c r="Q1788" s="2" t="s">
        <v>400</v>
      </c>
      <c r="R1788" s="2">
        <v>4</v>
      </c>
      <c r="S1788" s="2">
        <v>47175.28</v>
      </c>
      <c r="T1788" s="2">
        <v>25</v>
      </c>
      <c r="U1788" s="2">
        <v>141525.84</v>
      </c>
      <c r="V1788" s="2">
        <v>88847.37</v>
      </c>
      <c r="W1788" s="2">
        <v>52678.47</v>
      </c>
      <c r="X1788" s="2">
        <v>37.22</v>
      </c>
      <c r="Y1788" s="2">
        <v>149</v>
      </c>
      <c r="Z1788" s="2" t="s">
        <v>15</v>
      </c>
      <c r="AA1788" s="2" t="s">
        <v>100</v>
      </c>
      <c r="AB1788" s="2" t="s">
        <v>101</v>
      </c>
      <c r="AC1788" s="2"/>
    </row>
    <row r="1789" spans="1:29" x14ac:dyDescent="0.3">
      <c r="A1789" s="3" t="s">
        <v>8105</v>
      </c>
      <c r="B1789" s="3" t="s">
        <v>8106</v>
      </c>
      <c r="C1789" s="3" t="s">
        <v>816</v>
      </c>
      <c r="D1789" s="3" t="s">
        <v>340</v>
      </c>
      <c r="E1789" s="3" t="s">
        <v>42</v>
      </c>
      <c r="F1789" s="3" t="s">
        <v>549</v>
      </c>
      <c r="G1789" s="3" t="s">
        <v>1835</v>
      </c>
      <c r="H1789" s="3" t="s">
        <v>8107</v>
      </c>
      <c r="I1789" s="3">
        <v>3</v>
      </c>
      <c r="J1789" s="3" t="s">
        <v>39</v>
      </c>
      <c r="K1789" s="3" t="s">
        <v>193</v>
      </c>
      <c r="L1789" s="3" t="s">
        <v>193</v>
      </c>
      <c r="M1789" s="3" t="s">
        <v>8108</v>
      </c>
      <c r="N1789" s="3" t="s">
        <v>438</v>
      </c>
      <c r="O1789" s="3" t="s">
        <v>13</v>
      </c>
      <c r="P1789" s="3" t="s">
        <v>228</v>
      </c>
      <c r="Q1789" s="3" t="s">
        <v>207</v>
      </c>
      <c r="R1789" s="3">
        <v>4</v>
      </c>
      <c r="S1789" s="3">
        <v>30253.77</v>
      </c>
      <c r="T1789" s="3">
        <v>25</v>
      </c>
      <c r="U1789" s="3">
        <v>90761.31</v>
      </c>
      <c r="V1789" s="3">
        <v>46471.53</v>
      </c>
      <c r="W1789" s="3">
        <v>44289.78</v>
      </c>
      <c r="X1789" s="3">
        <v>48.8</v>
      </c>
      <c r="Y1789" s="3">
        <v>199</v>
      </c>
      <c r="Z1789" s="3" t="s">
        <v>23</v>
      </c>
      <c r="AA1789" s="3" t="s">
        <v>139</v>
      </c>
      <c r="AB1789" s="3" t="s">
        <v>140</v>
      </c>
      <c r="AC1789" s="3"/>
    </row>
    <row r="1790" spans="1:29" x14ac:dyDescent="0.3">
      <c r="A1790" s="2" t="s">
        <v>8109</v>
      </c>
      <c r="B1790" s="2" t="s">
        <v>8110</v>
      </c>
      <c r="C1790" s="2" t="s">
        <v>166</v>
      </c>
      <c r="D1790" s="2" t="s">
        <v>8111</v>
      </c>
      <c r="E1790" s="2" t="s">
        <v>42</v>
      </c>
      <c r="F1790" s="2" t="s">
        <v>2612</v>
      </c>
      <c r="G1790" s="2" t="s">
        <v>1070</v>
      </c>
      <c r="H1790" s="2" t="s">
        <v>2725</v>
      </c>
      <c r="I1790" s="2">
        <v>6</v>
      </c>
      <c r="J1790" s="2" t="s">
        <v>29</v>
      </c>
      <c r="K1790" s="2" t="s">
        <v>334</v>
      </c>
      <c r="L1790" s="2" t="s">
        <v>1073</v>
      </c>
      <c r="M1790" s="2" t="s">
        <v>429</v>
      </c>
      <c r="N1790" s="2" t="s">
        <v>686</v>
      </c>
      <c r="O1790" s="2" t="s">
        <v>13</v>
      </c>
      <c r="P1790" s="2" t="s">
        <v>228</v>
      </c>
      <c r="Q1790" s="2" t="s">
        <v>207</v>
      </c>
      <c r="R1790" s="2">
        <v>2</v>
      </c>
      <c r="S1790" s="2">
        <v>45546.13</v>
      </c>
      <c r="T1790" s="2">
        <v>25</v>
      </c>
      <c r="U1790" s="2">
        <v>68319.19</v>
      </c>
      <c r="V1790" s="2">
        <v>31708.27</v>
      </c>
      <c r="W1790" s="2">
        <v>36610.92</v>
      </c>
      <c r="X1790" s="2">
        <v>53.59</v>
      </c>
      <c r="Y1790" s="2">
        <v>199</v>
      </c>
      <c r="Z1790" s="2" t="s">
        <v>40</v>
      </c>
      <c r="AA1790" s="2" t="s">
        <v>100</v>
      </c>
      <c r="AB1790" s="2" t="s">
        <v>101</v>
      </c>
      <c r="AC1790" s="2">
        <v>4</v>
      </c>
    </row>
    <row r="1791" spans="1:29" x14ac:dyDescent="0.3">
      <c r="A1791" s="3" t="s">
        <v>8112</v>
      </c>
      <c r="B1791" s="3" t="s">
        <v>8113</v>
      </c>
      <c r="C1791" s="3" t="s">
        <v>1085</v>
      </c>
      <c r="D1791" s="3" t="s">
        <v>8114</v>
      </c>
      <c r="E1791" s="3" t="s">
        <v>18</v>
      </c>
      <c r="F1791" s="3" t="s">
        <v>4534</v>
      </c>
      <c r="G1791" s="3" t="s">
        <v>146</v>
      </c>
      <c r="H1791" s="3" t="s">
        <v>147</v>
      </c>
      <c r="I1791" s="3">
        <v>2</v>
      </c>
      <c r="J1791" s="3" t="s">
        <v>39</v>
      </c>
      <c r="K1791" s="3" t="s">
        <v>314</v>
      </c>
      <c r="L1791" s="3" t="s">
        <v>314</v>
      </c>
      <c r="M1791" s="3" t="s">
        <v>8115</v>
      </c>
      <c r="N1791" s="3" t="s">
        <v>418</v>
      </c>
      <c r="O1791" s="3" t="s">
        <v>13</v>
      </c>
      <c r="P1791" s="3" t="s">
        <v>419</v>
      </c>
      <c r="Q1791" s="3" t="s">
        <v>218</v>
      </c>
      <c r="R1791" s="3">
        <v>2</v>
      </c>
      <c r="S1791" s="3">
        <v>57.83</v>
      </c>
      <c r="T1791" s="3">
        <v>0</v>
      </c>
      <c r="U1791" s="3">
        <v>115.66</v>
      </c>
      <c r="V1791" s="3">
        <v>70.760000000000005</v>
      </c>
      <c r="W1791" s="3">
        <v>44.9</v>
      </c>
      <c r="X1791" s="3">
        <v>38.82</v>
      </c>
      <c r="Y1791" s="3">
        <v>149</v>
      </c>
      <c r="Z1791" s="3" t="s">
        <v>48</v>
      </c>
      <c r="AA1791" s="3" t="s">
        <v>100</v>
      </c>
      <c r="AB1791" s="3" t="s">
        <v>101</v>
      </c>
      <c r="AC1791" s="3">
        <v>5</v>
      </c>
    </row>
    <row r="1792" spans="1:29" x14ac:dyDescent="0.3">
      <c r="A1792" s="2" t="s">
        <v>8116</v>
      </c>
      <c r="B1792" s="2" t="s">
        <v>8117</v>
      </c>
      <c r="C1792" s="2" t="s">
        <v>2286</v>
      </c>
      <c r="D1792" s="2" t="s">
        <v>8118</v>
      </c>
      <c r="E1792" s="2" t="s">
        <v>42</v>
      </c>
      <c r="F1792" s="2" t="s">
        <v>1415</v>
      </c>
      <c r="G1792" s="2" t="s">
        <v>3069</v>
      </c>
      <c r="H1792" s="2" t="s">
        <v>1352</v>
      </c>
      <c r="I1792" s="2">
        <v>3</v>
      </c>
      <c r="J1792" s="2" t="s">
        <v>22</v>
      </c>
      <c r="K1792" s="2" t="s">
        <v>122</v>
      </c>
      <c r="L1792" s="2" t="s">
        <v>812</v>
      </c>
      <c r="M1792" s="2" t="s">
        <v>5686</v>
      </c>
      <c r="N1792" s="2" t="s">
        <v>374</v>
      </c>
      <c r="O1792" s="2" t="s">
        <v>21</v>
      </c>
      <c r="P1792" s="2" t="s">
        <v>196</v>
      </c>
      <c r="Q1792" s="2" t="s">
        <v>207</v>
      </c>
      <c r="R1792" s="2">
        <v>4</v>
      </c>
      <c r="S1792" s="2">
        <v>44151.42</v>
      </c>
      <c r="T1792" s="2">
        <v>25</v>
      </c>
      <c r="U1792" s="2">
        <v>132454.26</v>
      </c>
      <c r="V1792" s="2">
        <v>83824.33</v>
      </c>
      <c r="W1792" s="2">
        <v>48629.93</v>
      </c>
      <c r="X1792" s="2">
        <v>36.71</v>
      </c>
      <c r="Y1792" s="2">
        <v>0</v>
      </c>
      <c r="Z1792" s="2" t="s">
        <v>30</v>
      </c>
      <c r="AA1792" s="2" t="s">
        <v>100</v>
      </c>
      <c r="AB1792" s="2" t="s">
        <v>101</v>
      </c>
      <c r="AC1792" s="2">
        <v>5</v>
      </c>
    </row>
    <row r="1793" spans="1:29" x14ac:dyDescent="0.3">
      <c r="A1793" s="3" t="s">
        <v>8119</v>
      </c>
      <c r="B1793" s="3" t="s">
        <v>8120</v>
      </c>
      <c r="C1793" s="3" t="s">
        <v>249</v>
      </c>
      <c r="D1793" s="3" t="s">
        <v>8121</v>
      </c>
      <c r="E1793" s="3" t="s">
        <v>42</v>
      </c>
      <c r="F1793" s="3" t="s">
        <v>3428</v>
      </c>
      <c r="G1793" s="3" t="s">
        <v>4044</v>
      </c>
      <c r="H1793" s="3" t="s">
        <v>2046</v>
      </c>
      <c r="I1793" s="3">
        <v>2</v>
      </c>
      <c r="J1793" s="3" t="s">
        <v>22</v>
      </c>
      <c r="K1793" s="3" t="s">
        <v>738</v>
      </c>
      <c r="L1793" s="3" t="s">
        <v>738</v>
      </c>
      <c r="M1793" s="3" t="s">
        <v>8122</v>
      </c>
      <c r="N1793" s="3" t="s">
        <v>837</v>
      </c>
      <c r="O1793" s="3" t="s">
        <v>27</v>
      </c>
      <c r="P1793" s="3" t="s">
        <v>257</v>
      </c>
      <c r="Q1793" s="3" t="s">
        <v>355</v>
      </c>
      <c r="R1793" s="3">
        <v>2</v>
      </c>
      <c r="S1793" s="3">
        <v>32230.33</v>
      </c>
      <c r="T1793" s="3">
        <v>30</v>
      </c>
      <c r="U1793" s="3">
        <v>45122.46</v>
      </c>
      <c r="V1793" s="3">
        <v>27048.94</v>
      </c>
      <c r="W1793" s="3">
        <v>18073.52</v>
      </c>
      <c r="X1793" s="3">
        <v>40.049999999999997</v>
      </c>
      <c r="Y1793" s="3">
        <v>29</v>
      </c>
      <c r="Z1793" s="3" t="s">
        <v>47</v>
      </c>
      <c r="AA1793" s="3" t="s">
        <v>139</v>
      </c>
      <c r="AB1793" s="3" t="s">
        <v>140</v>
      </c>
      <c r="AC1793" s="3"/>
    </row>
    <row r="1794" spans="1:29" x14ac:dyDescent="0.3">
      <c r="A1794" s="2" t="s">
        <v>8123</v>
      </c>
      <c r="B1794" s="2" t="s">
        <v>2150</v>
      </c>
      <c r="C1794" s="2" t="s">
        <v>1981</v>
      </c>
      <c r="D1794" s="2" t="s">
        <v>8124</v>
      </c>
      <c r="E1794" s="2" t="s">
        <v>42</v>
      </c>
      <c r="F1794" s="2" t="s">
        <v>1185</v>
      </c>
      <c r="G1794" s="2" t="s">
        <v>1186</v>
      </c>
      <c r="H1794" s="2" t="s">
        <v>3561</v>
      </c>
      <c r="I1794" s="2">
        <v>2</v>
      </c>
      <c r="J1794" s="2" t="s">
        <v>14</v>
      </c>
      <c r="K1794" s="2" t="s">
        <v>95</v>
      </c>
      <c r="L1794" s="2" t="s">
        <v>95</v>
      </c>
      <c r="M1794" s="2" t="s">
        <v>7932</v>
      </c>
      <c r="N1794" s="2" t="s">
        <v>1380</v>
      </c>
      <c r="O1794" s="2" t="s">
        <v>28</v>
      </c>
      <c r="P1794" s="2" t="s">
        <v>137</v>
      </c>
      <c r="Q1794" s="2" t="s">
        <v>197</v>
      </c>
      <c r="R1794" s="2">
        <v>4</v>
      </c>
      <c r="S1794" s="2">
        <v>46436.56</v>
      </c>
      <c r="T1794" s="2">
        <v>25</v>
      </c>
      <c r="U1794" s="2">
        <v>139309.68</v>
      </c>
      <c r="V1794" s="2">
        <v>80439.53</v>
      </c>
      <c r="W1794" s="2">
        <v>58870.15</v>
      </c>
      <c r="X1794" s="2">
        <v>42.26</v>
      </c>
      <c r="Y1794" s="2">
        <v>29</v>
      </c>
      <c r="Z1794" s="2" t="s">
        <v>47</v>
      </c>
      <c r="AA1794" s="2" t="s">
        <v>186</v>
      </c>
      <c r="AB1794" s="2" t="s">
        <v>101</v>
      </c>
      <c r="AC1794" s="2"/>
    </row>
    <row r="1795" spans="1:29" x14ac:dyDescent="0.3">
      <c r="A1795" s="3" t="s">
        <v>8125</v>
      </c>
      <c r="B1795" s="3" t="s">
        <v>8126</v>
      </c>
      <c r="C1795" s="3" t="s">
        <v>278</v>
      </c>
      <c r="D1795" s="3" t="s">
        <v>4838</v>
      </c>
      <c r="E1795" s="3" t="s">
        <v>33</v>
      </c>
      <c r="F1795" s="3" t="s">
        <v>597</v>
      </c>
      <c r="G1795" s="3" t="s">
        <v>2659</v>
      </c>
      <c r="H1795" s="3" t="s">
        <v>4673</v>
      </c>
      <c r="I1795" s="3">
        <v>7</v>
      </c>
      <c r="J1795" s="3" t="s">
        <v>29</v>
      </c>
      <c r="K1795" s="3" t="s">
        <v>334</v>
      </c>
      <c r="L1795" s="3" t="s">
        <v>335</v>
      </c>
      <c r="M1795" s="3" t="s">
        <v>8127</v>
      </c>
      <c r="N1795" s="3" t="s">
        <v>484</v>
      </c>
      <c r="O1795" s="3" t="s">
        <v>13</v>
      </c>
      <c r="P1795" s="3" t="s">
        <v>98</v>
      </c>
      <c r="Q1795" s="3" t="s">
        <v>207</v>
      </c>
      <c r="R1795" s="3">
        <v>3</v>
      </c>
      <c r="S1795" s="3">
        <v>33978.06</v>
      </c>
      <c r="T1795" s="3">
        <v>20</v>
      </c>
      <c r="U1795" s="3">
        <v>81547.34</v>
      </c>
      <c r="V1795" s="3">
        <v>53423.81</v>
      </c>
      <c r="W1795" s="3">
        <v>28123.53</v>
      </c>
      <c r="X1795" s="3">
        <v>34.49</v>
      </c>
      <c r="Y1795" s="3">
        <v>199</v>
      </c>
      <c r="Z1795" s="3" t="s">
        <v>15</v>
      </c>
      <c r="AA1795" s="3" t="s">
        <v>100</v>
      </c>
      <c r="AB1795" s="3" t="s">
        <v>101</v>
      </c>
      <c r="AC1795" s="3">
        <v>3</v>
      </c>
    </row>
    <row r="1796" spans="1:29" x14ac:dyDescent="0.3">
      <c r="A1796" s="2" t="s">
        <v>8128</v>
      </c>
      <c r="B1796" s="2" t="s">
        <v>8129</v>
      </c>
      <c r="C1796" s="2" t="s">
        <v>3865</v>
      </c>
      <c r="D1796" s="2" t="s">
        <v>8130</v>
      </c>
      <c r="E1796" s="2" t="s">
        <v>33</v>
      </c>
      <c r="F1796" s="2" t="s">
        <v>3740</v>
      </c>
      <c r="G1796" s="2" t="s">
        <v>3301</v>
      </c>
      <c r="H1796" s="2" t="s">
        <v>2293</v>
      </c>
      <c r="I1796" s="2">
        <v>2</v>
      </c>
      <c r="J1796" s="2" t="s">
        <v>29</v>
      </c>
      <c r="K1796" s="2" t="s">
        <v>160</v>
      </c>
      <c r="L1796" s="2" t="s">
        <v>976</v>
      </c>
      <c r="M1796" s="2" t="s">
        <v>3148</v>
      </c>
      <c r="N1796" s="2" t="s">
        <v>354</v>
      </c>
      <c r="O1796" s="2" t="s">
        <v>21</v>
      </c>
      <c r="P1796" s="2" t="s">
        <v>196</v>
      </c>
      <c r="Q1796" s="2" t="s">
        <v>197</v>
      </c>
      <c r="R1796" s="2">
        <v>3</v>
      </c>
      <c r="S1796" s="2">
        <v>32949.74</v>
      </c>
      <c r="T1796" s="2">
        <v>0</v>
      </c>
      <c r="U1796" s="2">
        <v>98849.22</v>
      </c>
      <c r="V1796" s="2">
        <v>60171.85</v>
      </c>
      <c r="W1796" s="2">
        <v>38677.370000000003</v>
      </c>
      <c r="X1796" s="2">
        <v>39.130000000000003</v>
      </c>
      <c r="Y1796" s="2">
        <v>49</v>
      </c>
      <c r="Z1796" s="2" t="s">
        <v>48</v>
      </c>
      <c r="AA1796" s="2" t="s">
        <v>100</v>
      </c>
      <c r="AB1796" s="2" t="s">
        <v>140</v>
      </c>
      <c r="AC1796" s="2">
        <v>1</v>
      </c>
    </row>
    <row r="1797" spans="1:29" x14ac:dyDescent="0.3">
      <c r="A1797" s="3" t="s">
        <v>8131</v>
      </c>
      <c r="B1797" s="3" t="s">
        <v>8132</v>
      </c>
      <c r="C1797" s="3" t="s">
        <v>716</v>
      </c>
      <c r="D1797" s="3" t="s">
        <v>8133</v>
      </c>
      <c r="E1797" s="3" t="s">
        <v>33</v>
      </c>
      <c r="F1797" s="3" t="s">
        <v>2836</v>
      </c>
      <c r="G1797" s="3" t="s">
        <v>1632</v>
      </c>
      <c r="H1797" s="3" t="s">
        <v>1887</v>
      </c>
      <c r="I1797" s="3">
        <v>5</v>
      </c>
      <c r="J1797" s="3" t="s">
        <v>22</v>
      </c>
      <c r="K1797" s="3" t="s">
        <v>443</v>
      </c>
      <c r="L1797" s="3" t="s">
        <v>498</v>
      </c>
      <c r="M1797" s="3" t="s">
        <v>8134</v>
      </c>
      <c r="N1797" s="3" t="s">
        <v>1188</v>
      </c>
      <c r="O1797" s="3" t="s">
        <v>27</v>
      </c>
      <c r="P1797" s="3" t="s">
        <v>257</v>
      </c>
      <c r="Q1797" s="3" t="s">
        <v>138</v>
      </c>
      <c r="R1797" s="3">
        <v>1</v>
      </c>
      <c r="S1797" s="3">
        <v>38105.01</v>
      </c>
      <c r="T1797" s="3">
        <v>20</v>
      </c>
      <c r="U1797" s="3">
        <v>30484.01</v>
      </c>
      <c r="V1797" s="3">
        <v>17649.02</v>
      </c>
      <c r="W1797" s="3">
        <v>12834.99</v>
      </c>
      <c r="X1797" s="3">
        <v>42.1</v>
      </c>
      <c r="Y1797" s="3">
        <v>149</v>
      </c>
      <c r="Z1797" s="3" t="s">
        <v>23</v>
      </c>
      <c r="AA1797" s="3" t="s">
        <v>100</v>
      </c>
      <c r="AB1797" s="3" t="s">
        <v>101</v>
      </c>
      <c r="AC1797" s="3"/>
    </row>
    <row r="1798" spans="1:29" x14ac:dyDescent="0.3">
      <c r="A1798" s="2" t="s">
        <v>8135</v>
      </c>
      <c r="B1798" s="2" t="s">
        <v>8136</v>
      </c>
      <c r="C1798" s="2" t="s">
        <v>1166</v>
      </c>
      <c r="D1798" s="2" t="s">
        <v>7840</v>
      </c>
      <c r="E1798" s="2" t="s">
        <v>18</v>
      </c>
      <c r="F1798" s="2" t="s">
        <v>1688</v>
      </c>
      <c r="G1798" s="2" t="s">
        <v>2226</v>
      </c>
      <c r="H1798" s="2" t="s">
        <v>581</v>
      </c>
      <c r="I1798" s="2">
        <v>6</v>
      </c>
      <c r="J1798" s="2" t="s">
        <v>14</v>
      </c>
      <c r="K1798" s="2" t="s">
        <v>95</v>
      </c>
      <c r="L1798" s="2" t="s">
        <v>95</v>
      </c>
      <c r="M1798" s="2" t="s">
        <v>7205</v>
      </c>
      <c r="N1798" s="2" t="s">
        <v>1611</v>
      </c>
      <c r="O1798" s="2" t="s">
        <v>19</v>
      </c>
      <c r="P1798" s="2" t="s">
        <v>365</v>
      </c>
      <c r="Q1798" s="2" t="s">
        <v>152</v>
      </c>
      <c r="R1798" s="2">
        <v>1</v>
      </c>
      <c r="S1798" s="2">
        <v>30676.69</v>
      </c>
      <c r="T1798" s="2">
        <v>5</v>
      </c>
      <c r="U1798" s="2">
        <v>29142.86</v>
      </c>
      <c r="V1798" s="2">
        <v>13323.99</v>
      </c>
      <c r="W1798" s="2">
        <v>15818.87</v>
      </c>
      <c r="X1798" s="2">
        <v>54.28</v>
      </c>
      <c r="Y1798" s="2">
        <v>199</v>
      </c>
      <c r="Z1798" s="2" t="s">
        <v>15</v>
      </c>
      <c r="AA1798" s="2" t="s">
        <v>672</v>
      </c>
      <c r="AB1798" s="2" t="s">
        <v>101</v>
      </c>
      <c r="AC1798" s="2"/>
    </row>
    <row r="1799" spans="1:29" x14ac:dyDescent="0.3">
      <c r="A1799" s="3" t="s">
        <v>8137</v>
      </c>
      <c r="B1799" s="3" t="s">
        <v>8138</v>
      </c>
      <c r="C1799" s="3" t="s">
        <v>603</v>
      </c>
      <c r="D1799" s="3" t="s">
        <v>3579</v>
      </c>
      <c r="E1799" s="3" t="s">
        <v>26</v>
      </c>
      <c r="F1799" s="3" t="s">
        <v>4633</v>
      </c>
      <c r="G1799" s="3" t="s">
        <v>1079</v>
      </c>
      <c r="H1799" s="3" t="s">
        <v>1080</v>
      </c>
      <c r="I1799" s="3">
        <v>2</v>
      </c>
      <c r="J1799" s="3" t="s">
        <v>14</v>
      </c>
      <c r="K1799" s="3" t="s">
        <v>215</v>
      </c>
      <c r="L1799" s="3" t="s">
        <v>215</v>
      </c>
      <c r="M1799" s="3" t="s">
        <v>8139</v>
      </c>
      <c r="N1799" s="3" t="s">
        <v>136</v>
      </c>
      <c r="O1799" s="3" t="s">
        <v>28</v>
      </c>
      <c r="P1799" s="3" t="s">
        <v>137</v>
      </c>
      <c r="Q1799" s="3" t="s">
        <v>608</v>
      </c>
      <c r="R1799" s="3">
        <v>3</v>
      </c>
      <c r="S1799" s="3">
        <v>39865.57</v>
      </c>
      <c r="T1799" s="3">
        <v>30</v>
      </c>
      <c r="U1799" s="3">
        <v>83717.7</v>
      </c>
      <c r="V1799" s="3">
        <v>54637.34</v>
      </c>
      <c r="W1799" s="3">
        <v>29080.36</v>
      </c>
      <c r="X1799" s="3">
        <v>34.74</v>
      </c>
      <c r="Y1799" s="3">
        <v>199</v>
      </c>
      <c r="Z1799" s="3" t="s">
        <v>15</v>
      </c>
      <c r="AA1799" s="3" t="s">
        <v>100</v>
      </c>
      <c r="AB1799" s="3" t="s">
        <v>101</v>
      </c>
      <c r="AC1799" s="3">
        <v>1</v>
      </c>
    </row>
    <row r="1800" spans="1:29" x14ac:dyDescent="0.3">
      <c r="A1800" s="2" t="s">
        <v>8140</v>
      </c>
      <c r="B1800" s="2" t="s">
        <v>8141</v>
      </c>
      <c r="C1800" s="2" t="s">
        <v>816</v>
      </c>
      <c r="D1800" s="2" t="s">
        <v>8142</v>
      </c>
      <c r="E1800" s="2" t="s">
        <v>33</v>
      </c>
      <c r="F1800" s="2" t="s">
        <v>1512</v>
      </c>
      <c r="G1800" s="2" t="s">
        <v>2058</v>
      </c>
      <c r="H1800" s="2" t="s">
        <v>1056</v>
      </c>
      <c r="I1800" s="2">
        <v>4</v>
      </c>
      <c r="J1800" s="2" t="s">
        <v>14</v>
      </c>
      <c r="K1800" s="2" t="s">
        <v>95</v>
      </c>
      <c r="L1800" s="2" t="s">
        <v>95</v>
      </c>
      <c r="M1800" s="2" t="s">
        <v>285</v>
      </c>
      <c r="N1800" s="2" t="s">
        <v>136</v>
      </c>
      <c r="O1800" s="2" t="s">
        <v>28</v>
      </c>
      <c r="P1800" s="2" t="s">
        <v>137</v>
      </c>
      <c r="Q1800" s="2" t="s">
        <v>509</v>
      </c>
      <c r="R1800" s="2">
        <v>4</v>
      </c>
      <c r="S1800" s="2">
        <v>11278.27</v>
      </c>
      <c r="T1800" s="2">
        <v>20</v>
      </c>
      <c r="U1800" s="2">
        <v>36090.46</v>
      </c>
      <c r="V1800" s="2">
        <v>22896.7</v>
      </c>
      <c r="W1800" s="2">
        <v>13193.76</v>
      </c>
      <c r="X1800" s="2">
        <v>36.56</v>
      </c>
      <c r="Y1800" s="2">
        <v>49</v>
      </c>
      <c r="Z1800" s="2" t="s">
        <v>30</v>
      </c>
      <c r="AA1800" s="2" t="s">
        <v>100</v>
      </c>
      <c r="AB1800" s="2" t="s">
        <v>101</v>
      </c>
      <c r="AC1800" s="2">
        <v>3</v>
      </c>
    </row>
    <row r="1801" spans="1:29" x14ac:dyDescent="0.3">
      <c r="A1801" s="3" t="s">
        <v>8143</v>
      </c>
      <c r="B1801" s="3" t="s">
        <v>8144</v>
      </c>
      <c r="C1801" s="3" t="s">
        <v>4617</v>
      </c>
      <c r="D1801" s="3" t="s">
        <v>8145</v>
      </c>
      <c r="E1801" s="3" t="s">
        <v>26</v>
      </c>
      <c r="F1801" s="3" t="s">
        <v>3180</v>
      </c>
      <c r="G1801" s="3" t="s">
        <v>691</v>
      </c>
      <c r="H1801" s="3" t="s">
        <v>302</v>
      </c>
      <c r="I1801" s="3">
        <v>8</v>
      </c>
      <c r="J1801" s="3" t="s">
        <v>29</v>
      </c>
      <c r="K1801" s="3" t="s">
        <v>148</v>
      </c>
      <c r="L1801" s="3" t="s">
        <v>148</v>
      </c>
      <c r="M1801" s="3" t="s">
        <v>8146</v>
      </c>
      <c r="N1801" s="3" t="s">
        <v>390</v>
      </c>
      <c r="O1801" s="3" t="s">
        <v>19</v>
      </c>
      <c r="P1801" s="3" t="s">
        <v>297</v>
      </c>
      <c r="Q1801" s="3" t="s">
        <v>400</v>
      </c>
      <c r="R1801" s="3">
        <v>5</v>
      </c>
      <c r="S1801" s="3">
        <v>6081.11</v>
      </c>
      <c r="T1801" s="3">
        <v>0</v>
      </c>
      <c r="U1801" s="3">
        <v>30405.55</v>
      </c>
      <c r="V1801" s="3">
        <v>19571.849999999999</v>
      </c>
      <c r="W1801" s="3">
        <v>10833.7</v>
      </c>
      <c r="X1801" s="3">
        <v>35.630000000000003</v>
      </c>
      <c r="Y1801" s="3">
        <v>199</v>
      </c>
      <c r="Z1801" s="3" t="s">
        <v>23</v>
      </c>
      <c r="AA1801" s="3" t="s">
        <v>100</v>
      </c>
      <c r="AB1801" s="3" t="s">
        <v>101</v>
      </c>
      <c r="AC1801" s="3">
        <v>3</v>
      </c>
    </row>
    <row r="1802" spans="1:29" x14ac:dyDescent="0.3">
      <c r="A1802" s="2" t="s">
        <v>8147</v>
      </c>
      <c r="B1802" s="2" t="s">
        <v>8148</v>
      </c>
      <c r="C1802" s="2" t="s">
        <v>1899</v>
      </c>
      <c r="D1802" s="2" t="s">
        <v>8149</v>
      </c>
      <c r="E1802" s="2" t="s">
        <v>42</v>
      </c>
      <c r="F1802" s="2" t="s">
        <v>3252</v>
      </c>
      <c r="G1802" s="2" t="s">
        <v>1407</v>
      </c>
      <c r="H1802" s="2" t="s">
        <v>371</v>
      </c>
      <c r="I1802" s="2">
        <v>3</v>
      </c>
      <c r="J1802" s="2" t="s">
        <v>39</v>
      </c>
      <c r="K1802" s="2" t="s">
        <v>225</v>
      </c>
      <c r="L1802" s="2" t="s">
        <v>225</v>
      </c>
      <c r="M1802" s="2" t="s">
        <v>8150</v>
      </c>
      <c r="N1802" s="2" t="s">
        <v>1188</v>
      </c>
      <c r="O1802" s="2" t="s">
        <v>27</v>
      </c>
      <c r="P1802" s="2" t="s">
        <v>257</v>
      </c>
      <c r="Q1802" s="2" t="s">
        <v>152</v>
      </c>
      <c r="R1802" s="2">
        <v>5</v>
      </c>
      <c r="S1802" s="2">
        <v>27739.98</v>
      </c>
      <c r="T1802" s="2">
        <v>0</v>
      </c>
      <c r="U1802" s="2">
        <v>138699.9</v>
      </c>
      <c r="V1802" s="2">
        <v>63988.36</v>
      </c>
      <c r="W1802" s="2">
        <v>74711.539999999994</v>
      </c>
      <c r="X1802" s="2">
        <v>53.87</v>
      </c>
      <c r="Y1802" s="2">
        <v>49</v>
      </c>
      <c r="Z1802" s="2" t="s">
        <v>43</v>
      </c>
      <c r="AA1802" s="2" t="s">
        <v>100</v>
      </c>
      <c r="AB1802" s="2" t="s">
        <v>101</v>
      </c>
      <c r="AC1802" s="2">
        <v>4</v>
      </c>
    </row>
    <row r="1803" spans="1:29" x14ac:dyDescent="0.3">
      <c r="A1803" s="3" t="s">
        <v>8151</v>
      </c>
      <c r="B1803" s="3" t="s">
        <v>8152</v>
      </c>
      <c r="C1803" s="3" t="s">
        <v>432</v>
      </c>
      <c r="D1803" s="3" t="s">
        <v>8153</v>
      </c>
      <c r="E1803" s="3" t="s">
        <v>33</v>
      </c>
      <c r="F1803" s="3" t="s">
        <v>2653</v>
      </c>
      <c r="G1803" s="3" t="s">
        <v>2654</v>
      </c>
      <c r="H1803" s="3" t="s">
        <v>292</v>
      </c>
      <c r="I1803" s="3">
        <v>7</v>
      </c>
      <c r="J1803" s="3" t="s">
        <v>29</v>
      </c>
      <c r="K1803" s="3" t="s">
        <v>834</v>
      </c>
      <c r="L1803" s="3" t="s">
        <v>901</v>
      </c>
      <c r="M1803" s="3" t="s">
        <v>8154</v>
      </c>
      <c r="N1803" s="3" t="s">
        <v>805</v>
      </c>
      <c r="O1803" s="3" t="s">
        <v>28</v>
      </c>
      <c r="P1803" s="3" t="s">
        <v>151</v>
      </c>
      <c r="Q1803" s="3" t="s">
        <v>138</v>
      </c>
      <c r="R1803" s="3">
        <v>4</v>
      </c>
      <c r="S1803" s="3">
        <v>39361.21</v>
      </c>
      <c r="T1803" s="3">
        <v>25</v>
      </c>
      <c r="U1803" s="3">
        <v>118083.63</v>
      </c>
      <c r="V1803" s="3">
        <v>64210.29</v>
      </c>
      <c r="W1803" s="3">
        <v>53873.34</v>
      </c>
      <c r="X1803" s="3">
        <v>45.62</v>
      </c>
      <c r="Y1803" s="3">
        <v>149</v>
      </c>
      <c r="Z1803" s="3" t="s">
        <v>30</v>
      </c>
      <c r="AA1803" s="3" t="s">
        <v>100</v>
      </c>
      <c r="AB1803" s="3" t="s">
        <v>101</v>
      </c>
      <c r="AC1803" s="3"/>
    </row>
    <row r="1804" spans="1:29" x14ac:dyDescent="0.3">
      <c r="A1804" s="2" t="s">
        <v>8155</v>
      </c>
      <c r="B1804" s="2" t="s">
        <v>3508</v>
      </c>
      <c r="C1804" s="2" t="s">
        <v>1665</v>
      </c>
      <c r="D1804" s="2" t="s">
        <v>8156</v>
      </c>
      <c r="E1804" s="2" t="s">
        <v>18</v>
      </c>
      <c r="F1804" s="2" t="s">
        <v>1179</v>
      </c>
      <c r="G1804" s="2" t="s">
        <v>1127</v>
      </c>
      <c r="H1804" s="2" t="s">
        <v>558</v>
      </c>
      <c r="I1804" s="2">
        <v>2</v>
      </c>
      <c r="J1804" s="2" t="s">
        <v>39</v>
      </c>
      <c r="K1804" s="2" t="s">
        <v>225</v>
      </c>
      <c r="L1804" s="2" t="s">
        <v>225</v>
      </c>
      <c r="M1804" s="2" t="s">
        <v>8157</v>
      </c>
      <c r="N1804" s="2" t="s">
        <v>1332</v>
      </c>
      <c r="O1804" s="2" t="s">
        <v>19</v>
      </c>
      <c r="P1804" s="2" t="s">
        <v>447</v>
      </c>
      <c r="Q1804" s="2" t="s">
        <v>207</v>
      </c>
      <c r="R1804" s="2">
        <v>5</v>
      </c>
      <c r="S1804" s="2">
        <v>1535.44</v>
      </c>
      <c r="T1804" s="2">
        <v>0</v>
      </c>
      <c r="U1804" s="2">
        <v>7677.2</v>
      </c>
      <c r="V1804" s="2">
        <v>4784.17</v>
      </c>
      <c r="W1804" s="2">
        <v>2893.03</v>
      </c>
      <c r="X1804" s="2">
        <v>37.68</v>
      </c>
      <c r="Y1804" s="2">
        <v>49</v>
      </c>
      <c r="Z1804" s="2" t="s">
        <v>48</v>
      </c>
      <c r="AA1804" s="2" t="s">
        <v>100</v>
      </c>
      <c r="AB1804" s="2" t="s">
        <v>101</v>
      </c>
      <c r="AC1804" s="2">
        <v>5</v>
      </c>
    </row>
    <row r="1805" spans="1:29" x14ac:dyDescent="0.3">
      <c r="A1805" s="3" t="s">
        <v>8158</v>
      </c>
      <c r="B1805" s="3" t="s">
        <v>8159</v>
      </c>
      <c r="C1805" s="3" t="s">
        <v>521</v>
      </c>
      <c r="D1805" s="3" t="s">
        <v>8160</v>
      </c>
      <c r="E1805" s="3" t="s">
        <v>26</v>
      </c>
      <c r="F1805" s="3" t="s">
        <v>4498</v>
      </c>
      <c r="G1805" s="3" t="s">
        <v>1609</v>
      </c>
      <c r="H1805" s="3" t="s">
        <v>3803</v>
      </c>
      <c r="I1805" s="3">
        <v>3</v>
      </c>
      <c r="J1805" s="3" t="s">
        <v>22</v>
      </c>
      <c r="K1805" s="3" t="s">
        <v>283</v>
      </c>
      <c r="L1805" s="3" t="s">
        <v>1346</v>
      </c>
      <c r="M1805" s="3" t="s">
        <v>8161</v>
      </c>
      <c r="N1805" s="3" t="s">
        <v>592</v>
      </c>
      <c r="O1805" s="3" t="s">
        <v>21</v>
      </c>
      <c r="P1805" s="3" t="s">
        <v>206</v>
      </c>
      <c r="Q1805" s="3" t="s">
        <v>197</v>
      </c>
      <c r="R1805" s="3">
        <v>2</v>
      </c>
      <c r="S1805" s="3">
        <v>42883.99</v>
      </c>
      <c r="T1805" s="3">
        <v>15</v>
      </c>
      <c r="U1805" s="3">
        <v>72902.78</v>
      </c>
      <c r="V1805" s="3">
        <v>38721.97</v>
      </c>
      <c r="W1805" s="3">
        <v>34180.81</v>
      </c>
      <c r="X1805" s="3">
        <v>46.89</v>
      </c>
      <c r="Y1805" s="3">
        <v>0</v>
      </c>
      <c r="Z1805" s="3" t="s">
        <v>40</v>
      </c>
      <c r="AA1805" s="3" t="s">
        <v>100</v>
      </c>
      <c r="AB1805" s="3" t="s">
        <v>101</v>
      </c>
      <c r="AC1805" s="3">
        <v>2</v>
      </c>
    </row>
    <row r="1806" spans="1:29" x14ac:dyDescent="0.3">
      <c r="A1806" s="2" t="s">
        <v>8162</v>
      </c>
      <c r="B1806" s="2" t="s">
        <v>3917</v>
      </c>
      <c r="C1806" s="2" t="s">
        <v>1792</v>
      </c>
      <c r="D1806" s="2" t="s">
        <v>1839</v>
      </c>
      <c r="E1806" s="2" t="s">
        <v>18</v>
      </c>
      <c r="F1806" s="2" t="s">
        <v>3237</v>
      </c>
      <c r="G1806" s="2" t="s">
        <v>3042</v>
      </c>
      <c r="H1806" s="2" t="s">
        <v>3781</v>
      </c>
      <c r="I1806" s="2">
        <v>7</v>
      </c>
      <c r="J1806" s="2" t="s">
        <v>22</v>
      </c>
      <c r="K1806" s="2" t="s">
        <v>283</v>
      </c>
      <c r="L1806" s="2" t="s">
        <v>1346</v>
      </c>
      <c r="M1806" s="2" t="s">
        <v>8163</v>
      </c>
      <c r="N1806" s="2" t="s">
        <v>1051</v>
      </c>
      <c r="O1806" s="2" t="s">
        <v>28</v>
      </c>
      <c r="P1806" s="2" t="s">
        <v>151</v>
      </c>
      <c r="Q1806" s="2" t="s">
        <v>608</v>
      </c>
      <c r="R1806" s="2">
        <v>3</v>
      </c>
      <c r="S1806" s="2">
        <v>36661.089999999997</v>
      </c>
      <c r="T1806" s="2">
        <v>5</v>
      </c>
      <c r="U1806" s="2">
        <v>104484.11</v>
      </c>
      <c r="V1806" s="2">
        <v>68075.740000000005</v>
      </c>
      <c r="W1806" s="2">
        <v>36408.370000000003</v>
      </c>
      <c r="X1806" s="2">
        <v>34.85</v>
      </c>
      <c r="Y1806" s="2">
        <v>0</v>
      </c>
      <c r="Z1806" s="2" t="s">
        <v>15</v>
      </c>
      <c r="AA1806" s="2" t="s">
        <v>100</v>
      </c>
      <c r="AB1806" s="2" t="s">
        <v>101</v>
      </c>
      <c r="AC1806" s="2"/>
    </row>
    <row r="1807" spans="1:29" x14ac:dyDescent="0.3">
      <c r="A1807" s="3" t="s">
        <v>8164</v>
      </c>
      <c r="B1807" s="3" t="s">
        <v>8165</v>
      </c>
      <c r="C1807" s="3" t="s">
        <v>689</v>
      </c>
      <c r="D1807" s="3" t="s">
        <v>5152</v>
      </c>
      <c r="E1807" s="3" t="s">
        <v>33</v>
      </c>
      <c r="F1807" s="3" t="s">
        <v>1616</v>
      </c>
      <c r="G1807" s="3" t="s">
        <v>3200</v>
      </c>
      <c r="H1807" s="3" t="s">
        <v>1079</v>
      </c>
      <c r="I1807" s="3">
        <v>6</v>
      </c>
      <c r="J1807" s="3" t="s">
        <v>39</v>
      </c>
      <c r="K1807" s="3" t="s">
        <v>324</v>
      </c>
      <c r="L1807" s="3" t="s">
        <v>1422</v>
      </c>
      <c r="M1807" s="3" t="s">
        <v>8166</v>
      </c>
      <c r="N1807" s="3" t="s">
        <v>256</v>
      </c>
      <c r="O1807" s="3" t="s">
        <v>27</v>
      </c>
      <c r="P1807" s="3" t="s">
        <v>257</v>
      </c>
      <c r="Q1807" s="3" t="s">
        <v>608</v>
      </c>
      <c r="R1807" s="3">
        <v>5</v>
      </c>
      <c r="S1807" s="3">
        <v>12303.91</v>
      </c>
      <c r="T1807" s="3">
        <v>0</v>
      </c>
      <c r="U1807" s="3">
        <v>61519.55</v>
      </c>
      <c r="V1807" s="3">
        <v>34353.01</v>
      </c>
      <c r="W1807" s="3">
        <v>27166.54</v>
      </c>
      <c r="X1807" s="3">
        <v>44.16</v>
      </c>
      <c r="Y1807" s="3">
        <v>99</v>
      </c>
      <c r="Z1807" s="3" t="s">
        <v>23</v>
      </c>
      <c r="AA1807" s="3" t="s">
        <v>186</v>
      </c>
      <c r="AB1807" s="3" t="s">
        <v>101</v>
      </c>
      <c r="AC1807" s="3"/>
    </row>
    <row r="1808" spans="1:29" x14ac:dyDescent="0.3">
      <c r="A1808" s="2" t="s">
        <v>8167</v>
      </c>
      <c r="B1808" s="2" t="s">
        <v>8168</v>
      </c>
      <c r="C1808" s="2" t="s">
        <v>651</v>
      </c>
      <c r="D1808" s="2" t="s">
        <v>8169</v>
      </c>
      <c r="E1808" s="2" t="s">
        <v>26</v>
      </c>
      <c r="F1808" s="2" t="s">
        <v>1653</v>
      </c>
      <c r="G1808" s="2" t="s">
        <v>4144</v>
      </c>
      <c r="H1808" s="2" t="s">
        <v>2921</v>
      </c>
      <c r="I1808" s="2">
        <v>3</v>
      </c>
      <c r="J1808" s="2" t="s">
        <v>22</v>
      </c>
      <c r="K1808" s="2" t="s">
        <v>254</v>
      </c>
      <c r="L1808" s="2" t="s">
        <v>254</v>
      </c>
      <c r="M1808" s="2" t="s">
        <v>8170</v>
      </c>
      <c r="N1808" s="2" t="s">
        <v>533</v>
      </c>
      <c r="O1808" s="2" t="s">
        <v>19</v>
      </c>
      <c r="P1808" s="2" t="s">
        <v>297</v>
      </c>
      <c r="Q1808" s="2" t="s">
        <v>400</v>
      </c>
      <c r="R1808" s="2">
        <v>4</v>
      </c>
      <c r="S1808" s="2">
        <v>42531.67</v>
      </c>
      <c r="T1808" s="2">
        <v>10</v>
      </c>
      <c r="U1808" s="2">
        <v>153114.01</v>
      </c>
      <c r="V1808" s="2">
        <v>106407.61</v>
      </c>
      <c r="W1808" s="2">
        <v>46706.400000000001</v>
      </c>
      <c r="X1808" s="2">
        <v>30.5</v>
      </c>
      <c r="Y1808" s="2">
        <v>149</v>
      </c>
      <c r="Z1808" s="2" t="s">
        <v>40</v>
      </c>
      <c r="AA1808" s="2" t="s">
        <v>275</v>
      </c>
      <c r="AB1808" s="2" t="s">
        <v>101</v>
      </c>
      <c r="AC1808" s="2"/>
    </row>
    <row r="1809" spans="1:29" x14ac:dyDescent="0.3">
      <c r="A1809" s="3" t="s">
        <v>8171</v>
      </c>
      <c r="B1809" s="3" t="s">
        <v>8172</v>
      </c>
      <c r="C1809" s="3" t="s">
        <v>1492</v>
      </c>
      <c r="D1809" s="3" t="s">
        <v>8173</v>
      </c>
      <c r="E1809" s="3" t="s">
        <v>33</v>
      </c>
      <c r="F1809" s="3" t="s">
        <v>2046</v>
      </c>
      <c r="G1809" s="3" t="s">
        <v>2047</v>
      </c>
      <c r="H1809" s="3" t="s">
        <v>3623</v>
      </c>
      <c r="I1809" s="3">
        <v>4</v>
      </c>
      <c r="J1809" s="3" t="s">
        <v>29</v>
      </c>
      <c r="K1809" s="3" t="s">
        <v>148</v>
      </c>
      <c r="L1809" s="3" t="s">
        <v>148</v>
      </c>
      <c r="M1809" s="3" t="s">
        <v>8174</v>
      </c>
      <c r="N1809" s="3" t="s">
        <v>551</v>
      </c>
      <c r="O1809" s="3" t="s">
        <v>13</v>
      </c>
      <c r="P1809" s="3" t="s">
        <v>98</v>
      </c>
      <c r="Q1809" s="3" t="s">
        <v>218</v>
      </c>
      <c r="R1809" s="3">
        <v>3</v>
      </c>
      <c r="S1809" s="3">
        <v>6885.74</v>
      </c>
      <c r="T1809" s="3">
        <v>0</v>
      </c>
      <c r="U1809" s="3">
        <v>20657.22</v>
      </c>
      <c r="V1809" s="3">
        <v>14281.17</v>
      </c>
      <c r="W1809" s="3">
        <v>6376.05</v>
      </c>
      <c r="X1809" s="3">
        <v>30.87</v>
      </c>
      <c r="Y1809" s="3">
        <v>49</v>
      </c>
      <c r="Z1809" s="3" t="s">
        <v>48</v>
      </c>
      <c r="AA1809" s="3" t="s">
        <v>100</v>
      </c>
      <c r="AB1809" s="3" t="s">
        <v>101</v>
      </c>
      <c r="AC1809" s="3"/>
    </row>
    <row r="1810" spans="1:29" x14ac:dyDescent="0.3">
      <c r="A1810" s="2" t="s">
        <v>8175</v>
      </c>
      <c r="B1810" s="2" t="s">
        <v>8176</v>
      </c>
      <c r="C1810" s="2" t="s">
        <v>2882</v>
      </c>
      <c r="D1810" s="2" t="s">
        <v>8177</v>
      </c>
      <c r="E1810" s="2" t="s">
        <v>26</v>
      </c>
      <c r="F1810" s="2" t="s">
        <v>2872</v>
      </c>
      <c r="G1810" s="2" t="s">
        <v>2873</v>
      </c>
      <c r="H1810" s="2" t="s">
        <v>573</v>
      </c>
      <c r="I1810" s="2">
        <v>2</v>
      </c>
      <c r="J1810" s="2" t="s">
        <v>29</v>
      </c>
      <c r="K1810" s="2" t="s">
        <v>160</v>
      </c>
      <c r="L1810" s="2" t="s">
        <v>161</v>
      </c>
      <c r="M1810" s="2" t="s">
        <v>1278</v>
      </c>
      <c r="N1810" s="2" t="s">
        <v>924</v>
      </c>
      <c r="O1810" s="2" t="s">
        <v>13</v>
      </c>
      <c r="P1810" s="2" t="s">
        <v>228</v>
      </c>
      <c r="Q1810" s="2" t="s">
        <v>509</v>
      </c>
      <c r="R1810" s="2">
        <v>4</v>
      </c>
      <c r="S1810" s="2">
        <v>45541.79</v>
      </c>
      <c r="T1810" s="2">
        <v>20</v>
      </c>
      <c r="U1810" s="2">
        <v>145733.73000000001</v>
      </c>
      <c r="V1810" s="2">
        <v>71866.63</v>
      </c>
      <c r="W1810" s="2">
        <v>73867.100000000006</v>
      </c>
      <c r="X1810" s="2">
        <v>50.69</v>
      </c>
      <c r="Y1810" s="2">
        <v>199</v>
      </c>
      <c r="Z1810" s="2" t="s">
        <v>43</v>
      </c>
      <c r="AA1810" s="2" t="s">
        <v>100</v>
      </c>
      <c r="AB1810" s="2" t="s">
        <v>101</v>
      </c>
      <c r="AC1810" s="2">
        <v>4</v>
      </c>
    </row>
    <row r="1811" spans="1:29" x14ac:dyDescent="0.3">
      <c r="A1811" s="3" t="s">
        <v>8178</v>
      </c>
      <c r="B1811" s="3" t="s">
        <v>449</v>
      </c>
      <c r="C1811" s="3" t="s">
        <v>2298</v>
      </c>
      <c r="D1811" s="3" t="s">
        <v>8179</v>
      </c>
      <c r="E1811" s="3" t="s">
        <v>33</v>
      </c>
      <c r="F1811" s="3" t="s">
        <v>646</v>
      </c>
      <c r="G1811" s="3" t="s">
        <v>360</v>
      </c>
      <c r="H1811" s="3" t="s">
        <v>1771</v>
      </c>
      <c r="I1811" s="3">
        <v>3</v>
      </c>
      <c r="J1811" s="3" t="s">
        <v>29</v>
      </c>
      <c r="K1811" s="3" t="s">
        <v>148</v>
      </c>
      <c r="L1811" s="3" t="s">
        <v>148</v>
      </c>
      <c r="M1811" s="3" t="s">
        <v>8180</v>
      </c>
      <c r="N1811" s="3" t="s">
        <v>592</v>
      </c>
      <c r="O1811" s="3" t="s">
        <v>21</v>
      </c>
      <c r="P1811" s="3" t="s">
        <v>206</v>
      </c>
      <c r="Q1811" s="3" t="s">
        <v>466</v>
      </c>
      <c r="R1811" s="3">
        <v>2</v>
      </c>
      <c r="S1811" s="3">
        <v>21492.52</v>
      </c>
      <c r="T1811" s="3">
        <v>25</v>
      </c>
      <c r="U1811" s="3">
        <v>32238.78</v>
      </c>
      <c r="V1811" s="3">
        <v>15216.12</v>
      </c>
      <c r="W1811" s="3">
        <v>17022.66</v>
      </c>
      <c r="X1811" s="3">
        <v>52.8</v>
      </c>
      <c r="Y1811" s="3">
        <v>149</v>
      </c>
      <c r="Z1811" s="3" t="s">
        <v>48</v>
      </c>
      <c r="AA1811" s="3" t="s">
        <v>275</v>
      </c>
      <c r="AB1811" s="3" t="s">
        <v>101</v>
      </c>
      <c r="AC1811" s="3"/>
    </row>
    <row r="1812" spans="1:29" x14ac:dyDescent="0.3">
      <c r="A1812" s="2" t="s">
        <v>8181</v>
      </c>
      <c r="B1812" s="2" t="s">
        <v>8182</v>
      </c>
      <c r="C1812" s="2" t="s">
        <v>1797</v>
      </c>
      <c r="D1812" s="2" t="s">
        <v>8183</v>
      </c>
      <c r="E1812" s="2" t="s">
        <v>18</v>
      </c>
      <c r="F1812" s="2" t="s">
        <v>1996</v>
      </c>
      <c r="G1812" s="2" t="s">
        <v>6667</v>
      </c>
      <c r="H1812" s="2" t="s">
        <v>1306</v>
      </c>
      <c r="I1812" s="2">
        <v>4</v>
      </c>
      <c r="J1812" s="2" t="s">
        <v>29</v>
      </c>
      <c r="K1812" s="2" t="s">
        <v>427</v>
      </c>
      <c r="L1812" s="2" t="s">
        <v>428</v>
      </c>
      <c r="M1812" s="2" t="s">
        <v>8184</v>
      </c>
      <c r="N1812" s="2" t="s">
        <v>1188</v>
      </c>
      <c r="O1812" s="2" t="s">
        <v>27</v>
      </c>
      <c r="P1812" s="2" t="s">
        <v>257</v>
      </c>
      <c r="Q1812" s="2" t="s">
        <v>127</v>
      </c>
      <c r="R1812" s="2">
        <v>4</v>
      </c>
      <c r="S1812" s="2">
        <v>40651.18</v>
      </c>
      <c r="T1812" s="2">
        <v>15</v>
      </c>
      <c r="U1812" s="2">
        <v>138214.01</v>
      </c>
      <c r="V1812" s="2">
        <v>77029.990000000005</v>
      </c>
      <c r="W1812" s="2">
        <v>61184.02</v>
      </c>
      <c r="X1812" s="2">
        <v>44.27</v>
      </c>
      <c r="Y1812" s="2">
        <v>99</v>
      </c>
      <c r="Z1812" s="2" t="s">
        <v>43</v>
      </c>
      <c r="AA1812" s="2" t="s">
        <v>100</v>
      </c>
      <c r="AB1812" s="2" t="s">
        <v>101</v>
      </c>
      <c r="AC1812" s="2"/>
    </row>
    <row r="1813" spans="1:29" x14ac:dyDescent="0.3">
      <c r="A1813" s="3" t="s">
        <v>8185</v>
      </c>
      <c r="B1813" s="3" t="s">
        <v>8186</v>
      </c>
      <c r="C1813" s="3" t="s">
        <v>1492</v>
      </c>
      <c r="D1813" s="3" t="s">
        <v>8187</v>
      </c>
      <c r="E1813" s="3" t="s">
        <v>26</v>
      </c>
      <c r="F1813" s="3" t="s">
        <v>515</v>
      </c>
      <c r="G1813" s="3" t="s">
        <v>997</v>
      </c>
      <c r="H1813" s="3" t="s">
        <v>516</v>
      </c>
      <c r="I1813" s="3">
        <v>5</v>
      </c>
      <c r="J1813" s="3" t="s">
        <v>14</v>
      </c>
      <c r="K1813" s="3" t="s">
        <v>215</v>
      </c>
      <c r="L1813" s="3" t="s">
        <v>215</v>
      </c>
      <c r="M1813" s="3" t="s">
        <v>8188</v>
      </c>
      <c r="N1813" s="3" t="s">
        <v>631</v>
      </c>
      <c r="O1813" s="3" t="s">
        <v>19</v>
      </c>
      <c r="P1813" s="3" t="s">
        <v>297</v>
      </c>
      <c r="Q1813" s="3" t="s">
        <v>509</v>
      </c>
      <c r="R1813" s="3">
        <v>5</v>
      </c>
      <c r="S1813" s="3">
        <v>31047.19</v>
      </c>
      <c r="T1813" s="3">
        <v>20</v>
      </c>
      <c r="U1813" s="3">
        <v>124188.76</v>
      </c>
      <c r="V1813" s="3">
        <v>65704.929999999993</v>
      </c>
      <c r="W1813" s="3">
        <v>58483.83</v>
      </c>
      <c r="X1813" s="3">
        <v>47.09</v>
      </c>
      <c r="Y1813" s="3">
        <v>0</v>
      </c>
      <c r="Z1813" s="3" t="s">
        <v>48</v>
      </c>
      <c r="AA1813" s="3" t="s">
        <v>186</v>
      </c>
      <c r="AB1813" s="3" t="s">
        <v>101</v>
      </c>
      <c r="AC1813" s="3"/>
    </row>
    <row r="1814" spans="1:29" x14ac:dyDescent="0.3">
      <c r="A1814" s="2" t="s">
        <v>8189</v>
      </c>
      <c r="B1814" s="2" t="s">
        <v>8190</v>
      </c>
      <c r="C1814" s="2" t="s">
        <v>1395</v>
      </c>
      <c r="D1814" s="2" t="s">
        <v>8191</v>
      </c>
      <c r="E1814" s="2" t="s">
        <v>18</v>
      </c>
      <c r="F1814" s="2" t="s">
        <v>3797</v>
      </c>
      <c r="G1814" s="2" t="s">
        <v>778</v>
      </c>
      <c r="H1814" s="2" t="s">
        <v>566</v>
      </c>
      <c r="I1814" s="2">
        <v>5</v>
      </c>
      <c r="J1814" s="2" t="s">
        <v>29</v>
      </c>
      <c r="K1814" s="2" t="s">
        <v>160</v>
      </c>
      <c r="L1814" s="2" t="s">
        <v>161</v>
      </c>
      <c r="M1814" s="2" t="s">
        <v>5320</v>
      </c>
      <c r="N1814" s="2" t="s">
        <v>418</v>
      </c>
      <c r="O1814" s="2" t="s">
        <v>13</v>
      </c>
      <c r="P1814" s="2" t="s">
        <v>419</v>
      </c>
      <c r="Q1814" s="2" t="s">
        <v>207</v>
      </c>
      <c r="R1814" s="2">
        <v>5</v>
      </c>
      <c r="S1814" s="2">
        <v>44564.84</v>
      </c>
      <c r="T1814" s="2">
        <v>10</v>
      </c>
      <c r="U1814" s="2">
        <v>200541.78</v>
      </c>
      <c r="V1814" s="2">
        <v>110067.88</v>
      </c>
      <c r="W1814" s="2">
        <v>90473.9</v>
      </c>
      <c r="X1814" s="2">
        <v>45.11</v>
      </c>
      <c r="Y1814" s="2">
        <v>199</v>
      </c>
      <c r="Z1814" s="2" t="s">
        <v>30</v>
      </c>
      <c r="AA1814" s="2" t="s">
        <v>186</v>
      </c>
      <c r="AB1814" s="2" t="s">
        <v>101</v>
      </c>
      <c r="AC1814" s="2"/>
    </row>
    <row r="1815" spans="1:29" x14ac:dyDescent="0.3">
      <c r="A1815" s="3" t="s">
        <v>8192</v>
      </c>
      <c r="B1815" s="3" t="s">
        <v>8193</v>
      </c>
      <c r="C1815" s="3" t="s">
        <v>104</v>
      </c>
      <c r="D1815" s="3" t="s">
        <v>8194</v>
      </c>
      <c r="E1815" s="3" t="s">
        <v>33</v>
      </c>
      <c r="F1815" s="3" t="s">
        <v>872</v>
      </c>
      <c r="G1815" s="3" t="s">
        <v>1756</v>
      </c>
      <c r="H1815" s="3" t="s">
        <v>3495</v>
      </c>
      <c r="I1815" s="3">
        <v>4</v>
      </c>
      <c r="J1815" s="3" t="s">
        <v>29</v>
      </c>
      <c r="K1815" s="3" t="s">
        <v>834</v>
      </c>
      <c r="L1815" s="3" t="s">
        <v>1000</v>
      </c>
      <c r="M1815" s="3" t="s">
        <v>8195</v>
      </c>
      <c r="N1815" s="3" t="s">
        <v>931</v>
      </c>
      <c r="O1815" s="3" t="s">
        <v>13</v>
      </c>
      <c r="P1815" s="3" t="s">
        <v>419</v>
      </c>
      <c r="Q1815" s="3" t="s">
        <v>509</v>
      </c>
      <c r="R1815" s="3">
        <v>3</v>
      </c>
      <c r="S1815" s="3">
        <v>33290.35</v>
      </c>
      <c r="T1815" s="3">
        <v>20</v>
      </c>
      <c r="U1815" s="3">
        <v>79896.84</v>
      </c>
      <c r="V1815" s="3">
        <v>43233.55</v>
      </c>
      <c r="W1815" s="3">
        <v>36663.29</v>
      </c>
      <c r="X1815" s="3">
        <v>45.89</v>
      </c>
      <c r="Y1815" s="3">
        <v>0</v>
      </c>
      <c r="Z1815" s="3" t="s">
        <v>40</v>
      </c>
      <c r="AA1815" s="3" t="s">
        <v>186</v>
      </c>
      <c r="AB1815" s="3" t="s">
        <v>101</v>
      </c>
      <c r="AC1815" s="3"/>
    </row>
    <row r="1816" spans="1:29" x14ac:dyDescent="0.3">
      <c r="A1816" s="2" t="s">
        <v>8196</v>
      </c>
      <c r="B1816" s="2" t="s">
        <v>8197</v>
      </c>
      <c r="C1816" s="2" t="s">
        <v>1981</v>
      </c>
      <c r="D1816" s="2" t="s">
        <v>8198</v>
      </c>
      <c r="E1816" s="2" t="s">
        <v>33</v>
      </c>
      <c r="F1816" s="2" t="s">
        <v>2120</v>
      </c>
      <c r="G1816" s="2" t="s">
        <v>3369</v>
      </c>
      <c r="H1816" s="2" t="s">
        <v>321</v>
      </c>
      <c r="I1816" s="2">
        <v>3</v>
      </c>
      <c r="J1816" s="2" t="s">
        <v>14</v>
      </c>
      <c r="K1816" s="2" t="s">
        <v>95</v>
      </c>
      <c r="L1816" s="2" t="s">
        <v>95</v>
      </c>
      <c r="M1816" s="2" t="s">
        <v>3923</v>
      </c>
      <c r="N1816" s="2" t="s">
        <v>1603</v>
      </c>
      <c r="O1816" s="2" t="s">
        <v>19</v>
      </c>
      <c r="P1816" s="2" t="s">
        <v>365</v>
      </c>
      <c r="Q1816" s="2" t="s">
        <v>608</v>
      </c>
      <c r="R1816" s="2">
        <v>2</v>
      </c>
      <c r="S1816" s="2">
        <v>49146.16</v>
      </c>
      <c r="T1816" s="2">
        <v>30</v>
      </c>
      <c r="U1816" s="2">
        <v>68804.62</v>
      </c>
      <c r="V1816" s="2">
        <v>39581.58</v>
      </c>
      <c r="W1816" s="2">
        <v>29223.040000000001</v>
      </c>
      <c r="X1816" s="2">
        <v>42.47</v>
      </c>
      <c r="Y1816" s="2">
        <v>0</v>
      </c>
      <c r="Z1816" s="2" t="s">
        <v>15</v>
      </c>
      <c r="AA1816" s="2" t="s">
        <v>100</v>
      </c>
      <c r="AB1816" s="2" t="s">
        <v>101</v>
      </c>
      <c r="AC1816" s="2">
        <v>4</v>
      </c>
    </row>
    <row r="1817" spans="1:29" x14ac:dyDescent="0.3">
      <c r="A1817" s="3" t="s">
        <v>8199</v>
      </c>
      <c r="B1817" s="3" t="s">
        <v>8200</v>
      </c>
      <c r="C1817" s="3" t="s">
        <v>2286</v>
      </c>
      <c r="D1817" s="3" t="s">
        <v>8201</v>
      </c>
      <c r="E1817" s="3" t="s">
        <v>42</v>
      </c>
      <c r="F1817" s="3" t="s">
        <v>2618</v>
      </c>
      <c r="G1817" s="3" t="s">
        <v>397</v>
      </c>
      <c r="H1817" s="3" t="s">
        <v>3597</v>
      </c>
      <c r="I1817" s="3">
        <v>2</v>
      </c>
      <c r="J1817" s="3" t="s">
        <v>39</v>
      </c>
      <c r="K1817" s="3" t="s">
        <v>193</v>
      </c>
      <c r="L1817" s="3" t="s">
        <v>193</v>
      </c>
      <c r="M1817" s="3" t="s">
        <v>8202</v>
      </c>
      <c r="N1817" s="3" t="s">
        <v>390</v>
      </c>
      <c r="O1817" s="3" t="s">
        <v>19</v>
      </c>
      <c r="P1817" s="3" t="s">
        <v>297</v>
      </c>
      <c r="Q1817" s="3" t="s">
        <v>509</v>
      </c>
      <c r="R1817" s="3">
        <v>1</v>
      </c>
      <c r="S1817" s="3">
        <v>5035.17</v>
      </c>
      <c r="T1817" s="3">
        <v>20</v>
      </c>
      <c r="U1817" s="3">
        <v>4028.14</v>
      </c>
      <c r="V1817" s="3">
        <v>2422.29</v>
      </c>
      <c r="W1817" s="3">
        <v>1605.85</v>
      </c>
      <c r="X1817" s="3">
        <v>39.869999999999997</v>
      </c>
      <c r="Y1817" s="3">
        <v>99</v>
      </c>
      <c r="Z1817" s="3" t="s">
        <v>40</v>
      </c>
      <c r="AA1817" s="3" t="s">
        <v>100</v>
      </c>
      <c r="AB1817" s="3" t="s">
        <v>101</v>
      </c>
      <c r="AC1817" s="3"/>
    </row>
    <row r="1818" spans="1:29" x14ac:dyDescent="0.3">
      <c r="A1818" s="2" t="s">
        <v>8203</v>
      </c>
      <c r="B1818" s="2" t="s">
        <v>8204</v>
      </c>
      <c r="C1818" s="2" t="s">
        <v>348</v>
      </c>
      <c r="D1818" s="2" t="s">
        <v>8205</v>
      </c>
      <c r="E1818" s="2" t="s">
        <v>26</v>
      </c>
      <c r="F1818" s="2" t="s">
        <v>5813</v>
      </c>
      <c r="G1818" s="2" t="s">
        <v>530</v>
      </c>
      <c r="H1818" s="2" t="s">
        <v>531</v>
      </c>
      <c r="I1818" s="2">
        <v>5</v>
      </c>
      <c r="J1818" s="2" t="s">
        <v>14</v>
      </c>
      <c r="K1818" s="2" t="s">
        <v>95</v>
      </c>
      <c r="L1818" s="2" t="s">
        <v>95</v>
      </c>
      <c r="M1818" s="2" t="s">
        <v>2372</v>
      </c>
      <c r="N1818" s="2" t="s">
        <v>1802</v>
      </c>
      <c r="O1818" s="2" t="s">
        <v>28</v>
      </c>
      <c r="P1818" s="2" t="s">
        <v>137</v>
      </c>
      <c r="Q1818" s="2" t="s">
        <v>127</v>
      </c>
      <c r="R1818" s="2">
        <v>5</v>
      </c>
      <c r="S1818" s="2">
        <v>41370.83</v>
      </c>
      <c r="T1818" s="2">
        <v>10</v>
      </c>
      <c r="U1818" s="2">
        <v>186168.74</v>
      </c>
      <c r="V1818" s="2">
        <v>121909.37</v>
      </c>
      <c r="W1818" s="2">
        <v>64259.37</v>
      </c>
      <c r="X1818" s="2">
        <v>34.520000000000003</v>
      </c>
      <c r="Y1818" s="2">
        <v>99</v>
      </c>
      <c r="Z1818" s="2" t="s">
        <v>43</v>
      </c>
      <c r="AA1818" s="2" t="s">
        <v>100</v>
      </c>
      <c r="AB1818" s="2" t="s">
        <v>101</v>
      </c>
      <c r="AC1818" s="2">
        <v>4</v>
      </c>
    </row>
    <row r="1819" spans="1:29" x14ac:dyDescent="0.3">
      <c r="A1819" s="3" t="s">
        <v>8206</v>
      </c>
      <c r="B1819" s="3" t="s">
        <v>8207</v>
      </c>
      <c r="C1819" s="3" t="s">
        <v>689</v>
      </c>
      <c r="D1819" s="3" t="s">
        <v>8208</v>
      </c>
      <c r="E1819" s="3" t="s">
        <v>18</v>
      </c>
      <c r="F1819" s="3" t="s">
        <v>4524</v>
      </c>
      <c r="G1819" s="3" t="s">
        <v>1141</v>
      </c>
      <c r="H1819" s="3" t="s">
        <v>3025</v>
      </c>
      <c r="I1819" s="3">
        <v>6</v>
      </c>
      <c r="J1819" s="3" t="s">
        <v>14</v>
      </c>
      <c r="K1819" s="3" t="s">
        <v>183</v>
      </c>
      <c r="L1819" s="3" t="s">
        <v>183</v>
      </c>
      <c r="M1819" s="3" t="s">
        <v>8209</v>
      </c>
      <c r="N1819" s="3" t="s">
        <v>686</v>
      </c>
      <c r="O1819" s="3" t="s">
        <v>13</v>
      </c>
      <c r="P1819" s="3" t="s">
        <v>228</v>
      </c>
      <c r="Q1819" s="3" t="s">
        <v>355</v>
      </c>
      <c r="R1819" s="3">
        <v>5</v>
      </c>
      <c r="S1819" s="3">
        <v>12291.39</v>
      </c>
      <c r="T1819" s="3">
        <v>10</v>
      </c>
      <c r="U1819" s="3">
        <v>55311.25</v>
      </c>
      <c r="V1819" s="3">
        <v>30478.58</v>
      </c>
      <c r="W1819" s="3">
        <v>24832.67</v>
      </c>
      <c r="X1819" s="3">
        <v>44.9</v>
      </c>
      <c r="Y1819" s="3">
        <v>99</v>
      </c>
      <c r="Z1819" s="3" t="s">
        <v>43</v>
      </c>
      <c r="AA1819" s="3" t="s">
        <v>672</v>
      </c>
      <c r="AB1819" s="3" t="s">
        <v>101</v>
      </c>
      <c r="AC1819" s="3"/>
    </row>
    <row r="1820" spans="1:29" x14ac:dyDescent="0.3">
      <c r="A1820" s="2" t="s">
        <v>8210</v>
      </c>
      <c r="B1820" s="2" t="s">
        <v>8211</v>
      </c>
      <c r="C1820" s="2" t="s">
        <v>1045</v>
      </c>
      <c r="D1820" s="2" t="s">
        <v>8212</v>
      </c>
      <c r="E1820" s="2" t="s">
        <v>33</v>
      </c>
      <c r="F1820" s="2" t="s">
        <v>2403</v>
      </c>
      <c r="G1820" s="2" t="s">
        <v>3450</v>
      </c>
      <c r="H1820" s="2" t="s">
        <v>2504</v>
      </c>
      <c r="I1820" s="2">
        <v>2</v>
      </c>
      <c r="J1820" s="2" t="s">
        <v>39</v>
      </c>
      <c r="K1820" s="2" t="s">
        <v>324</v>
      </c>
      <c r="L1820" s="2" t="s">
        <v>1028</v>
      </c>
      <c r="M1820" s="2" t="s">
        <v>3011</v>
      </c>
      <c r="N1820" s="2" t="s">
        <v>750</v>
      </c>
      <c r="O1820" s="2" t="s">
        <v>13</v>
      </c>
      <c r="P1820" s="2" t="s">
        <v>419</v>
      </c>
      <c r="Q1820" s="2" t="s">
        <v>400</v>
      </c>
      <c r="R1820" s="2">
        <v>1</v>
      </c>
      <c r="S1820" s="2">
        <v>37735.01</v>
      </c>
      <c r="T1820" s="2">
        <v>0</v>
      </c>
      <c r="U1820" s="2">
        <v>37735.01</v>
      </c>
      <c r="V1820" s="2">
        <v>20430.14</v>
      </c>
      <c r="W1820" s="2">
        <v>17304.87</v>
      </c>
      <c r="X1820" s="2">
        <v>45.86</v>
      </c>
      <c r="Y1820" s="2">
        <v>99</v>
      </c>
      <c r="Z1820" s="2" t="s">
        <v>47</v>
      </c>
      <c r="AA1820" s="2" t="s">
        <v>139</v>
      </c>
      <c r="AB1820" s="2" t="s">
        <v>140</v>
      </c>
      <c r="AC1820" s="2"/>
    </row>
    <row r="1821" spans="1:29" x14ac:dyDescent="0.3">
      <c r="A1821" s="3" t="s">
        <v>8213</v>
      </c>
      <c r="B1821" s="3" t="s">
        <v>2881</v>
      </c>
      <c r="C1821" s="3" t="s">
        <v>1433</v>
      </c>
      <c r="D1821" s="3" t="s">
        <v>8214</v>
      </c>
      <c r="E1821" s="3" t="s">
        <v>33</v>
      </c>
      <c r="F1821" s="3" t="s">
        <v>3315</v>
      </c>
      <c r="G1821" s="3" t="s">
        <v>2385</v>
      </c>
      <c r="H1821" s="3" t="s">
        <v>3317</v>
      </c>
      <c r="I1821" s="3">
        <v>6</v>
      </c>
      <c r="J1821" s="3" t="s">
        <v>29</v>
      </c>
      <c r="K1821" s="3" t="s">
        <v>148</v>
      </c>
      <c r="L1821" s="3" t="s">
        <v>148</v>
      </c>
      <c r="M1821" s="3" t="s">
        <v>8104</v>
      </c>
      <c r="N1821" s="3" t="s">
        <v>1380</v>
      </c>
      <c r="O1821" s="3" t="s">
        <v>28</v>
      </c>
      <c r="P1821" s="3" t="s">
        <v>137</v>
      </c>
      <c r="Q1821" s="3" t="s">
        <v>287</v>
      </c>
      <c r="R1821" s="3">
        <v>1</v>
      </c>
      <c r="S1821" s="3">
        <v>5246.24</v>
      </c>
      <c r="T1821" s="3">
        <v>10</v>
      </c>
      <c r="U1821" s="3">
        <v>4721.62</v>
      </c>
      <c r="V1821" s="3">
        <v>2704.43</v>
      </c>
      <c r="W1821" s="3">
        <v>2017.19</v>
      </c>
      <c r="X1821" s="3">
        <v>42.72</v>
      </c>
      <c r="Y1821" s="3">
        <v>99</v>
      </c>
      <c r="Z1821" s="3" t="s">
        <v>23</v>
      </c>
      <c r="AA1821" s="3" t="s">
        <v>100</v>
      </c>
      <c r="AB1821" s="3" t="s">
        <v>101</v>
      </c>
      <c r="AC1821" s="3"/>
    </row>
    <row r="1822" spans="1:29" x14ac:dyDescent="0.3">
      <c r="A1822" s="2" t="s">
        <v>8215</v>
      </c>
      <c r="B1822" s="2" t="s">
        <v>8216</v>
      </c>
      <c r="C1822" s="2" t="s">
        <v>278</v>
      </c>
      <c r="D1822" s="2" t="s">
        <v>8217</v>
      </c>
      <c r="E1822" s="2" t="s">
        <v>42</v>
      </c>
      <c r="F1822" s="2" t="s">
        <v>1228</v>
      </c>
      <c r="G1822" s="2" t="s">
        <v>490</v>
      </c>
      <c r="H1822" s="2" t="s">
        <v>2332</v>
      </c>
      <c r="I1822" s="2">
        <v>8</v>
      </c>
      <c r="J1822" s="2" t="s">
        <v>39</v>
      </c>
      <c r="K1822" s="2" t="s">
        <v>109</v>
      </c>
      <c r="L1822" s="2" t="s">
        <v>134</v>
      </c>
      <c r="M1822" s="2" t="s">
        <v>8218</v>
      </c>
      <c r="N1822" s="2" t="s">
        <v>583</v>
      </c>
      <c r="O1822" s="2" t="s">
        <v>19</v>
      </c>
      <c r="P1822" s="2" t="s">
        <v>447</v>
      </c>
      <c r="Q1822" s="2" t="s">
        <v>287</v>
      </c>
      <c r="R1822" s="2">
        <v>2</v>
      </c>
      <c r="S1822" s="2">
        <v>33694.870000000003</v>
      </c>
      <c r="T1822" s="2">
        <v>0</v>
      </c>
      <c r="U1822" s="2">
        <v>67389.740000000005</v>
      </c>
      <c r="V1822" s="2">
        <v>45982.93</v>
      </c>
      <c r="W1822" s="2">
        <v>21406.81</v>
      </c>
      <c r="X1822" s="2">
        <v>31.77</v>
      </c>
      <c r="Y1822" s="2">
        <v>0</v>
      </c>
      <c r="Z1822" s="2" t="s">
        <v>48</v>
      </c>
      <c r="AA1822" s="2" t="s">
        <v>100</v>
      </c>
      <c r="AB1822" s="2" t="s">
        <v>101</v>
      </c>
      <c r="AC1822" s="2"/>
    </row>
    <row r="1823" spans="1:29" x14ac:dyDescent="0.3">
      <c r="A1823" s="3" t="s">
        <v>8219</v>
      </c>
      <c r="B1823" s="3" t="s">
        <v>8220</v>
      </c>
      <c r="C1823" s="3" t="s">
        <v>2110</v>
      </c>
      <c r="D1823" s="3" t="s">
        <v>8221</v>
      </c>
      <c r="E1823" s="3" t="s">
        <v>26</v>
      </c>
      <c r="F1823" s="3" t="s">
        <v>3399</v>
      </c>
      <c r="G1823" s="3" t="s">
        <v>6696</v>
      </c>
      <c r="H1823" s="3" t="s">
        <v>728</v>
      </c>
      <c r="I1823" s="3">
        <v>5</v>
      </c>
      <c r="J1823" s="3" t="s">
        <v>39</v>
      </c>
      <c r="K1823" s="3" t="s">
        <v>324</v>
      </c>
      <c r="L1823" s="3" t="s">
        <v>1028</v>
      </c>
      <c r="M1823" s="3" t="s">
        <v>3521</v>
      </c>
      <c r="N1823" s="3" t="s">
        <v>484</v>
      </c>
      <c r="O1823" s="3" t="s">
        <v>13</v>
      </c>
      <c r="P1823" s="3" t="s">
        <v>98</v>
      </c>
      <c r="Q1823" s="3" t="s">
        <v>114</v>
      </c>
      <c r="R1823" s="3">
        <v>4</v>
      </c>
      <c r="S1823" s="3">
        <v>6181.59</v>
      </c>
      <c r="T1823" s="3">
        <v>15</v>
      </c>
      <c r="U1823" s="3">
        <v>21017.41</v>
      </c>
      <c r="V1823" s="3">
        <v>11965.54</v>
      </c>
      <c r="W1823" s="3">
        <v>9051.8700000000008</v>
      </c>
      <c r="X1823" s="3">
        <v>43.07</v>
      </c>
      <c r="Y1823" s="3">
        <v>29</v>
      </c>
      <c r="Z1823" s="3" t="s">
        <v>15</v>
      </c>
      <c r="AA1823" s="3" t="s">
        <v>139</v>
      </c>
      <c r="AB1823" s="3" t="s">
        <v>140</v>
      </c>
      <c r="AC1823" s="3"/>
    </row>
    <row r="1824" spans="1:29" x14ac:dyDescent="0.3">
      <c r="A1824" s="2" t="s">
        <v>8222</v>
      </c>
      <c r="B1824" s="2" t="s">
        <v>8223</v>
      </c>
      <c r="C1824" s="2" t="s">
        <v>393</v>
      </c>
      <c r="D1824" s="2" t="s">
        <v>8224</v>
      </c>
      <c r="E1824" s="2" t="s">
        <v>26</v>
      </c>
      <c r="F1824" s="2" t="s">
        <v>482</v>
      </c>
      <c r="G1824" s="2" t="s">
        <v>3834</v>
      </c>
      <c r="H1824" s="2" t="s">
        <v>2222</v>
      </c>
      <c r="I1824" s="2">
        <v>3</v>
      </c>
      <c r="J1824" s="2" t="s">
        <v>14</v>
      </c>
      <c r="K1824" s="2" t="s">
        <v>95</v>
      </c>
      <c r="L1824" s="2" t="s">
        <v>95</v>
      </c>
      <c r="M1824" s="2" t="s">
        <v>8225</v>
      </c>
      <c r="N1824" s="2" t="s">
        <v>3017</v>
      </c>
      <c r="O1824" s="2" t="s">
        <v>13</v>
      </c>
      <c r="P1824" s="2" t="s">
        <v>419</v>
      </c>
      <c r="Q1824" s="2" t="s">
        <v>114</v>
      </c>
      <c r="R1824" s="2">
        <v>4</v>
      </c>
      <c r="S1824" s="2">
        <v>7004.37</v>
      </c>
      <c r="T1824" s="2">
        <v>25</v>
      </c>
      <c r="U1824" s="2">
        <v>21013.11</v>
      </c>
      <c r="V1824" s="2">
        <v>13007.44</v>
      </c>
      <c r="W1824" s="2">
        <v>8005.67</v>
      </c>
      <c r="X1824" s="2">
        <v>38.1</v>
      </c>
      <c r="Y1824" s="2">
        <v>149</v>
      </c>
      <c r="Z1824" s="2" t="s">
        <v>47</v>
      </c>
      <c r="AA1824" s="2" t="s">
        <v>100</v>
      </c>
      <c r="AB1824" s="2" t="s">
        <v>101</v>
      </c>
      <c r="AC1824" s="2">
        <v>3</v>
      </c>
    </row>
    <row r="1825" spans="1:29" x14ac:dyDescent="0.3">
      <c r="A1825" s="3" t="s">
        <v>8226</v>
      </c>
      <c r="B1825" s="3" t="s">
        <v>8227</v>
      </c>
      <c r="C1825" s="3" t="s">
        <v>2534</v>
      </c>
      <c r="D1825" s="3" t="s">
        <v>8228</v>
      </c>
      <c r="E1825" s="3" t="s">
        <v>26</v>
      </c>
      <c r="F1825" s="3" t="s">
        <v>2992</v>
      </c>
      <c r="G1825" s="3" t="s">
        <v>3026</v>
      </c>
      <c r="H1825" s="3" t="s">
        <v>605</v>
      </c>
      <c r="I1825" s="3">
        <v>8</v>
      </c>
      <c r="J1825" s="3" t="s">
        <v>14</v>
      </c>
      <c r="K1825" s="3" t="s">
        <v>171</v>
      </c>
      <c r="L1825" s="3" t="s">
        <v>407</v>
      </c>
      <c r="M1825" s="3" t="s">
        <v>8229</v>
      </c>
      <c r="N1825" s="3" t="s">
        <v>1535</v>
      </c>
      <c r="O1825" s="3" t="s">
        <v>13</v>
      </c>
      <c r="P1825" s="3" t="s">
        <v>98</v>
      </c>
      <c r="Q1825" s="3" t="s">
        <v>355</v>
      </c>
      <c r="R1825" s="3">
        <v>1</v>
      </c>
      <c r="S1825" s="3">
        <v>45678.38</v>
      </c>
      <c r="T1825" s="3">
        <v>5</v>
      </c>
      <c r="U1825" s="3">
        <v>43394.46</v>
      </c>
      <c r="V1825" s="3">
        <v>24921.37</v>
      </c>
      <c r="W1825" s="3">
        <v>18473.09</v>
      </c>
      <c r="X1825" s="3">
        <v>42.57</v>
      </c>
      <c r="Y1825" s="3">
        <v>199</v>
      </c>
      <c r="Z1825" s="3" t="s">
        <v>47</v>
      </c>
      <c r="AA1825" s="3" t="s">
        <v>100</v>
      </c>
      <c r="AB1825" s="3" t="s">
        <v>101</v>
      </c>
      <c r="AC1825" s="3"/>
    </row>
    <row r="1826" spans="1:29" x14ac:dyDescent="0.3">
      <c r="A1826" s="2" t="s">
        <v>8230</v>
      </c>
      <c r="B1826" s="2" t="s">
        <v>6597</v>
      </c>
      <c r="C1826" s="2" t="s">
        <v>1797</v>
      </c>
      <c r="D1826" s="2" t="s">
        <v>8231</v>
      </c>
      <c r="E1826" s="2" t="s">
        <v>26</v>
      </c>
      <c r="F1826" s="2" t="s">
        <v>1147</v>
      </c>
      <c r="G1826" s="2" t="s">
        <v>1352</v>
      </c>
      <c r="H1826" s="2" t="s">
        <v>2786</v>
      </c>
      <c r="I1826" s="2">
        <v>4</v>
      </c>
      <c r="J1826" s="2" t="s">
        <v>29</v>
      </c>
      <c r="K1826" s="2" t="s">
        <v>427</v>
      </c>
      <c r="L1826" s="2" t="s">
        <v>1081</v>
      </c>
      <c r="M1826" s="2" t="s">
        <v>8232</v>
      </c>
      <c r="N1826" s="2" t="s">
        <v>600</v>
      </c>
      <c r="O1826" s="2" t="s">
        <v>27</v>
      </c>
      <c r="P1826" s="2" t="s">
        <v>175</v>
      </c>
      <c r="Q1826" s="2" t="s">
        <v>218</v>
      </c>
      <c r="R1826" s="2">
        <v>2</v>
      </c>
      <c r="S1826" s="2">
        <v>45145.11</v>
      </c>
      <c r="T1826" s="2">
        <v>10</v>
      </c>
      <c r="U1826" s="2">
        <v>81261.2</v>
      </c>
      <c r="V1826" s="2">
        <v>46160.639999999999</v>
      </c>
      <c r="W1826" s="2">
        <v>35100.559999999998</v>
      </c>
      <c r="X1826" s="2">
        <v>43.19</v>
      </c>
      <c r="Y1826" s="2">
        <v>149</v>
      </c>
      <c r="Z1826" s="2" t="s">
        <v>15</v>
      </c>
      <c r="AA1826" s="2" t="s">
        <v>100</v>
      </c>
      <c r="AB1826" s="2" t="s">
        <v>101</v>
      </c>
      <c r="AC1826" s="2">
        <v>2</v>
      </c>
    </row>
    <row r="1827" spans="1:29" x14ac:dyDescent="0.3">
      <c r="A1827" s="3" t="s">
        <v>8233</v>
      </c>
      <c r="B1827" s="3" t="s">
        <v>8234</v>
      </c>
      <c r="C1827" s="3" t="s">
        <v>200</v>
      </c>
      <c r="D1827" s="3" t="s">
        <v>8235</v>
      </c>
      <c r="E1827" s="3" t="s">
        <v>26</v>
      </c>
      <c r="F1827" s="3" t="s">
        <v>333</v>
      </c>
      <c r="G1827" s="3" t="s">
        <v>3181</v>
      </c>
      <c r="H1827" s="3" t="s">
        <v>3373</v>
      </c>
      <c r="I1827" s="3">
        <v>7</v>
      </c>
      <c r="J1827" s="3" t="s">
        <v>29</v>
      </c>
      <c r="K1827" s="3" t="s">
        <v>148</v>
      </c>
      <c r="L1827" s="3" t="s">
        <v>148</v>
      </c>
      <c r="M1827" s="3" t="s">
        <v>8236</v>
      </c>
      <c r="N1827" s="3" t="s">
        <v>150</v>
      </c>
      <c r="O1827" s="3" t="s">
        <v>28</v>
      </c>
      <c r="P1827" s="3" t="s">
        <v>151</v>
      </c>
      <c r="Q1827" s="3" t="s">
        <v>114</v>
      </c>
      <c r="R1827" s="3">
        <v>1</v>
      </c>
      <c r="S1827" s="3">
        <v>49488.15</v>
      </c>
      <c r="T1827" s="3">
        <v>25</v>
      </c>
      <c r="U1827" s="3">
        <v>37116.11</v>
      </c>
      <c r="V1827" s="3">
        <v>23050.42</v>
      </c>
      <c r="W1827" s="3">
        <v>14065.69</v>
      </c>
      <c r="X1827" s="3">
        <v>37.9</v>
      </c>
      <c r="Y1827" s="3">
        <v>99</v>
      </c>
      <c r="Z1827" s="3" t="s">
        <v>23</v>
      </c>
      <c r="AA1827" s="3" t="s">
        <v>100</v>
      </c>
      <c r="AB1827" s="3" t="s">
        <v>101</v>
      </c>
      <c r="AC1827" s="3">
        <v>1</v>
      </c>
    </row>
    <row r="1828" spans="1:29" x14ac:dyDescent="0.3">
      <c r="A1828" s="2" t="s">
        <v>8237</v>
      </c>
      <c r="B1828" s="2" t="s">
        <v>8238</v>
      </c>
      <c r="C1828" s="2" t="s">
        <v>1253</v>
      </c>
      <c r="D1828" s="2" t="s">
        <v>8239</v>
      </c>
      <c r="E1828" s="2" t="s">
        <v>26</v>
      </c>
      <c r="F1828" s="2" t="s">
        <v>2364</v>
      </c>
      <c r="G1828" s="2" t="s">
        <v>2365</v>
      </c>
      <c r="H1828" s="2" t="s">
        <v>1696</v>
      </c>
      <c r="I1828" s="2">
        <v>5</v>
      </c>
      <c r="J1828" s="2" t="s">
        <v>14</v>
      </c>
      <c r="K1828" s="2" t="s">
        <v>215</v>
      </c>
      <c r="L1828" s="2" t="s">
        <v>215</v>
      </c>
      <c r="M1828" s="2" t="s">
        <v>3491</v>
      </c>
      <c r="N1828" s="2" t="s">
        <v>475</v>
      </c>
      <c r="O1828" s="2" t="s">
        <v>13</v>
      </c>
      <c r="P1828" s="2" t="s">
        <v>228</v>
      </c>
      <c r="Q1828" s="2" t="s">
        <v>287</v>
      </c>
      <c r="R1828" s="2">
        <v>2</v>
      </c>
      <c r="S1828" s="2">
        <v>45010.400000000001</v>
      </c>
      <c r="T1828" s="2">
        <v>10</v>
      </c>
      <c r="U1828" s="2">
        <v>81018.720000000001</v>
      </c>
      <c r="V1828" s="2">
        <v>46695.01</v>
      </c>
      <c r="W1828" s="2">
        <v>34323.71</v>
      </c>
      <c r="X1828" s="2">
        <v>42.37</v>
      </c>
      <c r="Y1828" s="2">
        <v>0</v>
      </c>
      <c r="Z1828" s="2" t="s">
        <v>30</v>
      </c>
      <c r="AA1828" s="2" t="s">
        <v>100</v>
      </c>
      <c r="AB1828" s="2" t="s">
        <v>101</v>
      </c>
      <c r="AC1828" s="2">
        <v>3</v>
      </c>
    </row>
    <row r="1829" spans="1:29" x14ac:dyDescent="0.3">
      <c r="A1829" s="3" t="s">
        <v>8240</v>
      </c>
      <c r="B1829" s="3" t="s">
        <v>8241</v>
      </c>
      <c r="C1829" s="3" t="s">
        <v>1700</v>
      </c>
      <c r="D1829" s="3" t="s">
        <v>8242</v>
      </c>
      <c r="E1829" s="3" t="s">
        <v>42</v>
      </c>
      <c r="F1829" s="3" t="s">
        <v>7784</v>
      </c>
      <c r="G1829" s="3" t="s">
        <v>4032</v>
      </c>
      <c r="H1829" s="3" t="s">
        <v>6124</v>
      </c>
      <c r="I1829" s="3">
        <v>8</v>
      </c>
      <c r="J1829" s="3" t="s">
        <v>22</v>
      </c>
      <c r="K1829" s="3" t="s">
        <v>254</v>
      </c>
      <c r="L1829" s="3" t="s">
        <v>254</v>
      </c>
      <c r="M1829" s="3" t="s">
        <v>7494</v>
      </c>
      <c r="N1829" s="3" t="s">
        <v>805</v>
      </c>
      <c r="O1829" s="3" t="s">
        <v>28</v>
      </c>
      <c r="P1829" s="3" t="s">
        <v>151</v>
      </c>
      <c r="Q1829" s="3" t="s">
        <v>287</v>
      </c>
      <c r="R1829" s="3">
        <v>1</v>
      </c>
      <c r="S1829" s="3">
        <v>26215.360000000001</v>
      </c>
      <c r="T1829" s="3">
        <v>10</v>
      </c>
      <c r="U1829" s="3">
        <v>23593.82</v>
      </c>
      <c r="V1829" s="3">
        <v>16121</v>
      </c>
      <c r="W1829" s="3">
        <v>7472.82</v>
      </c>
      <c r="X1829" s="3">
        <v>31.67</v>
      </c>
      <c r="Y1829" s="3">
        <v>49</v>
      </c>
      <c r="Z1829" s="3" t="s">
        <v>23</v>
      </c>
      <c r="AA1829" s="3" t="s">
        <v>100</v>
      </c>
      <c r="AB1829" s="3" t="s">
        <v>101</v>
      </c>
      <c r="AC1829" s="3"/>
    </row>
    <row r="1830" spans="1:29" x14ac:dyDescent="0.3">
      <c r="A1830" s="2" t="s">
        <v>8243</v>
      </c>
      <c r="B1830" s="2" t="s">
        <v>8244</v>
      </c>
      <c r="C1830" s="2" t="s">
        <v>863</v>
      </c>
      <c r="D1830" s="2" t="s">
        <v>8245</v>
      </c>
      <c r="E1830" s="2" t="s">
        <v>18</v>
      </c>
      <c r="F1830" s="2" t="s">
        <v>1315</v>
      </c>
      <c r="G1830" s="2" t="s">
        <v>826</v>
      </c>
      <c r="H1830" s="2" t="s">
        <v>1846</v>
      </c>
      <c r="I1830" s="2">
        <v>3</v>
      </c>
      <c r="J1830" s="2" t="s">
        <v>14</v>
      </c>
      <c r="K1830" s="2" t="s">
        <v>171</v>
      </c>
      <c r="L1830" s="2" t="s">
        <v>541</v>
      </c>
      <c r="M1830" s="2" t="s">
        <v>8246</v>
      </c>
      <c r="N1830" s="2" t="s">
        <v>465</v>
      </c>
      <c r="O1830" s="2" t="s">
        <v>19</v>
      </c>
      <c r="P1830" s="2" t="s">
        <v>447</v>
      </c>
      <c r="Q1830" s="2" t="s">
        <v>127</v>
      </c>
      <c r="R1830" s="2">
        <v>2</v>
      </c>
      <c r="S1830" s="2">
        <v>31653.56</v>
      </c>
      <c r="T1830" s="2">
        <v>0</v>
      </c>
      <c r="U1830" s="2">
        <v>63307.12</v>
      </c>
      <c r="V1830" s="2">
        <v>28977.62</v>
      </c>
      <c r="W1830" s="2">
        <v>34329.5</v>
      </c>
      <c r="X1830" s="2">
        <v>54.23</v>
      </c>
      <c r="Y1830" s="2">
        <v>149</v>
      </c>
      <c r="Z1830" s="2" t="s">
        <v>23</v>
      </c>
      <c r="AA1830" s="2" t="s">
        <v>100</v>
      </c>
      <c r="AB1830" s="2" t="s">
        <v>101</v>
      </c>
      <c r="AC1830" s="2">
        <v>1</v>
      </c>
    </row>
    <row r="1831" spans="1:29" x14ac:dyDescent="0.3">
      <c r="A1831" s="3" t="s">
        <v>8247</v>
      </c>
      <c r="B1831" s="3" t="s">
        <v>7478</v>
      </c>
      <c r="C1831" s="3" t="s">
        <v>774</v>
      </c>
      <c r="D1831" s="3" t="s">
        <v>8248</v>
      </c>
      <c r="E1831" s="3" t="s">
        <v>42</v>
      </c>
      <c r="F1831" s="3" t="s">
        <v>2023</v>
      </c>
      <c r="G1831" s="3" t="s">
        <v>776</v>
      </c>
      <c r="H1831" s="3" t="s">
        <v>214</v>
      </c>
      <c r="I1831" s="3">
        <v>7</v>
      </c>
      <c r="J1831" s="3" t="s">
        <v>39</v>
      </c>
      <c r="K1831" s="3" t="s">
        <v>314</v>
      </c>
      <c r="L1831" s="3" t="s">
        <v>314</v>
      </c>
      <c r="M1831" s="3" t="s">
        <v>8249</v>
      </c>
      <c r="N1831" s="3" t="s">
        <v>163</v>
      </c>
      <c r="O1831" s="3" t="s">
        <v>21</v>
      </c>
      <c r="P1831" s="3" t="s">
        <v>126</v>
      </c>
      <c r="Q1831" s="3" t="s">
        <v>197</v>
      </c>
      <c r="R1831" s="3">
        <v>4</v>
      </c>
      <c r="S1831" s="3">
        <v>45226.73</v>
      </c>
      <c r="T1831" s="3">
        <v>0</v>
      </c>
      <c r="U1831" s="3">
        <v>180906.92</v>
      </c>
      <c r="V1831" s="3">
        <v>117604.54</v>
      </c>
      <c r="W1831" s="3">
        <v>63302.38</v>
      </c>
      <c r="X1831" s="3">
        <v>34.99</v>
      </c>
      <c r="Y1831" s="3">
        <v>99</v>
      </c>
      <c r="Z1831" s="3" t="s">
        <v>15</v>
      </c>
      <c r="AA1831" s="3" t="s">
        <v>100</v>
      </c>
      <c r="AB1831" s="3" t="s">
        <v>101</v>
      </c>
      <c r="AC1831" s="3">
        <v>1</v>
      </c>
    </row>
    <row r="1832" spans="1:29" x14ac:dyDescent="0.3">
      <c r="A1832" s="2" t="s">
        <v>8250</v>
      </c>
      <c r="B1832" s="2" t="s">
        <v>8251</v>
      </c>
      <c r="C1832" s="2" t="s">
        <v>1880</v>
      </c>
      <c r="D1832" s="2" t="s">
        <v>6993</v>
      </c>
      <c r="E1832" s="2" t="s">
        <v>33</v>
      </c>
      <c r="F1832" s="2" t="s">
        <v>3615</v>
      </c>
      <c r="G1832" s="2" t="s">
        <v>2270</v>
      </c>
      <c r="H1832" s="2" t="s">
        <v>1099</v>
      </c>
      <c r="I1832" s="2">
        <v>3</v>
      </c>
      <c r="J1832" s="2" t="s">
        <v>22</v>
      </c>
      <c r="K1832" s="2" t="s">
        <v>443</v>
      </c>
      <c r="L1832" s="2" t="s">
        <v>567</v>
      </c>
      <c r="M1832" s="2" t="s">
        <v>8252</v>
      </c>
      <c r="N1832" s="2" t="s">
        <v>740</v>
      </c>
      <c r="O1832" s="2" t="s">
        <v>21</v>
      </c>
      <c r="P1832" s="2" t="s">
        <v>126</v>
      </c>
      <c r="Q1832" s="2" t="s">
        <v>138</v>
      </c>
      <c r="R1832" s="2">
        <v>5</v>
      </c>
      <c r="S1832" s="2">
        <v>36173.51</v>
      </c>
      <c r="T1832" s="2">
        <v>20</v>
      </c>
      <c r="U1832" s="2">
        <v>144694.04</v>
      </c>
      <c r="V1832" s="2">
        <v>71111.44</v>
      </c>
      <c r="W1832" s="2">
        <v>73582.600000000006</v>
      </c>
      <c r="X1832" s="2">
        <v>50.85</v>
      </c>
      <c r="Y1832" s="2">
        <v>149</v>
      </c>
      <c r="Z1832" s="2" t="s">
        <v>48</v>
      </c>
      <c r="AA1832" s="2" t="s">
        <v>139</v>
      </c>
      <c r="AB1832" s="2" t="s">
        <v>140</v>
      </c>
      <c r="AC1832" s="2"/>
    </row>
    <row r="1833" spans="1:29" x14ac:dyDescent="0.3">
      <c r="A1833" s="3" t="s">
        <v>8253</v>
      </c>
      <c r="B1833" s="3" t="s">
        <v>8254</v>
      </c>
      <c r="C1833" s="3" t="s">
        <v>1861</v>
      </c>
      <c r="D1833" s="3" t="s">
        <v>8255</v>
      </c>
      <c r="E1833" s="3" t="s">
        <v>42</v>
      </c>
      <c r="F1833" s="3" t="s">
        <v>3876</v>
      </c>
      <c r="G1833" s="3" t="s">
        <v>1997</v>
      </c>
      <c r="H1833" s="3" t="s">
        <v>223</v>
      </c>
      <c r="I1833" s="3">
        <v>6</v>
      </c>
      <c r="J1833" s="3" t="s">
        <v>39</v>
      </c>
      <c r="K1833" s="3" t="s">
        <v>193</v>
      </c>
      <c r="L1833" s="3" t="s">
        <v>193</v>
      </c>
      <c r="M1833" s="3" t="s">
        <v>4164</v>
      </c>
      <c r="N1833" s="3" t="s">
        <v>592</v>
      </c>
      <c r="O1833" s="3" t="s">
        <v>21</v>
      </c>
      <c r="P1833" s="3" t="s">
        <v>206</v>
      </c>
      <c r="Q1833" s="3" t="s">
        <v>400</v>
      </c>
      <c r="R1833" s="3">
        <v>3</v>
      </c>
      <c r="S1833" s="3">
        <v>18977.38</v>
      </c>
      <c r="T1833" s="3">
        <v>10</v>
      </c>
      <c r="U1833" s="3">
        <v>51238.93</v>
      </c>
      <c r="V1833" s="3">
        <v>24101.8</v>
      </c>
      <c r="W1833" s="3">
        <v>27137.13</v>
      </c>
      <c r="X1833" s="3">
        <v>52.96</v>
      </c>
      <c r="Y1833" s="3">
        <v>149</v>
      </c>
      <c r="Z1833" s="3" t="s">
        <v>43</v>
      </c>
      <c r="AA1833" s="3" t="s">
        <v>275</v>
      </c>
      <c r="AB1833" s="3" t="s">
        <v>101</v>
      </c>
      <c r="AC1833" s="3"/>
    </row>
    <row r="1834" spans="1:29" x14ac:dyDescent="0.3">
      <c r="A1834" s="2" t="s">
        <v>8256</v>
      </c>
      <c r="B1834" s="2" t="s">
        <v>8257</v>
      </c>
      <c r="C1834" s="2" t="s">
        <v>2729</v>
      </c>
      <c r="D1834" s="2" t="s">
        <v>8258</v>
      </c>
      <c r="E1834" s="2" t="s">
        <v>42</v>
      </c>
      <c r="F1834" s="2" t="s">
        <v>3025</v>
      </c>
      <c r="G1834" s="2" t="s">
        <v>1940</v>
      </c>
      <c r="H1834" s="2" t="s">
        <v>6322</v>
      </c>
      <c r="I1834" s="2">
        <v>3</v>
      </c>
      <c r="J1834" s="2" t="s">
        <v>29</v>
      </c>
      <c r="K1834" s="2" t="s">
        <v>427</v>
      </c>
      <c r="L1834" s="2" t="s">
        <v>1871</v>
      </c>
      <c r="M1834" s="2" t="s">
        <v>8259</v>
      </c>
      <c r="N1834" s="2" t="s">
        <v>1802</v>
      </c>
      <c r="O1834" s="2" t="s">
        <v>28</v>
      </c>
      <c r="P1834" s="2" t="s">
        <v>137</v>
      </c>
      <c r="Q1834" s="2" t="s">
        <v>400</v>
      </c>
      <c r="R1834" s="2">
        <v>2</v>
      </c>
      <c r="S1834" s="2">
        <v>45329.760000000002</v>
      </c>
      <c r="T1834" s="2">
        <v>0</v>
      </c>
      <c r="U1834" s="2">
        <v>90659.520000000004</v>
      </c>
      <c r="V1834" s="2">
        <v>48199.99</v>
      </c>
      <c r="W1834" s="2">
        <v>42459.53</v>
      </c>
      <c r="X1834" s="2">
        <v>46.83</v>
      </c>
      <c r="Y1834" s="2">
        <v>99</v>
      </c>
      <c r="Z1834" s="2" t="s">
        <v>23</v>
      </c>
      <c r="AA1834" s="2" t="s">
        <v>275</v>
      </c>
      <c r="AB1834" s="2" t="s">
        <v>140</v>
      </c>
      <c r="AC1834" s="2"/>
    </row>
    <row r="1835" spans="1:29" x14ac:dyDescent="0.3">
      <c r="A1835" s="3" t="s">
        <v>8260</v>
      </c>
      <c r="B1835" s="3" t="s">
        <v>8261</v>
      </c>
      <c r="C1835" s="3" t="s">
        <v>393</v>
      </c>
      <c r="D1835" s="3" t="s">
        <v>8262</v>
      </c>
      <c r="E1835" s="3" t="s">
        <v>42</v>
      </c>
      <c r="F1835" s="3" t="s">
        <v>157</v>
      </c>
      <c r="G1835" s="3" t="s">
        <v>785</v>
      </c>
      <c r="H1835" s="3" t="s">
        <v>961</v>
      </c>
      <c r="I1835" s="3">
        <v>8</v>
      </c>
      <c r="J1835" s="3" t="s">
        <v>29</v>
      </c>
      <c r="K1835" s="3" t="s">
        <v>148</v>
      </c>
      <c r="L1835" s="3" t="s">
        <v>148</v>
      </c>
      <c r="M1835" s="3" t="s">
        <v>8209</v>
      </c>
      <c r="N1835" s="3" t="s">
        <v>150</v>
      </c>
      <c r="O1835" s="3" t="s">
        <v>28</v>
      </c>
      <c r="P1835" s="3" t="s">
        <v>151</v>
      </c>
      <c r="Q1835" s="3" t="s">
        <v>138</v>
      </c>
      <c r="R1835" s="3">
        <v>1</v>
      </c>
      <c r="S1835" s="3">
        <v>48624.26</v>
      </c>
      <c r="T1835" s="3">
        <v>30</v>
      </c>
      <c r="U1835" s="3">
        <v>34036.980000000003</v>
      </c>
      <c r="V1835" s="3">
        <v>15448.6</v>
      </c>
      <c r="W1835" s="3">
        <v>18588.38</v>
      </c>
      <c r="X1835" s="3">
        <v>54.61</v>
      </c>
      <c r="Y1835" s="3">
        <v>149</v>
      </c>
      <c r="Z1835" s="3" t="s">
        <v>15</v>
      </c>
      <c r="AA1835" s="3" t="s">
        <v>100</v>
      </c>
      <c r="AB1835" s="3" t="s">
        <v>101</v>
      </c>
      <c r="AC1835" s="3"/>
    </row>
    <row r="1836" spans="1:29" x14ac:dyDescent="0.3">
      <c r="A1836" s="2" t="s">
        <v>8263</v>
      </c>
      <c r="B1836" s="2" t="s">
        <v>5866</v>
      </c>
      <c r="C1836" s="2" t="s">
        <v>1183</v>
      </c>
      <c r="D1836" s="2" t="s">
        <v>8264</v>
      </c>
      <c r="E1836" s="2" t="s">
        <v>42</v>
      </c>
      <c r="F1836" s="2" t="s">
        <v>1221</v>
      </c>
      <c r="G1836" s="2" t="s">
        <v>1265</v>
      </c>
      <c r="H1836" s="2" t="s">
        <v>936</v>
      </c>
      <c r="I1836" s="2">
        <v>3</v>
      </c>
      <c r="J1836" s="2" t="s">
        <v>14</v>
      </c>
      <c r="K1836" s="2" t="s">
        <v>712</v>
      </c>
      <c r="L1836" s="2" t="s">
        <v>712</v>
      </c>
      <c r="M1836" s="2" t="s">
        <v>8265</v>
      </c>
      <c r="N1836" s="2" t="s">
        <v>374</v>
      </c>
      <c r="O1836" s="2" t="s">
        <v>21</v>
      </c>
      <c r="P1836" s="2" t="s">
        <v>196</v>
      </c>
      <c r="Q1836" s="2" t="s">
        <v>99</v>
      </c>
      <c r="R1836" s="2">
        <v>5</v>
      </c>
      <c r="S1836" s="2">
        <v>49509.74</v>
      </c>
      <c r="T1836" s="2">
        <v>15</v>
      </c>
      <c r="U1836" s="2">
        <v>210416.39</v>
      </c>
      <c r="V1836" s="2">
        <v>119538.98</v>
      </c>
      <c r="W1836" s="2">
        <v>90877.41</v>
      </c>
      <c r="X1836" s="2">
        <v>43.19</v>
      </c>
      <c r="Y1836" s="2">
        <v>149</v>
      </c>
      <c r="Z1836" s="2" t="s">
        <v>15</v>
      </c>
      <c r="AA1836" s="2" t="s">
        <v>100</v>
      </c>
      <c r="AB1836" s="2" t="s">
        <v>101</v>
      </c>
      <c r="AC1836" s="2">
        <v>5</v>
      </c>
    </row>
    <row r="1837" spans="1:29" x14ac:dyDescent="0.3">
      <c r="A1837" s="3" t="s">
        <v>8266</v>
      </c>
      <c r="B1837" s="3" t="s">
        <v>4913</v>
      </c>
      <c r="C1837" s="3" t="s">
        <v>1011</v>
      </c>
      <c r="D1837" s="3" t="s">
        <v>8267</v>
      </c>
      <c r="E1837" s="3" t="s">
        <v>18</v>
      </c>
      <c r="F1837" s="3" t="s">
        <v>1437</v>
      </c>
      <c r="G1837" s="3" t="s">
        <v>2477</v>
      </c>
      <c r="H1837" s="3" t="s">
        <v>1539</v>
      </c>
      <c r="I1837" s="3">
        <v>2</v>
      </c>
      <c r="J1837" s="3" t="s">
        <v>22</v>
      </c>
      <c r="K1837" s="3" t="s">
        <v>443</v>
      </c>
      <c r="L1837" s="3" t="s">
        <v>444</v>
      </c>
      <c r="M1837" s="3" t="s">
        <v>4942</v>
      </c>
      <c r="N1837" s="3" t="s">
        <v>256</v>
      </c>
      <c r="O1837" s="3" t="s">
        <v>27</v>
      </c>
      <c r="P1837" s="3" t="s">
        <v>257</v>
      </c>
      <c r="Q1837" s="3" t="s">
        <v>114</v>
      </c>
      <c r="R1837" s="3">
        <v>5</v>
      </c>
      <c r="S1837" s="3">
        <v>37936.6</v>
      </c>
      <c r="T1837" s="3">
        <v>15</v>
      </c>
      <c r="U1837" s="3">
        <v>161230.54999999999</v>
      </c>
      <c r="V1837" s="3">
        <v>88044.479999999996</v>
      </c>
      <c r="W1837" s="3">
        <v>73186.070000000007</v>
      </c>
      <c r="X1837" s="3">
        <v>45.39</v>
      </c>
      <c r="Y1837" s="3">
        <v>149</v>
      </c>
      <c r="Z1837" s="3" t="s">
        <v>47</v>
      </c>
      <c r="AA1837" s="3" t="s">
        <v>100</v>
      </c>
      <c r="AB1837" s="3" t="s">
        <v>101</v>
      </c>
      <c r="AC1837" s="3">
        <v>4</v>
      </c>
    </row>
    <row r="1838" spans="1:29" x14ac:dyDescent="0.3">
      <c r="A1838" s="2" t="s">
        <v>8268</v>
      </c>
      <c r="B1838" s="2" t="s">
        <v>8269</v>
      </c>
      <c r="C1838" s="2" t="s">
        <v>666</v>
      </c>
      <c r="D1838" s="2" t="s">
        <v>1184</v>
      </c>
      <c r="E1838" s="2" t="s">
        <v>18</v>
      </c>
      <c r="F1838" s="2" t="s">
        <v>5808</v>
      </c>
      <c r="G1838" s="2" t="s">
        <v>5937</v>
      </c>
      <c r="H1838" s="2" t="s">
        <v>1531</v>
      </c>
      <c r="I1838" s="2">
        <v>7</v>
      </c>
      <c r="J1838" s="2" t="s">
        <v>14</v>
      </c>
      <c r="K1838" s="2" t="s">
        <v>712</v>
      </c>
      <c r="L1838" s="2" t="s">
        <v>712</v>
      </c>
      <c r="M1838" s="2" t="s">
        <v>8270</v>
      </c>
      <c r="N1838" s="2" t="s">
        <v>508</v>
      </c>
      <c r="O1838" s="2" t="s">
        <v>19</v>
      </c>
      <c r="P1838" s="2" t="s">
        <v>365</v>
      </c>
      <c r="Q1838" s="2" t="s">
        <v>608</v>
      </c>
      <c r="R1838" s="2">
        <v>5</v>
      </c>
      <c r="S1838" s="2">
        <v>8786.73</v>
      </c>
      <c r="T1838" s="2">
        <v>25</v>
      </c>
      <c r="U1838" s="2">
        <v>32950.239999999998</v>
      </c>
      <c r="V1838" s="2">
        <v>21954.5</v>
      </c>
      <c r="W1838" s="2">
        <v>10995.74</v>
      </c>
      <c r="X1838" s="2">
        <v>33.369999999999997</v>
      </c>
      <c r="Y1838" s="2">
        <v>199</v>
      </c>
      <c r="Z1838" s="2" t="s">
        <v>47</v>
      </c>
      <c r="AA1838" s="2" t="s">
        <v>100</v>
      </c>
      <c r="AB1838" s="2" t="s">
        <v>101</v>
      </c>
      <c r="AC1838" s="2">
        <v>4</v>
      </c>
    </row>
    <row r="1839" spans="1:29" x14ac:dyDescent="0.3">
      <c r="A1839" s="3" t="s">
        <v>8271</v>
      </c>
      <c r="B1839" s="3" t="s">
        <v>8272</v>
      </c>
      <c r="C1839" s="3" t="s">
        <v>571</v>
      </c>
      <c r="D1839" s="3" t="s">
        <v>8273</v>
      </c>
      <c r="E1839" s="3" t="s">
        <v>26</v>
      </c>
      <c r="F1839" s="3" t="s">
        <v>120</v>
      </c>
      <c r="G1839" s="3" t="s">
        <v>4875</v>
      </c>
      <c r="H1839" s="3" t="s">
        <v>2841</v>
      </c>
      <c r="I1839" s="3">
        <v>6</v>
      </c>
      <c r="J1839" s="3" t="s">
        <v>14</v>
      </c>
      <c r="K1839" s="3" t="s">
        <v>215</v>
      </c>
      <c r="L1839" s="3" t="s">
        <v>215</v>
      </c>
      <c r="M1839" s="3" t="s">
        <v>8274</v>
      </c>
      <c r="N1839" s="3" t="s">
        <v>924</v>
      </c>
      <c r="O1839" s="3" t="s">
        <v>13</v>
      </c>
      <c r="P1839" s="3" t="s">
        <v>228</v>
      </c>
      <c r="Q1839" s="3" t="s">
        <v>138</v>
      </c>
      <c r="R1839" s="3">
        <v>2</v>
      </c>
      <c r="S1839" s="3">
        <v>17659.59</v>
      </c>
      <c r="T1839" s="3">
        <v>15</v>
      </c>
      <c r="U1839" s="3">
        <v>30021.3</v>
      </c>
      <c r="V1839" s="3">
        <v>14613.6</v>
      </c>
      <c r="W1839" s="3">
        <v>15407.7</v>
      </c>
      <c r="X1839" s="3">
        <v>51.32</v>
      </c>
      <c r="Y1839" s="3">
        <v>99</v>
      </c>
      <c r="Z1839" s="3" t="s">
        <v>23</v>
      </c>
      <c r="AA1839" s="3" t="s">
        <v>100</v>
      </c>
      <c r="AB1839" s="3" t="s">
        <v>101</v>
      </c>
      <c r="AC1839" s="3">
        <v>5</v>
      </c>
    </row>
    <row r="1840" spans="1:29" x14ac:dyDescent="0.3">
      <c r="A1840" s="2" t="s">
        <v>8275</v>
      </c>
      <c r="B1840" s="2" t="s">
        <v>8276</v>
      </c>
      <c r="C1840" s="2" t="s">
        <v>1644</v>
      </c>
      <c r="D1840" s="2" t="s">
        <v>8277</v>
      </c>
      <c r="E1840" s="2" t="s">
        <v>42</v>
      </c>
      <c r="F1840" s="2" t="s">
        <v>4498</v>
      </c>
      <c r="G1840" s="2" t="s">
        <v>3802</v>
      </c>
      <c r="H1840" s="2" t="s">
        <v>2069</v>
      </c>
      <c r="I1840" s="2">
        <v>7</v>
      </c>
      <c r="J1840" s="2" t="s">
        <v>29</v>
      </c>
      <c r="K1840" s="2" t="s">
        <v>334</v>
      </c>
      <c r="L1840" s="2" t="s">
        <v>614</v>
      </c>
      <c r="M1840" s="2" t="s">
        <v>8278</v>
      </c>
      <c r="N1840" s="2" t="s">
        <v>185</v>
      </c>
      <c r="O1840" s="2" t="s">
        <v>28</v>
      </c>
      <c r="P1840" s="2" t="s">
        <v>151</v>
      </c>
      <c r="Q1840" s="2" t="s">
        <v>608</v>
      </c>
      <c r="R1840" s="2">
        <v>1</v>
      </c>
      <c r="S1840" s="2">
        <v>30766.31</v>
      </c>
      <c r="T1840" s="2">
        <v>25</v>
      </c>
      <c r="U1840" s="2">
        <v>23074.73</v>
      </c>
      <c r="V1840" s="2">
        <v>10991.16</v>
      </c>
      <c r="W1840" s="2">
        <v>12083.57</v>
      </c>
      <c r="X1840" s="2">
        <v>52.37</v>
      </c>
      <c r="Y1840" s="2">
        <v>0</v>
      </c>
      <c r="Z1840" s="2" t="s">
        <v>47</v>
      </c>
      <c r="AA1840" s="2" t="s">
        <v>100</v>
      </c>
      <c r="AB1840" s="2" t="s">
        <v>101</v>
      </c>
      <c r="AC1840" s="2">
        <v>1</v>
      </c>
    </row>
    <row r="1841" spans="1:29" x14ac:dyDescent="0.3">
      <c r="A1841" s="3" t="s">
        <v>8279</v>
      </c>
      <c r="B1841" s="3" t="s">
        <v>8280</v>
      </c>
      <c r="C1841" s="3" t="s">
        <v>2345</v>
      </c>
      <c r="D1841" s="3" t="s">
        <v>8281</v>
      </c>
      <c r="E1841" s="3" t="s">
        <v>42</v>
      </c>
      <c r="F1841" s="3" t="s">
        <v>1487</v>
      </c>
      <c r="G1841" s="3" t="s">
        <v>1101</v>
      </c>
      <c r="H1841" s="3" t="s">
        <v>1977</v>
      </c>
      <c r="I1841" s="3">
        <v>7</v>
      </c>
      <c r="J1841" s="3" t="s">
        <v>39</v>
      </c>
      <c r="K1841" s="3" t="s">
        <v>324</v>
      </c>
      <c r="L1841" s="3" t="s">
        <v>1028</v>
      </c>
      <c r="M1841" s="3" t="s">
        <v>8282</v>
      </c>
      <c r="N1841" s="3" t="s">
        <v>924</v>
      </c>
      <c r="O1841" s="3" t="s">
        <v>13</v>
      </c>
      <c r="P1841" s="3" t="s">
        <v>228</v>
      </c>
      <c r="Q1841" s="3" t="s">
        <v>114</v>
      </c>
      <c r="R1841" s="3">
        <v>3</v>
      </c>
      <c r="S1841" s="3">
        <v>3236.45</v>
      </c>
      <c r="T1841" s="3">
        <v>10</v>
      </c>
      <c r="U1841" s="3">
        <v>8738.41</v>
      </c>
      <c r="V1841" s="3">
        <v>4288.88</v>
      </c>
      <c r="W1841" s="3">
        <v>4449.53</v>
      </c>
      <c r="X1841" s="3">
        <v>50.92</v>
      </c>
      <c r="Y1841" s="3">
        <v>49</v>
      </c>
      <c r="Z1841" s="3" t="s">
        <v>40</v>
      </c>
      <c r="AA1841" s="3" t="s">
        <v>139</v>
      </c>
      <c r="AB1841" s="3" t="s">
        <v>140</v>
      </c>
      <c r="AC1841" s="3"/>
    </row>
    <row r="1842" spans="1:29" x14ac:dyDescent="0.3">
      <c r="A1842" s="2" t="s">
        <v>8283</v>
      </c>
      <c r="B1842" s="2" t="s">
        <v>8284</v>
      </c>
      <c r="C1842" s="2" t="s">
        <v>450</v>
      </c>
      <c r="D1842" s="2" t="s">
        <v>8255</v>
      </c>
      <c r="E1842" s="2" t="s">
        <v>33</v>
      </c>
      <c r="F1842" s="2" t="s">
        <v>1005</v>
      </c>
      <c r="G1842" s="2" t="s">
        <v>1006</v>
      </c>
      <c r="H1842" s="2" t="s">
        <v>1950</v>
      </c>
      <c r="I1842" s="2">
        <v>7</v>
      </c>
      <c r="J1842" s="2" t="s">
        <v>39</v>
      </c>
      <c r="K1842" s="2" t="s">
        <v>225</v>
      </c>
      <c r="L1842" s="2" t="s">
        <v>225</v>
      </c>
      <c r="M1842" s="2" t="s">
        <v>2077</v>
      </c>
      <c r="N1842" s="2" t="s">
        <v>475</v>
      </c>
      <c r="O1842" s="2" t="s">
        <v>13</v>
      </c>
      <c r="P1842" s="2" t="s">
        <v>228</v>
      </c>
      <c r="Q1842" s="2" t="s">
        <v>287</v>
      </c>
      <c r="R1842" s="2">
        <v>4</v>
      </c>
      <c r="S1842" s="2">
        <v>22079.34</v>
      </c>
      <c r="T1842" s="2">
        <v>30</v>
      </c>
      <c r="U1842" s="2">
        <v>61822.15</v>
      </c>
      <c r="V1842" s="2">
        <v>39512.43</v>
      </c>
      <c r="W1842" s="2">
        <v>22309.72</v>
      </c>
      <c r="X1842" s="2">
        <v>36.090000000000003</v>
      </c>
      <c r="Y1842" s="2">
        <v>29</v>
      </c>
      <c r="Z1842" s="2" t="s">
        <v>47</v>
      </c>
      <c r="AA1842" s="2" t="s">
        <v>100</v>
      </c>
      <c r="AB1842" s="2" t="s">
        <v>101</v>
      </c>
      <c r="AC1842" s="2">
        <v>4</v>
      </c>
    </row>
    <row r="1843" spans="1:29" x14ac:dyDescent="0.3">
      <c r="A1843" s="3" t="s">
        <v>8285</v>
      </c>
      <c r="B1843" s="3" t="s">
        <v>8286</v>
      </c>
      <c r="C1843" s="3" t="s">
        <v>200</v>
      </c>
      <c r="D1843" s="3" t="s">
        <v>8287</v>
      </c>
      <c r="E1843" s="3" t="s">
        <v>26</v>
      </c>
      <c r="F1843" s="3" t="s">
        <v>3180</v>
      </c>
      <c r="G1843" s="3" t="s">
        <v>684</v>
      </c>
      <c r="H1843" s="3" t="s">
        <v>1984</v>
      </c>
      <c r="I1843" s="3">
        <v>3</v>
      </c>
      <c r="J1843" s="3" t="s">
        <v>14</v>
      </c>
      <c r="K1843" s="3" t="s">
        <v>171</v>
      </c>
      <c r="L1843" s="3" t="s">
        <v>407</v>
      </c>
      <c r="M1843" s="3" t="s">
        <v>8288</v>
      </c>
      <c r="N1843" s="3" t="s">
        <v>508</v>
      </c>
      <c r="O1843" s="3" t="s">
        <v>19</v>
      </c>
      <c r="P1843" s="3" t="s">
        <v>365</v>
      </c>
      <c r="Q1843" s="3" t="s">
        <v>287</v>
      </c>
      <c r="R1843" s="3">
        <v>4</v>
      </c>
      <c r="S1843" s="3">
        <v>25286.14</v>
      </c>
      <c r="T1843" s="3">
        <v>25</v>
      </c>
      <c r="U1843" s="3">
        <v>75858.42</v>
      </c>
      <c r="V1843" s="3">
        <v>35027.040000000001</v>
      </c>
      <c r="W1843" s="3">
        <v>40831.379999999997</v>
      </c>
      <c r="X1843" s="3">
        <v>53.83</v>
      </c>
      <c r="Y1843" s="3">
        <v>0</v>
      </c>
      <c r="Z1843" s="3" t="s">
        <v>47</v>
      </c>
      <c r="AA1843" s="3" t="s">
        <v>100</v>
      </c>
      <c r="AB1843" s="3" t="s">
        <v>101</v>
      </c>
      <c r="AC1843" s="3">
        <v>4</v>
      </c>
    </row>
    <row r="1844" spans="1:29" x14ac:dyDescent="0.3">
      <c r="A1844" s="2" t="s">
        <v>8289</v>
      </c>
      <c r="B1844" s="2" t="s">
        <v>8290</v>
      </c>
      <c r="C1844" s="2" t="s">
        <v>2202</v>
      </c>
      <c r="D1844" s="2" t="s">
        <v>8291</v>
      </c>
      <c r="E1844" s="2" t="s">
        <v>42</v>
      </c>
      <c r="F1844" s="2" t="s">
        <v>2860</v>
      </c>
      <c r="G1844" s="2" t="s">
        <v>761</v>
      </c>
      <c r="H1844" s="2" t="s">
        <v>2182</v>
      </c>
      <c r="I1844" s="2">
        <v>6</v>
      </c>
      <c r="J1844" s="2" t="s">
        <v>14</v>
      </c>
      <c r="K1844" s="2" t="s">
        <v>215</v>
      </c>
      <c r="L1844" s="2" t="s">
        <v>215</v>
      </c>
      <c r="M1844" s="2" t="s">
        <v>8292</v>
      </c>
      <c r="N1844" s="2" t="s">
        <v>256</v>
      </c>
      <c r="O1844" s="2" t="s">
        <v>27</v>
      </c>
      <c r="P1844" s="2" t="s">
        <v>257</v>
      </c>
      <c r="Q1844" s="2" t="s">
        <v>127</v>
      </c>
      <c r="R1844" s="2">
        <v>5</v>
      </c>
      <c r="S1844" s="2">
        <v>32067.89</v>
      </c>
      <c r="T1844" s="2">
        <v>5</v>
      </c>
      <c r="U1844" s="2">
        <v>152322.48000000001</v>
      </c>
      <c r="V1844" s="2">
        <v>102328.7</v>
      </c>
      <c r="W1844" s="2">
        <v>49993.78</v>
      </c>
      <c r="X1844" s="2">
        <v>32.82</v>
      </c>
      <c r="Y1844" s="2">
        <v>29</v>
      </c>
      <c r="Z1844" s="2" t="s">
        <v>47</v>
      </c>
      <c r="AA1844" s="2" t="s">
        <v>139</v>
      </c>
      <c r="AB1844" s="2" t="s">
        <v>140</v>
      </c>
      <c r="AC1844" s="2"/>
    </row>
    <row r="1845" spans="1:29" x14ac:dyDescent="0.3">
      <c r="A1845" s="3" t="s">
        <v>8293</v>
      </c>
      <c r="B1845" s="3" t="s">
        <v>8294</v>
      </c>
      <c r="C1845" s="3" t="s">
        <v>952</v>
      </c>
      <c r="D1845" s="3" t="s">
        <v>8295</v>
      </c>
      <c r="E1845" s="3" t="s">
        <v>42</v>
      </c>
      <c r="F1845" s="3" t="s">
        <v>887</v>
      </c>
      <c r="G1845" s="3" t="s">
        <v>3133</v>
      </c>
      <c r="H1845" s="3" t="s">
        <v>801</v>
      </c>
      <c r="I1845" s="3">
        <v>6</v>
      </c>
      <c r="J1845" s="3" t="s">
        <v>29</v>
      </c>
      <c r="K1845" s="3" t="s">
        <v>834</v>
      </c>
      <c r="L1845" s="3" t="s">
        <v>1000</v>
      </c>
      <c r="M1845" s="3" t="s">
        <v>5074</v>
      </c>
      <c r="N1845" s="3" t="s">
        <v>446</v>
      </c>
      <c r="O1845" s="3" t="s">
        <v>19</v>
      </c>
      <c r="P1845" s="3" t="s">
        <v>447</v>
      </c>
      <c r="Q1845" s="3" t="s">
        <v>355</v>
      </c>
      <c r="R1845" s="3">
        <v>4</v>
      </c>
      <c r="S1845" s="3">
        <v>3515.53</v>
      </c>
      <c r="T1845" s="3">
        <v>5</v>
      </c>
      <c r="U1845" s="3">
        <v>13359.01</v>
      </c>
      <c r="V1845" s="3">
        <v>7393.99</v>
      </c>
      <c r="W1845" s="3">
        <v>5965.02</v>
      </c>
      <c r="X1845" s="3">
        <v>44.65</v>
      </c>
      <c r="Y1845" s="3">
        <v>0</v>
      </c>
      <c r="Z1845" s="3" t="s">
        <v>15</v>
      </c>
      <c r="AA1845" s="3" t="s">
        <v>100</v>
      </c>
      <c r="AB1845" s="3" t="s">
        <v>101</v>
      </c>
      <c r="AC1845" s="3">
        <v>3</v>
      </c>
    </row>
    <row r="1846" spans="1:29" x14ac:dyDescent="0.3">
      <c r="A1846" s="2" t="s">
        <v>8296</v>
      </c>
      <c r="B1846" s="2" t="s">
        <v>1561</v>
      </c>
      <c r="C1846" s="2" t="s">
        <v>339</v>
      </c>
      <c r="D1846" s="2" t="s">
        <v>8297</v>
      </c>
      <c r="E1846" s="2" t="s">
        <v>42</v>
      </c>
      <c r="F1846" s="2" t="s">
        <v>1525</v>
      </c>
      <c r="G1846" s="2" t="s">
        <v>1526</v>
      </c>
      <c r="H1846" s="2" t="s">
        <v>2618</v>
      </c>
      <c r="I1846" s="2">
        <v>4</v>
      </c>
      <c r="J1846" s="2" t="s">
        <v>22</v>
      </c>
      <c r="K1846" s="2" t="s">
        <v>283</v>
      </c>
      <c r="L1846" s="2" t="s">
        <v>748</v>
      </c>
      <c r="M1846" s="2" t="s">
        <v>8298</v>
      </c>
      <c r="N1846" s="2" t="s">
        <v>1188</v>
      </c>
      <c r="O1846" s="2" t="s">
        <v>27</v>
      </c>
      <c r="P1846" s="2" t="s">
        <v>257</v>
      </c>
      <c r="Q1846" s="2" t="s">
        <v>246</v>
      </c>
      <c r="R1846" s="2">
        <v>4</v>
      </c>
      <c r="S1846" s="2">
        <v>32747.06</v>
      </c>
      <c r="T1846" s="2">
        <v>20</v>
      </c>
      <c r="U1846" s="2">
        <v>104790.59</v>
      </c>
      <c r="V1846" s="2">
        <v>72368.83</v>
      </c>
      <c r="W1846" s="2">
        <v>32421.759999999998</v>
      </c>
      <c r="X1846" s="2">
        <v>30.94</v>
      </c>
      <c r="Y1846" s="2">
        <v>49</v>
      </c>
      <c r="Z1846" s="2" t="s">
        <v>30</v>
      </c>
      <c r="AA1846" s="2" t="s">
        <v>275</v>
      </c>
      <c r="AB1846" s="2" t="s">
        <v>101</v>
      </c>
      <c r="AC1846" s="2"/>
    </row>
    <row r="1847" spans="1:29" x14ac:dyDescent="0.3">
      <c r="A1847" s="3" t="s">
        <v>8299</v>
      </c>
      <c r="B1847" s="3" t="s">
        <v>8300</v>
      </c>
      <c r="C1847" s="3" t="s">
        <v>1861</v>
      </c>
      <c r="D1847" s="3" t="s">
        <v>8301</v>
      </c>
      <c r="E1847" s="3" t="s">
        <v>18</v>
      </c>
      <c r="F1847" s="3" t="s">
        <v>480</v>
      </c>
      <c r="G1847" s="3" t="s">
        <v>481</v>
      </c>
      <c r="H1847" s="3" t="s">
        <v>2222</v>
      </c>
      <c r="I1847" s="3">
        <v>8</v>
      </c>
      <c r="J1847" s="3" t="s">
        <v>29</v>
      </c>
      <c r="K1847" s="3" t="s">
        <v>334</v>
      </c>
      <c r="L1847" s="3" t="s">
        <v>614</v>
      </c>
      <c r="M1847" s="3" t="s">
        <v>8302</v>
      </c>
      <c r="N1847" s="3" t="s">
        <v>837</v>
      </c>
      <c r="O1847" s="3" t="s">
        <v>27</v>
      </c>
      <c r="P1847" s="3" t="s">
        <v>257</v>
      </c>
      <c r="Q1847" s="3" t="s">
        <v>509</v>
      </c>
      <c r="R1847" s="3">
        <v>4</v>
      </c>
      <c r="S1847" s="3">
        <v>5969.33</v>
      </c>
      <c r="T1847" s="3">
        <v>15</v>
      </c>
      <c r="U1847" s="3">
        <v>20295.72</v>
      </c>
      <c r="V1847" s="3">
        <v>13859.29</v>
      </c>
      <c r="W1847" s="3">
        <v>6436.43</v>
      </c>
      <c r="X1847" s="3">
        <v>31.71</v>
      </c>
      <c r="Y1847" s="3">
        <v>0</v>
      </c>
      <c r="Z1847" s="3" t="s">
        <v>40</v>
      </c>
      <c r="AA1847" s="3" t="s">
        <v>100</v>
      </c>
      <c r="AB1847" s="3" t="s">
        <v>101</v>
      </c>
      <c r="AC1847" s="3">
        <v>3</v>
      </c>
    </row>
    <row r="1848" spans="1:29" x14ac:dyDescent="0.3">
      <c r="A1848" s="2" t="s">
        <v>8303</v>
      </c>
      <c r="B1848" s="2" t="s">
        <v>8304</v>
      </c>
      <c r="C1848" s="2" t="s">
        <v>2345</v>
      </c>
      <c r="D1848" s="2" t="s">
        <v>8305</v>
      </c>
      <c r="E1848" s="2" t="s">
        <v>26</v>
      </c>
      <c r="F1848" s="2" t="s">
        <v>2063</v>
      </c>
      <c r="G1848" s="2" t="s">
        <v>1048</v>
      </c>
      <c r="H1848" s="2" t="s">
        <v>2270</v>
      </c>
      <c r="I1848" s="2">
        <v>5</v>
      </c>
      <c r="J1848" s="2" t="s">
        <v>29</v>
      </c>
      <c r="K1848" s="2" t="s">
        <v>160</v>
      </c>
      <c r="L1848" s="2" t="s">
        <v>559</v>
      </c>
      <c r="M1848" s="2" t="s">
        <v>7498</v>
      </c>
      <c r="N1848" s="2" t="s">
        <v>316</v>
      </c>
      <c r="O1848" s="2" t="s">
        <v>28</v>
      </c>
      <c r="P1848" s="2" t="s">
        <v>137</v>
      </c>
      <c r="Q1848" s="2" t="s">
        <v>466</v>
      </c>
      <c r="R1848" s="2">
        <v>4</v>
      </c>
      <c r="S1848" s="2">
        <v>15774</v>
      </c>
      <c r="T1848" s="2">
        <v>20</v>
      </c>
      <c r="U1848" s="2">
        <v>50476.800000000003</v>
      </c>
      <c r="V1848" s="2">
        <v>34603.46</v>
      </c>
      <c r="W1848" s="2">
        <v>15873.34</v>
      </c>
      <c r="X1848" s="2">
        <v>31.45</v>
      </c>
      <c r="Y1848" s="2">
        <v>149</v>
      </c>
      <c r="Z1848" s="2" t="s">
        <v>48</v>
      </c>
      <c r="AA1848" s="2" t="s">
        <v>100</v>
      </c>
      <c r="AB1848" s="2" t="s">
        <v>101</v>
      </c>
      <c r="AC1848" s="2">
        <v>2</v>
      </c>
    </row>
    <row r="1849" spans="1:29" x14ac:dyDescent="0.3">
      <c r="A1849" s="3" t="s">
        <v>8306</v>
      </c>
      <c r="B1849" s="3" t="s">
        <v>8307</v>
      </c>
      <c r="C1849" s="3" t="s">
        <v>1782</v>
      </c>
      <c r="D1849" s="3" t="s">
        <v>8308</v>
      </c>
      <c r="E1849" s="3" t="s">
        <v>26</v>
      </c>
      <c r="F1849" s="3" t="s">
        <v>3036</v>
      </c>
      <c r="G1849" s="3" t="s">
        <v>1646</v>
      </c>
      <c r="H1849" s="3" t="s">
        <v>342</v>
      </c>
      <c r="I1849" s="3">
        <v>3</v>
      </c>
      <c r="J1849" s="3" t="s">
        <v>39</v>
      </c>
      <c r="K1849" s="3" t="s">
        <v>109</v>
      </c>
      <c r="L1849" s="3" t="s">
        <v>110</v>
      </c>
      <c r="M1849" s="3" t="s">
        <v>2916</v>
      </c>
      <c r="N1849" s="3" t="s">
        <v>227</v>
      </c>
      <c r="O1849" s="3" t="s">
        <v>13</v>
      </c>
      <c r="P1849" s="3" t="s">
        <v>228</v>
      </c>
      <c r="Q1849" s="3" t="s">
        <v>287</v>
      </c>
      <c r="R1849" s="3">
        <v>3</v>
      </c>
      <c r="S1849" s="3">
        <v>3501.08</v>
      </c>
      <c r="T1849" s="3">
        <v>30</v>
      </c>
      <c r="U1849" s="3">
        <v>7352.27</v>
      </c>
      <c r="V1849" s="3">
        <v>5099.63</v>
      </c>
      <c r="W1849" s="3">
        <v>2252.64</v>
      </c>
      <c r="X1849" s="3">
        <v>30.64</v>
      </c>
      <c r="Y1849" s="3">
        <v>0</v>
      </c>
      <c r="Z1849" s="3" t="s">
        <v>15</v>
      </c>
      <c r="AA1849" s="3" t="s">
        <v>100</v>
      </c>
      <c r="AB1849" s="3" t="s">
        <v>101</v>
      </c>
      <c r="AC1849" s="3">
        <v>3</v>
      </c>
    </row>
    <row r="1850" spans="1:29" x14ac:dyDescent="0.3">
      <c r="A1850" s="2" t="s">
        <v>8309</v>
      </c>
      <c r="B1850" s="2" t="s">
        <v>8310</v>
      </c>
      <c r="C1850" s="2" t="s">
        <v>2147</v>
      </c>
      <c r="D1850" s="2" t="s">
        <v>8311</v>
      </c>
      <c r="E1850" s="2" t="s">
        <v>33</v>
      </c>
      <c r="F1850" s="2" t="s">
        <v>1413</v>
      </c>
      <c r="G1850" s="2" t="s">
        <v>2028</v>
      </c>
      <c r="H1850" s="2" t="s">
        <v>1415</v>
      </c>
      <c r="I1850" s="2">
        <v>3</v>
      </c>
      <c r="J1850" s="2" t="s">
        <v>29</v>
      </c>
      <c r="K1850" s="2" t="s">
        <v>160</v>
      </c>
      <c r="L1850" s="2" t="s">
        <v>161</v>
      </c>
      <c r="M1850" s="2" t="s">
        <v>8312</v>
      </c>
      <c r="N1850" s="2" t="s">
        <v>805</v>
      </c>
      <c r="O1850" s="2" t="s">
        <v>28</v>
      </c>
      <c r="P1850" s="2" t="s">
        <v>151</v>
      </c>
      <c r="Q1850" s="2" t="s">
        <v>218</v>
      </c>
      <c r="R1850" s="2">
        <v>4</v>
      </c>
      <c r="S1850" s="2">
        <v>12273.67</v>
      </c>
      <c r="T1850" s="2">
        <v>5</v>
      </c>
      <c r="U1850" s="2">
        <v>46639.95</v>
      </c>
      <c r="V1850" s="2">
        <v>27573.32</v>
      </c>
      <c r="W1850" s="2">
        <v>19066.63</v>
      </c>
      <c r="X1850" s="2">
        <v>40.880000000000003</v>
      </c>
      <c r="Y1850" s="2">
        <v>29</v>
      </c>
      <c r="Z1850" s="2" t="s">
        <v>48</v>
      </c>
      <c r="AA1850" s="2" t="s">
        <v>672</v>
      </c>
      <c r="AB1850" s="2" t="s">
        <v>101</v>
      </c>
      <c r="AC1850" s="2"/>
    </row>
    <row r="1851" spans="1:29" x14ac:dyDescent="0.3">
      <c r="A1851" s="3" t="s">
        <v>8313</v>
      </c>
      <c r="B1851" s="3" t="s">
        <v>7892</v>
      </c>
      <c r="C1851" s="3" t="s">
        <v>1880</v>
      </c>
      <c r="D1851" s="3" t="s">
        <v>5479</v>
      </c>
      <c r="E1851" s="3" t="s">
        <v>18</v>
      </c>
      <c r="F1851" s="3" t="s">
        <v>516</v>
      </c>
      <c r="G1851" s="3" t="s">
        <v>1113</v>
      </c>
      <c r="H1851" s="3" t="s">
        <v>2270</v>
      </c>
      <c r="I1851" s="3">
        <v>7</v>
      </c>
      <c r="J1851" s="3" t="s">
        <v>39</v>
      </c>
      <c r="K1851" s="3" t="s">
        <v>324</v>
      </c>
      <c r="L1851" s="3" t="s">
        <v>1422</v>
      </c>
      <c r="M1851" s="3" t="s">
        <v>8314</v>
      </c>
      <c r="N1851" s="3" t="s">
        <v>475</v>
      </c>
      <c r="O1851" s="3" t="s">
        <v>13</v>
      </c>
      <c r="P1851" s="3" t="s">
        <v>228</v>
      </c>
      <c r="Q1851" s="3" t="s">
        <v>287</v>
      </c>
      <c r="R1851" s="3">
        <v>5</v>
      </c>
      <c r="S1851" s="3">
        <v>20285.48</v>
      </c>
      <c r="T1851" s="3">
        <v>0</v>
      </c>
      <c r="U1851" s="3">
        <v>101427.4</v>
      </c>
      <c r="V1851" s="3">
        <v>55810.39</v>
      </c>
      <c r="W1851" s="3">
        <v>45617.01</v>
      </c>
      <c r="X1851" s="3">
        <v>44.98</v>
      </c>
      <c r="Y1851" s="3">
        <v>149</v>
      </c>
      <c r="Z1851" s="3" t="s">
        <v>43</v>
      </c>
      <c r="AA1851" s="3" t="s">
        <v>100</v>
      </c>
      <c r="AB1851" s="3" t="s">
        <v>101</v>
      </c>
      <c r="AC1851" s="3"/>
    </row>
    <row r="1852" spans="1:29" x14ac:dyDescent="0.3">
      <c r="A1852" s="2" t="s">
        <v>8315</v>
      </c>
      <c r="B1852" s="2" t="s">
        <v>8316</v>
      </c>
      <c r="C1852" s="2" t="s">
        <v>934</v>
      </c>
      <c r="D1852" s="2" t="s">
        <v>8317</v>
      </c>
      <c r="E1852" s="2" t="s">
        <v>42</v>
      </c>
      <c r="F1852" s="2" t="s">
        <v>4232</v>
      </c>
      <c r="G1852" s="2" t="s">
        <v>360</v>
      </c>
      <c r="H1852" s="2" t="s">
        <v>3296</v>
      </c>
      <c r="I1852" s="2">
        <v>7</v>
      </c>
      <c r="J1852" s="2" t="s">
        <v>29</v>
      </c>
      <c r="K1852" s="2" t="s">
        <v>160</v>
      </c>
      <c r="L1852" s="2" t="s">
        <v>559</v>
      </c>
      <c r="M1852" s="2" t="s">
        <v>6491</v>
      </c>
      <c r="N1852" s="2" t="s">
        <v>286</v>
      </c>
      <c r="O1852" s="2" t="s">
        <v>28</v>
      </c>
      <c r="P1852" s="2" t="s">
        <v>137</v>
      </c>
      <c r="Q1852" s="2" t="s">
        <v>218</v>
      </c>
      <c r="R1852" s="2">
        <v>3</v>
      </c>
      <c r="S1852" s="2">
        <v>2390.63</v>
      </c>
      <c r="T1852" s="2">
        <v>20</v>
      </c>
      <c r="U1852" s="2">
        <v>5737.51</v>
      </c>
      <c r="V1852" s="2">
        <v>2849.32</v>
      </c>
      <c r="W1852" s="2">
        <v>2888.19</v>
      </c>
      <c r="X1852" s="2">
        <v>50.34</v>
      </c>
      <c r="Y1852" s="2">
        <v>199</v>
      </c>
      <c r="Z1852" s="2" t="s">
        <v>40</v>
      </c>
      <c r="AA1852" s="2" t="s">
        <v>275</v>
      </c>
      <c r="AB1852" s="2" t="s">
        <v>101</v>
      </c>
      <c r="AC1852" s="2"/>
    </row>
    <row r="1853" spans="1:29" x14ac:dyDescent="0.3">
      <c r="A1853" s="3" t="s">
        <v>8318</v>
      </c>
      <c r="B1853" s="3" t="s">
        <v>8319</v>
      </c>
      <c r="C1853" s="3" t="s">
        <v>1822</v>
      </c>
      <c r="D1853" s="3" t="s">
        <v>8320</v>
      </c>
      <c r="E1853" s="3" t="s">
        <v>26</v>
      </c>
      <c r="F1853" s="3" t="s">
        <v>2455</v>
      </c>
      <c r="G1853" s="3" t="s">
        <v>596</v>
      </c>
      <c r="H1853" s="3" t="s">
        <v>597</v>
      </c>
      <c r="I1853" s="3">
        <v>2</v>
      </c>
      <c r="J1853" s="3" t="s">
        <v>14</v>
      </c>
      <c r="K1853" s="3" t="s">
        <v>95</v>
      </c>
      <c r="L1853" s="3" t="s">
        <v>95</v>
      </c>
      <c r="M1853" s="3" t="s">
        <v>8321</v>
      </c>
      <c r="N1853" s="3" t="s">
        <v>600</v>
      </c>
      <c r="O1853" s="3" t="s">
        <v>27</v>
      </c>
      <c r="P1853" s="3" t="s">
        <v>175</v>
      </c>
      <c r="Q1853" s="3" t="s">
        <v>138</v>
      </c>
      <c r="R1853" s="3">
        <v>4</v>
      </c>
      <c r="S1853" s="3">
        <v>13364.09</v>
      </c>
      <c r="T1853" s="3">
        <v>0</v>
      </c>
      <c r="U1853" s="3">
        <v>53456.36</v>
      </c>
      <c r="V1853" s="3">
        <v>34037.279999999999</v>
      </c>
      <c r="W1853" s="3">
        <v>19419.080000000002</v>
      </c>
      <c r="X1853" s="3">
        <v>36.33</v>
      </c>
      <c r="Y1853" s="3">
        <v>99</v>
      </c>
      <c r="Z1853" s="3" t="s">
        <v>43</v>
      </c>
      <c r="AA1853" s="3" t="s">
        <v>275</v>
      </c>
      <c r="AB1853" s="3" t="s">
        <v>101</v>
      </c>
      <c r="AC1853" s="3"/>
    </row>
    <row r="1854" spans="1:29" x14ac:dyDescent="0.3">
      <c r="A1854" s="2" t="s">
        <v>8322</v>
      </c>
      <c r="B1854" s="2" t="s">
        <v>8323</v>
      </c>
      <c r="C1854" s="2" t="s">
        <v>1737</v>
      </c>
      <c r="D1854" s="2" t="s">
        <v>8324</v>
      </c>
      <c r="E1854" s="2" t="s">
        <v>33</v>
      </c>
      <c r="F1854" s="2" t="s">
        <v>1120</v>
      </c>
      <c r="G1854" s="2" t="s">
        <v>2553</v>
      </c>
      <c r="H1854" s="2" t="s">
        <v>1599</v>
      </c>
      <c r="I1854" s="2">
        <v>2</v>
      </c>
      <c r="J1854" s="2" t="s">
        <v>22</v>
      </c>
      <c r="K1854" s="2" t="s">
        <v>254</v>
      </c>
      <c r="L1854" s="2" t="s">
        <v>254</v>
      </c>
      <c r="M1854" s="2" t="s">
        <v>8325</v>
      </c>
      <c r="N1854" s="2" t="s">
        <v>136</v>
      </c>
      <c r="O1854" s="2" t="s">
        <v>28</v>
      </c>
      <c r="P1854" s="2" t="s">
        <v>137</v>
      </c>
      <c r="Q1854" s="2" t="s">
        <v>509</v>
      </c>
      <c r="R1854" s="2">
        <v>3</v>
      </c>
      <c r="S1854" s="2">
        <v>25947.4</v>
      </c>
      <c r="T1854" s="2">
        <v>30</v>
      </c>
      <c r="U1854" s="2">
        <v>54489.54</v>
      </c>
      <c r="V1854" s="2">
        <v>34982.94</v>
      </c>
      <c r="W1854" s="2">
        <v>19506.599999999999</v>
      </c>
      <c r="X1854" s="2">
        <v>35.799999999999997</v>
      </c>
      <c r="Y1854" s="2">
        <v>29</v>
      </c>
      <c r="Z1854" s="2" t="s">
        <v>48</v>
      </c>
      <c r="AA1854" s="2" t="s">
        <v>100</v>
      </c>
      <c r="AB1854" s="2" t="s">
        <v>101</v>
      </c>
      <c r="AC1854" s="2">
        <v>3</v>
      </c>
    </row>
    <row r="1855" spans="1:29" x14ac:dyDescent="0.3">
      <c r="A1855" s="3" t="s">
        <v>8326</v>
      </c>
      <c r="B1855" s="3" t="s">
        <v>8327</v>
      </c>
      <c r="C1855" s="3" t="s">
        <v>1273</v>
      </c>
      <c r="D1855" s="3" t="s">
        <v>8328</v>
      </c>
      <c r="E1855" s="3" t="s">
        <v>26</v>
      </c>
      <c r="F1855" s="3" t="s">
        <v>2841</v>
      </c>
      <c r="G1855" s="3" t="s">
        <v>4453</v>
      </c>
      <c r="H1855" s="3" t="s">
        <v>1659</v>
      </c>
      <c r="I1855" s="3">
        <v>7</v>
      </c>
      <c r="J1855" s="3" t="s">
        <v>29</v>
      </c>
      <c r="K1855" s="3" t="s">
        <v>427</v>
      </c>
      <c r="L1855" s="3" t="s">
        <v>1871</v>
      </c>
      <c r="M1855" s="3" t="s">
        <v>4637</v>
      </c>
      <c r="N1855" s="3" t="s">
        <v>174</v>
      </c>
      <c r="O1855" s="3" t="s">
        <v>27</v>
      </c>
      <c r="P1855" s="3" t="s">
        <v>175</v>
      </c>
      <c r="Q1855" s="3" t="s">
        <v>246</v>
      </c>
      <c r="R1855" s="3">
        <v>2</v>
      </c>
      <c r="S1855" s="3">
        <v>41801.910000000003</v>
      </c>
      <c r="T1855" s="3">
        <v>5</v>
      </c>
      <c r="U1855" s="3">
        <v>79423.63</v>
      </c>
      <c r="V1855" s="3">
        <v>40175.18</v>
      </c>
      <c r="W1855" s="3">
        <v>39248.449999999997</v>
      </c>
      <c r="X1855" s="3">
        <v>49.42</v>
      </c>
      <c r="Y1855" s="3">
        <v>199</v>
      </c>
      <c r="Z1855" s="3" t="s">
        <v>48</v>
      </c>
      <c r="AA1855" s="3" t="s">
        <v>100</v>
      </c>
      <c r="AB1855" s="3" t="s">
        <v>101</v>
      </c>
      <c r="AC1855" s="3">
        <v>4</v>
      </c>
    </row>
    <row r="1856" spans="1:29" x14ac:dyDescent="0.3">
      <c r="A1856" s="2" t="s">
        <v>8329</v>
      </c>
      <c r="B1856" s="2" t="s">
        <v>8330</v>
      </c>
      <c r="C1856" s="2" t="s">
        <v>502</v>
      </c>
      <c r="D1856" s="2" t="s">
        <v>8331</v>
      </c>
      <c r="E1856" s="2" t="s">
        <v>42</v>
      </c>
      <c r="F1856" s="2" t="s">
        <v>4757</v>
      </c>
      <c r="G1856" s="2" t="s">
        <v>516</v>
      </c>
      <c r="H1856" s="2" t="s">
        <v>2063</v>
      </c>
      <c r="I1856" s="2">
        <v>2</v>
      </c>
      <c r="J1856" s="2" t="s">
        <v>14</v>
      </c>
      <c r="K1856" s="2" t="s">
        <v>183</v>
      </c>
      <c r="L1856" s="2" t="s">
        <v>183</v>
      </c>
      <c r="M1856" s="2" t="s">
        <v>8332</v>
      </c>
      <c r="N1856" s="2" t="s">
        <v>686</v>
      </c>
      <c r="O1856" s="2" t="s">
        <v>13</v>
      </c>
      <c r="P1856" s="2" t="s">
        <v>228</v>
      </c>
      <c r="Q1856" s="2" t="s">
        <v>197</v>
      </c>
      <c r="R1856" s="2">
        <v>2</v>
      </c>
      <c r="S1856" s="2">
        <v>20707.66</v>
      </c>
      <c r="T1856" s="2">
        <v>15</v>
      </c>
      <c r="U1856" s="2">
        <v>35203.019999999997</v>
      </c>
      <c r="V1856" s="2">
        <v>17616.91</v>
      </c>
      <c r="W1856" s="2">
        <v>17586.11</v>
      </c>
      <c r="X1856" s="2">
        <v>49.96</v>
      </c>
      <c r="Y1856" s="2">
        <v>199</v>
      </c>
      <c r="Z1856" s="2" t="s">
        <v>47</v>
      </c>
      <c r="AA1856" s="2" t="s">
        <v>100</v>
      </c>
      <c r="AB1856" s="2" t="s">
        <v>101</v>
      </c>
      <c r="AC1856" s="2"/>
    </row>
    <row r="1857" spans="1:29" x14ac:dyDescent="0.3">
      <c r="A1857" s="3" t="s">
        <v>8333</v>
      </c>
      <c r="B1857" s="3" t="s">
        <v>8334</v>
      </c>
      <c r="C1857" s="3" t="s">
        <v>1880</v>
      </c>
      <c r="D1857" s="3" t="s">
        <v>8335</v>
      </c>
      <c r="E1857" s="3" t="s">
        <v>26</v>
      </c>
      <c r="F1857" s="3" t="s">
        <v>886</v>
      </c>
      <c r="G1857" s="3" t="s">
        <v>1428</v>
      </c>
      <c r="H1857" s="3" t="s">
        <v>3134</v>
      </c>
      <c r="I1857" s="3">
        <v>6</v>
      </c>
      <c r="J1857" s="3" t="s">
        <v>29</v>
      </c>
      <c r="K1857" s="3" t="s">
        <v>148</v>
      </c>
      <c r="L1857" s="3" t="s">
        <v>148</v>
      </c>
      <c r="M1857" s="3" t="s">
        <v>8336</v>
      </c>
      <c r="N1857" s="3" t="s">
        <v>1535</v>
      </c>
      <c r="O1857" s="3" t="s">
        <v>13</v>
      </c>
      <c r="P1857" s="3" t="s">
        <v>98</v>
      </c>
      <c r="Q1857" s="3" t="s">
        <v>400</v>
      </c>
      <c r="R1857" s="3">
        <v>2</v>
      </c>
      <c r="S1857" s="3">
        <v>40842.76</v>
      </c>
      <c r="T1857" s="3">
        <v>0</v>
      </c>
      <c r="U1857" s="3">
        <v>81685.52</v>
      </c>
      <c r="V1857" s="3">
        <v>51187.65</v>
      </c>
      <c r="W1857" s="3">
        <v>30497.87</v>
      </c>
      <c r="X1857" s="3">
        <v>37.340000000000003</v>
      </c>
      <c r="Y1857" s="3">
        <v>199</v>
      </c>
      <c r="Z1857" s="3" t="s">
        <v>43</v>
      </c>
      <c r="AA1857" s="3" t="s">
        <v>139</v>
      </c>
      <c r="AB1857" s="3" t="s">
        <v>140</v>
      </c>
      <c r="AC1857" s="3"/>
    </row>
    <row r="1858" spans="1:29" x14ac:dyDescent="0.3">
      <c r="A1858" s="2" t="s">
        <v>8337</v>
      </c>
      <c r="B1858" s="2" t="s">
        <v>6136</v>
      </c>
      <c r="C1858" s="2" t="s">
        <v>733</v>
      </c>
      <c r="D1858" s="2" t="s">
        <v>7457</v>
      </c>
      <c r="E1858" s="2" t="s">
        <v>18</v>
      </c>
      <c r="F1858" s="2" t="s">
        <v>4268</v>
      </c>
      <c r="G1858" s="2" t="s">
        <v>1486</v>
      </c>
      <c r="H1858" s="2" t="s">
        <v>1487</v>
      </c>
      <c r="I1858" s="2">
        <v>2</v>
      </c>
      <c r="J1858" s="2" t="s">
        <v>22</v>
      </c>
      <c r="K1858" s="2" t="s">
        <v>738</v>
      </c>
      <c r="L1858" s="2" t="s">
        <v>738</v>
      </c>
      <c r="M1858" s="2" t="s">
        <v>8338</v>
      </c>
      <c r="N1858" s="2" t="s">
        <v>163</v>
      </c>
      <c r="O1858" s="2" t="s">
        <v>21</v>
      </c>
      <c r="P1858" s="2" t="s">
        <v>126</v>
      </c>
      <c r="Q1858" s="2" t="s">
        <v>152</v>
      </c>
      <c r="R1858" s="2">
        <v>2</v>
      </c>
      <c r="S1858" s="2">
        <v>31660.959999999999</v>
      </c>
      <c r="T1858" s="2">
        <v>30</v>
      </c>
      <c r="U1858" s="2">
        <v>44325.34</v>
      </c>
      <c r="V1858" s="2">
        <v>27481.35</v>
      </c>
      <c r="W1858" s="2">
        <v>16843.990000000002</v>
      </c>
      <c r="X1858" s="2">
        <v>38</v>
      </c>
      <c r="Y1858" s="2">
        <v>29</v>
      </c>
      <c r="Z1858" s="2" t="s">
        <v>48</v>
      </c>
      <c r="AA1858" s="2" t="s">
        <v>100</v>
      </c>
      <c r="AB1858" s="2" t="s">
        <v>101</v>
      </c>
      <c r="AC1858" s="2"/>
    </row>
    <row r="1859" spans="1:29" x14ac:dyDescent="0.3">
      <c r="A1859" s="3" t="s">
        <v>8339</v>
      </c>
      <c r="B1859" s="3" t="s">
        <v>8340</v>
      </c>
      <c r="C1859" s="3" t="s">
        <v>3865</v>
      </c>
      <c r="D1859" s="3" t="s">
        <v>8341</v>
      </c>
      <c r="E1859" s="3" t="s">
        <v>33</v>
      </c>
      <c r="F1859" s="3" t="s">
        <v>133</v>
      </c>
      <c r="G1859" s="3" t="s">
        <v>3646</v>
      </c>
      <c r="H1859" s="3" t="s">
        <v>203</v>
      </c>
      <c r="I1859" s="3">
        <v>2</v>
      </c>
      <c r="J1859" s="3" t="s">
        <v>22</v>
      </c>
      <c r="K1859" s="3" t="s">
        <v>122</v>
      </c>
      <c r="L1859" s="3" t="s">
        <v>236</v>
      </c>
      <c r="M1859" s="3" t="s">
        <v>8342</v>
      </c>
      <c r="N1859" s="3" t="s">
        <v>136</v>
      </c>
      <c r="O1859" s="3" t="s">
        <v>28</v>
      </c>
      <c r="P1859" s="3" t="s">
        <v>137</v>
      </c>
      <c r="Q1859" s="3" t="s">
        <v>355</v>
      </c>
      <c r="R1859" s="3">
        <v>1</v>
      </c>
      <c r="S1859" s="3">
        <v>9905.17</v>
      </c>
      <c r="T1859" s="3">
        <v>20</v>
      </c>
      <c r="U1859" s="3">
        <v>7924.14</v>
      </c>
      <c r="V1859" s="3">
        <v>5236.9399999999996</v>
      </c>
      <c r="W1859" s="3">
        <v>2687.2</v>
      </c>
      <c r="X1859" s="3">
        <v>33.909999999999997</v>
      </c>
      <c r="Y1859" s="3">
        <v>149</v>
      </c>
      <c r="Z1859" s="3" t="s">
        <v>48</v>
      </c>
      <c r="AA1859" s="3" t="s">
        <v>100</v>
      </c>
      <c r="AB1859" s="3" t="s">
        <v>101</v>
      </c>
      <c r="AC1859" s="3">
        <v>4</v>
      </c>
    </row>
    <row r="1860" spans="1:29" x14ac:dyDescent="0.3">
      <c r="A1860" s="2" t="s">
        <v>8343</v>
      </c>
      <c r="B1860" s="2" t="s">
        <v>8344</v>
      </c>
      <c r="C1860" s="2" t="s">
        <v>2877</v>
      </c>
      <c r="D1860" s="2" t="s">
        <v>8345</v>
      </c>
      <c r="E1860" s="2" t="s">
        <v>26</v>
      </c>
      <c r="F1860" s="2" t="s">
        <v>2462</v>
      </c>
      <c r="G1860" s="2" t="s">
        <v>263</v>
      </c>
      <c r="H1860" s="2" t="s">
        <v>2238</v>
      </c>
      <c r="I1860" s="2">
        <v>2</v>
      </c>
      <c r="J1860" s="2" t="s">
        <v>22</v>
      </c>
      <c r="K1860" s="2" t="s">
        <v>254</v>
      </c>
      <c r="L1860" s="2" t="s">
        <v>254</v>
      </c>
      <c r="M1860" s="2" t="s">
        <v>2818</v>
      </c>
      <c r="N1860" s="2" t="s">
        <v>924</v>
      </c>
      <c r="O1860" s="2" t="s">
        <v>13</v>
      </c>
      <c r="P1860" s="2" t="s">
        <v>228</v>
      </c>
      <c r="Q1860" s="2" t="s">
        <v>197</v>
      </c>
      <c r="R1860" s="2">
        <v>3</v>
      </c>
      <c r="S1860" s="2">
        <v>18446.55</v>
      </c>
      <c r="T1860" s="2">
        <v>5</v>
      </c>
      <c r="U1860" s="2">
        <v>52572.67</v>
      </c>
      <c r="V1860" s="2">
        <v>30362.53</v>
      </c>
      <c r="W1860" s="2">
        <v>22210.14</v>
      </c>
      <c r="X1860" s="2">
        <v>42.25</v>
      </c>
      <c r="Y1860" s="2">
        <v>0</v>
      </c>
      <c r="Z1860" s="2" t="s">
        <v>23</v>
      </c>
      <c r="AA1860" s="2" t="s">
        <v>100</v>
      </c>
      <c r="AB1860" s="2" t="s">
        <v>101</v>
      </c>
      <c r="AC1860" s="2">
        <v>2</v>
      </c>
    </row>
    <row r="1861" spans="1:29" x14ac:dyDescent="0.3">
      <c r="A1861" s="3" t="s">
        <v>8346</v>
      </c>
      <c r="B1861" s="3" t="s">
        <v>8347</v>
      </c>
      <c r="C1861" s="3" t="s">
        <v>1590</v>
      </c>
      <c r="D1861" s="3" t="s">
        <v>8348</v>
      </c>
      <c r="E1861" s="3" t="s">
        <v>33</v>
      </c>
      <c r="F1861" s="3" t="s">
        <v>2955</v>
      </c>
      <c r="G1861" s="3" t="s">
        <v>1015</v>
      </c>
      <c r="H1861" s="3" t="s">
        <v>1205</v>
      </c>
      <c r="I1861" s="3">
        <v>4</v>
      </c>
      <c r="J1861" s="3" t="s">
        <v>29</v>
      </c>
      <c r="K1861" s="3" t="s">
        <v>160</v>
      </c>
      <c r="L1861" s="3" t="s">
        <v>161</v>
      </c>
      <c r="M1861" s="3" t="s">
        <v>499</v>
      </c>
      <c r="N1861" s="3" t="s">
        <v>97</v>
      </c>
      <c r="O1861" s="3" t="s">
        <v>13</v>
      </c>
      <c r="P1861" s="3" t="s">
        <v>98</v>
      </c>
      <c r="Q1861" s="3" t="s">
        <v>197</v>
      </c>
      <c r="R1861" s="3">
        <v>3</v>
      </c>
      <c r="S1861" s="3">
        <v>12761.36</v>
      </c>
      <c r="T1861" s="3">
        <v>20</v>
      </c>
      <c r="U1861" s="3">
        <v>30627.26</v>
      </c>
      <c r="V1861" s="3">
        <v>16884.79</v>
      </c>
      <c r="W1861" s="3">
        <v>13742.47</v>
      </c>
      <c r="X1861" s="3">
        <v>44.87</v>
      </c>
      <c r="Y1861" s="3">
        <v>29</v>
      </c>
      <c r="Z1861" s="3" t="s">
        <v>30</v>
      </c>
      <c r="AA1861" s="3" t="s">
        <v>275</v>
      </c>
      <c r="AB1861" s="3" t="s">
        <v>101</v>
      </c>
      <c r="AC1861" s="3"/>
    </row>
    <row r="1862" spans="1:29" x14ac:dyDescent="0.3">
      <c r="A1862" s="2" t="s">
        <v>8349</v>
      </c>
      <c r="B1862" s="2" t="s">
        <v>8350</v>
      </c>
      <c r="C1862" s="2" t="s">
        <v>3938</v>
      </c>
      <c r="D1862" s="2" t="s">
        <v>8351</v>
      </c>
      <c r="E1862" s="2" t="s">
        <v>26</v>
      </c>
      <c r="F1862" s="2" t="s">
        <v>711</v>
      </c>
      <c r="G1862" s="2" t="s">
        <v>1428</v>
      </c>
      <c r="H1862" s="2" t="s">
        <v>887</v>
      </c>
      <c r="I1862" s="2">
        <v>2</v>
      </c>
      <c r="J1862" s="2" t="s">
        <v>29</v>
      </c>
      <c r="K1862" s="2" t="s">
        <v>427</v>
      </c>
      <c r="L1862" s="2" t="s">
        <v>1871</v>
      </c>
      <c r="M1862" s="2" t="s">
        <v>867</v>
      </c>
      <c r="N1862" s="2" t="s">
        <v>136</v>
      </c>
      <c r="O1862" s="2" t="s">
        <v>28</v>
      </c>
      <c r="P1862" s="2" t="s">
        <v>137</v>
      </c>
      <c r="Q1862" s="2" t="s">
        <v>466</v>
      </c>
      <c r="R1862" s="2">
        <v>3</v>
      </c>
      <c r="S1862" s="2">
        <v>11229.57</v>
      </c>
      <c r="T1862" s="2">
        <v>0</v>
      </c>
      <c r="U1862" s="2">
        <v>33688.71</v>
      </c>
      <c r="V1862" s="2">
        <v>23196.48</v>
      </c>
      <c r="W1862" s="2">
        <v>10492.23</v>
      </c>
      <c r="X1862" s="2">
        <v>31.14</v>
      </c>
      <c r="Y1862" s="2">
        <v>0</v>
      </c>
      <c r="Z1862" s="2" t="s">
        <v>23</v>
      </c>
      <c r="AA1862" s="2" t="s">
        <v>100</v>
      </c>
      <c r="AB1862" s="2" t="s">
        <v>101</v>
      </c>
      <c r="AC1862" s="2">
        <v>5</v>
      </c>
    </row>
    <row r="1863" spans="1:29" x14ac:dyDescent="0.3">
      <c r="A1863" s="3" t="s">
        <v>8352</v>
      </c>
      <c r="B1863" s="3" t="s">
        <v>8353</v>
      </c>
      <c r="C1863" s="3" t="s">
        <v>4332</v>
      </c>
      <c r="D1863" s="3" t="s">
        <v>8354</v>
      </c>
      <c r="E1863" s="3" t="s">
        <v>26</v>
      </c>
      <c r="F1863" s="3" t="s">
        <v>1817</v>
      </c>
      <c r="G1863" s="3" t="s">
        <v>655</v>
      </c>
      <c r="H1863" s="3" t="s">
        <v>669</v>
      </c>
      <c r="I1863" s="3">
        <v>4</v>
      </c>
      <c r="J1863" s="3" t="s">
        <v>14</v>
      </c>
      <c r="K1863" s="3" t="s">
        <v>171</v>
      </c>
      <c r="L1863" s="3" t="s">
        <v>541</v>
      </c>
      <c r="M1863" s="3" t="s">
        <v>8355</v>
      </c>
      <c r="N1863" s="3" t="s">
        <v>508</v>
      </c>
      <c r="O1863" s="3" t="s">
        <v>19</v>
      </c>
      <c r="P1863" s="3" t="s">
        <v>365</v>
      </c>
      <c r="Q1863" s="3" t="s">
        <v>207</v>
      </c>
      <c r="R1863" s="3">
        <v>1</v>
      </c>
      <c r="S1863" s="3">
        <v>18580.84</v>
      </c>
      <c r="T1863" s="3">
        <v>30</v>
      </c>
      <c r="U1863" s="3">
        <v>13006.59</v>
      </c>
      <c r="V1863" s="3">
        <v>6421.94</v>
      </c>
      <c r="W1863" s="3">
        <v>6584.65</v>
      </c>
      <c r="X1863" s="3">
        <v>50.63</v>
      </c>
      <c r="Y1863" s="3">
        <v>29</v>
      </c>
      <c r="Z1863" s="3" t="s">
        <v>15</v>
      </c>
      <c r="AA1863" s="3" t="s">
        <v>100</v>
      </c>
      <c r="AB1863" s="3" t="s">
        <v>101</v>
      </c>
      <c r="AC1863" s="3">
        <v>1</v>
      </c>
    </row>
    <row r="1864" spans="1:29" x14ac:dyDescent="0.3">
      <c r="A1864" s="2" t="s">
        <v>8356</v>
      </c>
      <c r="B1864" s="2" t="s">
        <v>8357</v>
      </c>
      <c r="C1864" s="2" t="s">
        <v>339</v>
      </c>
      <c r="D1864" s="2" t="s">
        <v>8358</v>
      </c>
      <c r="E1864" s="2" t="s">
        <v>33</v>
      </c>
      <c r="F1864" s="2" t="s">
        <v>795</v>
      </c>
      <c r="G1864" s="2" t="s">
        <v>106</v>
      </c>
      <c r="H1864" s="2" t="s">
        <v>1799</v>
      </c>
      <c r="I1864" s="2">
        <v>4</v>
      </c>
      <c r="J1864" s="2" t="s">
        <v>22</v>
      </c>
      <c r="K1864" s="2" t="s">
        <v>738</v>
      </c>
      <c r="L1864" s="2" t="s">
        <v>738</v>
      </c>
      <c r="M1864" s="2" t="s">
        <v>8359</v>
      </c>
      <c r="N1864" s="2" t="s">
        <v>704</v>
      </c>
      <c r="O1864" s="2" t="s">
        <v>13</v>
      </c>
      <c r="P1864" s="2" t="s">
        <v>419</v>
      </c>
      <c r="Q1864" s="2" t="s">
        <v>114</v>
      </c>
      <c r="R1864" s="2">
        <v>5</v>
      </c>
      <c r="S1864" s="2">
        <v>515.64</v>
      </c>
      <c r="T1864" s="2">
        <v>5</v>
      </c>
      <c r="U1864" s="2">
        <v>2449.29</v>
      </c>
      <c r="V1864" s="2">
        <v>1386.49</v>
      </c>
      <c r="W1864" s="2">
        <v>1062.8</v>
      </c>
      <c r="X1864" s="2">
        <v>43.39</v>
      </c>
      <c r="Y1864" s="2">
        <v>199</v>
      </c>
      <c r="Z1864" s="2" t="s">
        <v>40</v>
      </c>
      <c r="AA1864" s="2" t="s">
        <v>100</v>
      </c>
      <c r="AB1864" s="2" t="s">
        <v>101</v>
      </c>
      <c r="AC1864" s="2">
        <v>4</v>
      </c>
    </row>
    <row r="1865" spans="1:29" x14ac:dyDescent="0.3">
      <c r="A1865" s="3" t="s">
        <v>8360</v>
      </c>
      <c r="B1865" s="3" t="s">
        <v>8361</v>
      </c>
      <c r="C1865" s="3" t="s">
        <v>4049</v>
      </c>
      <c r="D1865" s="3" t="s">
        <v>8362</v>
      </c>
      <c r="E1865" s="3" t="s">
        <v>33</v>
      </c>
      <c r="F1865" s="3" t="s">
        <v>4081</v>
      </c>
      <c r="G1865" s="3" t="s">
        <v>471</v>
      </c>
      <c r="H1865" s="3" t="s">
        <v>472</v>
      </c>
      <c r="I1865" s="3">
        <v>3</v>
      </c>
      <c r="J1865" s="3" t="s">
        <v>22</v>
      </c>
      <c r="K1865" s="3" t="s">
        <v>122</v>
      </c>
      <c r="L1865" s="3" t="s">
        <v>236</v>
      </c>
      <c r="M1865" s="3" t="s">
        <v>8363</v>
      </c>
      <c r="N1865" s="3" t="s">
        <v>327</v>
      </c>
      <c r="O1865" s="3" t="s">
        <v>27</v>
      </c>
      <c r="P1865" s="3" t="s">
        <v>113</v>
      </c>
      <c r="Q1865" s="3" t="s">
        <v>509</v>
      </c>
      <c r="R1865" s="3">
        <v>4</v>
      </c>
      <c r="S1865" s="3">
        <v>5799.07</v>
      </c>
      <c r="T1865" s="3">
        <v>25</v>
      </c>
      <c r="U1865" s="3">
        <v>17397.21</v>
      </c>
      <c r="V1865" s="3">
        <v>8693.2999999999993</v>
      </c>
      <c r="W1865" s="3">
        <v>8703.91</v>
      </c>
      <c r="X1865" s="3">
        <v>50.03</v>
      </c>
      <c r="Y1865" s="3">
        <v>99</v>
      </c>
      <c r="Z1865" s="3" t="s">
        <v>23</v>
      </c>
      <c r="AA1865" s="3" t="s">
        <v>100</v>
      </c>
      <c r="AB1865" s="3" t="s">
        <v>101</v>
      </c>
      <c r="AC1865" s="3">
        <v>3</v>
      </c>
    </row>
    <row r="1866" spans="1:29" x14ac:dyDescent="0.3">
      <c r="A1866" s="2" t="s">
        <v>8364</v>
      </c>
      <c r="B1866" s="2" t="s">
        <v>8365</v>
      </c>
      <c r="C1866" s="2" t="s">
        <v>1464</v>
      </c>
      <c r="D1866" s="2" t="s">
        <v>4027</v>
      </c>
      <c r="E1866" s="2" t="s">
        <v>18</v>
      </c>
      <c r="F1866" s="2" t="s">
        <v>4253</v>
      </c>
      <c r="G1866" s="2" t="s">
        <v>1366</v>
      </c>
      <c r="H1866" s="2" t="s">
        <v>471</v>
      </c>
      <c r="I1866" s="2">
        <v>6</v>
      </c>
      <c r="J1866" s="2" t="s">
        <v>29</v>
      </c>
      <c r="K1866" s="2" t="s">
        <v>148</v>
      </c>
      <c r="L1866" s="2" t="s">
        <v>148</v>
      </c>
      <c r="M1866" s="2" t="s">
        <v>8366</v>
      </c>
      <c r="N1866" s="2" t="s">
        <v>750</v>
      </c>
      <c r="O1866" s="2" t="s">
        <v>13</v>
      </c>
      <c r="P1866" s="2" t="s">
        <v>419</v>
      </c>
      <c r="Q1866" s="2" t="s">
        <v>197</v>
      </c>
      <c r="R1866" s="2">
        <v>3</v>
      </c>
      <c r="S1866" s="2">
        <v>13438.86</v>
      </c>
      <c r="T1866" s="2">
        <v>25</v>
      </c>
      <c r="U1866" s="2">
        <v>30237.439999999999</v>
      </c>
      <c r="V1866" s="2">
        <v>16523.72</v>
      </c>
      <c r="W1866" s="2">
        <v>13713.72</v>
      </c>
      <c r="X1866" s="2">
        <v>45.35</v>
      </c>
      <c r="Y1866" s="2">
        <v>199</v>
      </c>
      <c r="Z1866" s="2" t="s">
        <v>40</v>
      </c>
      <c r="AA1866" s="2" t="s">
        <v>100</v>
      </c>
      <c r="AB1866" s="2" t="s">
        <v>140</v>
      </c>
      <c r="AC1866" s="2">
        <v>3</v>
      </c>
    </row>
    <row r="1867" spans="1:29" x14ac:dyDescent="0.3">
      <c r="A1867" s="3" t="s">
        <v>8367</v>
      </c>
      <c r="B1867" s="3" t="s">
        <v>8368</v>
      </c>
      <c r="C1867" s="3" t="s">
        <v>1326</v>
      </c>
      <c r="D1867" s="3" t="s">
        <v>2954</v>
      </c>
      <c r="E1867" s="3" t="s">
        <v>33</v>
      </c>
      <c r="F1867" s="3" t="s">
        <v>2524</v>
      </c>
      <c r="G1867" s="3" t="s">
        <v>1241</v>
      </c>
      <c r="H1867" s="3" t="s">
        <v>1242</v>
      </c>
      <c r="I1867" s="3">
        <v>8</v>
      </c>
      <c r="J1867" s="3" t="s">
        <v>14</v>
      </c>
      <c r="K1867" s="3" t="s">
        <v>183</v>
      </c>
      <c r="L1867" s="3" t="s">
        <v>183</v>
      </c>
      <c r="M1867" s="3" t="s">
        <v>3233</v>
      </c>
      <c r="N1867" s="3" t="s">
        <v>765</v>
      </c>
      <c r="O1867" s="3" t="s">
        <v>27</v>
      </c>
      <c r="P1867" s="3" t="s">
        <v>113</v>
      </c>
      <c r="Q1867" s="3" t="s">
        <v>152</v>
      </c>
      <c r="R1867" s="3">
        <v>5</v>
      </c>
      <c r="S1867" s="3">
        <v>25459.78</v>
      </c>
      <c r="T1867" s="3">
        <v>20</v>
      </c>
      <c r="U1867" s="3">
        <v>101839.12</v>
      </c>
      <c r="V1867" s="3">
        <v>70538.09</v>
      </c>
      <c r="W1867" s="3">
        <v>31301.03</v>
      </c>
      <c r="X1867" s="3">
        <v>30.74</v>
      </c>
      <c r="Y1867" s="3">
        <v>149</v>
      </c>
      <c r="Z1867" s="3" t="s">
        <v>40</v>
      </c>
      <c r="AA1867" s="3" t="s">
        <v>100</v>
      </c>
      <c r="AB1867" s="3" t="s">
        <v>101</v>
      </c>
      <c r="AC1867" s="3">
        <v>1</v>
      </c>
    </row>
    <row r="1868" spans="1:29" x14ac:dyDescent="0.3">
      <c r="A1868" s="2" t="s">
        <v>8369</v>
      </c>
      <c r="B1868" s="2" t="s">
        <v>8370</v>
      </c>
      <c r="C1868" s="2" t="s">
        <v>1364</v>
      </c>
      <c r="D1868" s="2" t="s">
        <v>988</v>
      </c>
      <c r="E1868" s="2" t="s">
        <v>26</v>
      </c>
      <c r="F1868" s="2" t="s">
        <v>691</v>
      </c>
      <c r="G1868" s="2" t="s">
        <v>333</v>
      </c>
      <c r="H1868" s="2" t="s">
        <v>5187</v>
      </c>
      <c r="I1868" s="2">
        <v>2</v>
      </c>
      <c r="J1868" s="2" t="s">
        <v>29</v>
      </c>
      <c r="K1868" s="2" t="s">
        <v>834</v>
      </c>
      <c r="L1868" s="2" t="s">
        <v>835</v>
      </c>
      <c r="M1868" s="2" t="s">
        <v>6433</v>
      </c>
      <c r="N1868" s="2" t="s">
        <v>286</v>
      </c>
      <c r="O1868" s="2" t="s">
        <v>28</v>
      </c>
      <c r="P1868" s="2" t="s">
        <v>137</v>
      </c>
      <c r="Q1868" s="2" t="s">
        <v>114</v>
      </c>
      <c r="R1868" s="2">
        <v>4</v>
      </c>
      <c r="S1868" s="2">
        <v>34588.550000000003</v>
      </c>
      <c r="T1868" s="2">
        <v>10</v>
      </c>
      <c r="U1868" s="2">
        <v>124518.78</v>
      </c>
      <c r="V1868" s="2">
        <v>61223.32</v>
      </c>
      <c r="W1868" s="2">
        <v>63295.46</v>
      </c>
      <c r="X1868" s="2">
        <v>50.83</v>
      </c>
      <c r="Y1868" s="2">
        <v>199</v>
      </c>
      <c r="Z1868" s="2" t="s">
        <v>43</v>
      </c>
      <c r="AA1868" s="2" t="s">
        <v>275</v>
      </c>
      <c r="AB1868" s="2" t="s">
        <v>101</v>
      </c>
      <c r="AC1868" s="2"/>
    </row>
    <row r="1869" spans="1:29" x14ac:dyDescent="0.3">
      <c r="A1869" s="3" t="s">
        <v>8371</v>
      </c>
      <c r="B1869" s="3" t="s">
        <v>8372</v>
      </c>
      <c r="C1869" s="3" t="s">
        <v>1544</v>
      </c>
      <c r="D1869" s="3" t="s">
        <v>8373</v>
      </c>
      <c r="E1869" s="3" t="s">
        <v>18</v>
      </c>
      <c r="F1869" s="3" t="s">
        <v>2552</v>
      </c>
      <c r="G1869" s="3" t="s">
        <v>2553</v>
      </c>
      <c r="H1869" s="3" t="s">
        <v>1600</v>
      </c>
      <c r="I1869" s="3">
        <v>3</v>
      </c>
      <c r="J1869" s="3" t="s">
        <v>29</v>
      </c>
      <c r="K1869" s="3" t="s">
        <v>334</v>
      </c>
      <c r="L1869" s="3" t="s">
        <v>1073</v>
      </c>
      <c r="M1869" s="3" t="s">
        <v>875</v>
      </c>
      <c r="N1869" s="3" t="s">
        <v>686</v>
      </c>
      <c r="O1869" s="3" t="s">
        <v>13</v>
      </c>
      <c r="P1869" s="3" t="s">
        <v>228</v>
      </c>
      <c r="Q1869" s="3" t="s">
        <v>287</v>
      </c>
      <c r="R1869" s="3">
        <v>5</v>
      </c>
      <c r="S1869" s="3">
        <v>16731.98</v>
      </c>
      <c r="T1869" s="3">
        <v>15</v>
      </c>
      <c r="U1869" s="3">
        <v>71110.91</v>
      </c>
      <c r="V1869" s="3">
        <v>49369.09</v>
      </c>
      <c r="W1869" s="3">
        <v>21741.82</v>
      </c>
      <c r="X1869" s="3">
        <v>30.57</v>
      </c>
      <c r="Y1869" s="3">
        <v>0</v>
      </c>
      <c r="Z1869" s="3" t="s">
        <v>15</v>
      </c>
      <c r="AA1869" s="3" t="s">
        <v>186</v>
      </c>
      <c r="AB1869" s="3" t="s">
        <v>101</v>
      </c>
      <c r="AC1869" s="3"/>
    </row>
    <row r="1870" spans="1:29" x14ac:dyDescent="0.3">
      <c r="A1870" s="2" t="s">
        <v>8374</v>
      </c>
      <c r="B1870" s="2" t="s">
        <v>8375</v>
      </c>
      <c r="C1870" s="2" t="s">
        <v>155</v>
      </c>
      <c r="D1870" s="2" t="s">
        <v>8376</v>
      </c>
      <c r="E1870" s="2" t="s">
        <v>42</v>
      </c>
      <c r="F1870" s="2" t="s">
        <v>2414</v>
      </c>
      <c r="G1870" s="2" t="s">
        <v>1617</v>
      </c>
      <c r="H1870" s="2" t="s">
        <v>1553</v>
      </c>
      <c r="I1870" s="2">
        <v>5</v>
      </c>
      <c r="J1870" s="2" t="s">
        <v>39</v>
      </c>
      <c r="K1870" s="2" t="s">
        <v>324</v>
      </c>
      <c r="L1870" s="2" t="s">
        <v>1422</v>
      </c>
      <c r="M1870" s="2" t="s">
        <v>8377</v>
      </c>
      <c r="N1870" s="2" t="s">
        <v>3017</v>
      </c>
      <c r="O1870" s="2" t="s">
        <v>13</v>
      </c>
      <c r="P1870" s="2" t="s">
        <v>419</v>
      </c>
      <c r="Q1870" s="2" t="s">
        <v>509</v>
      </c>
      <c r="R1870" s="2">
        <v>4</v>
      </c>
      <c r="S1870" s="2">
        <v>32530.38</v>
      </c>
      <c r="T1870" s="2">
        <v>10</v>
      </c>
      <c r="U1870" s="2">
        <v>117109.37</v>
      </c>
      <c r="V1870" s="2">
        <v>58153.32</v>
      </c>
      <c r="W1870" s="2">
        <v>58956.05</v>
      </c>
      <c r="X1870" s="2">
        <v>50.34</v>
      </c>
      <c r="Y1870" s="2">
        <v>149</v>
      </c>
      <c r="Z1870" s="2" t="s">
        <v>15</v>
      </c>
      <c r="AA1870" s="2" t="s">
        <v>100</v>
      </c>
      <c r="AB1870" s="2" t="s">
        <v>101</v>
      </c>
      <c r="AC1870" s="2">
        <v>5</v>
      </c>
    </row>
    <row r="1871" spans="1:29" x14ac:dyDescent="0.3">
      <c r="A1871" s="3" t="s">
        <v>8378</v>
      </c>
      <c r="B1871" s="3" t="s">
        <v>8379</v>
      </c>
      <c r="C1871" s="3" t="s">
        <v>495</v>
      </c>
      <c r="D1871" s="3" t="s">
        <v>8380</v>
      </c>
      <c r="E1871" s="3" t="s">
        <v>33</v>
      </c>
      <c r="F1871" s="3" t="s">
        <v>1359</v>
      </c>
      <c r="G1871" s="3" t="s">
        <v>1811</v>
      </c>
      <c r="H1871" s="3" t="s">
        <v>1407</v>
      </c>
      <c r="I1871" s="3">
        <v>8</v>
      </c>
      <c r="J1871" s="3" t="s">
        <v>22</v>
      </c>
      <c r="K1871" s="3" t="s">
        <v>283</v>
      </c>
      <c r="L1871" s="3" t="s">
        <v>284</v>
      </c>
      <c r="M1871" s="3" t="s">
        <v>6963</v>
      </c>
      <c r="N1871" s="3" t="s">
        <v>964</v>
      </c>
      <c r="O1871" s="3" t="s">
        <v>13</v>
      </c>
      <c r="P1871" s="3" t="s">
        <v>98</v>
      </c>
      <c r="Q1871" s="3" t="s">
        <v>218</v>
      </c>
      <c r="R1871" s="3">
        <v>2</v>
      </c>
      <c r="S1871" s="3">
        <v>17758.95</v>
      </c>
      <c r="T1871" s="3">
        <v>25</v>
      </c>
      <c r="U1871" s="3">
        <v>26638.43</v>
      </c>
      <c r="V1871" s="3">
        <v>17587.72</v>
      </c>
      <c r="W1871" s="3">
        <v>9050.7099999999991</v>
      </c>
      <c r="X1871" s="3">
        <v>33.979999999999997</v>
      </c>
      <c r="Y1871" s="3">
        <v>99</v>
      </c>
      <c r="Z1871" s="3" t="s">
        <v>48</v>
      </c>
      <c r="AA1871" s="3" t="s">
        <v>186</v>
      </c>
      <c r="AB1871" s="3" t="s">
        <v>101</v>
      </c>
      <c r="AC1871" s="3"/>
    </row>
    <row r="1872" spans="1:29" x14ac:dyDescent="0.3">
      <c r="A1872" s="2" t="s">
        <v>8381</v>
      </c>
      <c r="B1872" s="2" t="s">
        <v>8382</v>
      </c>
      <c r="C1872" s="2" t="s">
        <v>3403</v>
      </c>
      <c r="D1872" s="2" t="s">
        <v>8383</v>
      </c>
      <c r="E1872" s="2" t="s">
        <v>26</v>
      </c>
      <c r="F1872" s="2" t="s">
        <v>1971</v>
      </c>
      <c r="G1872" s="2" t="s">
        <v>3802</v>
      </c>
      <c r="H1872" s="2" t="s">
        <v>3559</v>
      </c>
      <c r="I1872" s="2">
        <v>5</v>
      </c>
      <c r="J1872" s="2" t="s">
        <v>22</v>
      </c>
      <c r="K1872" s="2" t="s">
        <v>122</v>
      </c>
      <c r="L1872" s="2" t="s">
        <v>236</v>
      </c>
      <c r="M1872" s="2" t="s">
        <v>8384</v>
      </c>
      <c r="N1872" s="2" t="s">
        <v>623</v>
      </c>
      <c r="O1872" s="2" t="s">
        <v>19</v>
      </c>
      <c r="P1872" s="2" t="s">
        <v>297</v>
      </c>
      <c r="Q1872" s="2" t="s">
        <v>608</v>
      </c>
      <c r="R1872" s="2">
        <v>1</v>
      </c>
      <c r="S1872" s="2">
        <v>17368.62</v>
      </c>
      <c r="T1872" s="2">
        <v>15</v>
      </c>
      <c r="U1872" s="2">
        <v>14763.33</v>
      </c>
      <c r="V1872" s="2">
        <v>6988.72</v>
      </c>
      <c r="W1872" s="2">
        <v>7774.61</v>
      </c>
      <c r="X1872" s="2">
        <v>52.66</v>
      </c>
      <c r="Y1872" s="2">
        <v>49</v>
      </c>
      <c r="Z1872" s="2" t="s">
        <v>48</v>
      </c>
      <c r="AA1872" s="2" t="s">
        <v>139</v>
      </c>
      <c r="AB1872" s="2" t="s">
        <v>140</v>
      </c>
      <c r="AC1872" s="2"/>
    </row>
    <row r="1873" spans="1:29" x14ac:dyDescent="0.3">
      <c r="A1873" s="3" t="s">
        <v>8385</v>
      </c>
      <c r="B1873" s="3" t="s">
        <v>8386</v>
      </c>
      <c r="C1873" s="3" t="s">
        <v>1419</v>
      </c>
      <c r="D1873" s="3" t="s">
        <v>8387</v>
      </c>
      <c r="E1873" s="3" t="s">
        <v>33</v>
      </c>
      <c r="F1873" s="3" t="s">
        <v>1276</v>
      </c>
      <c r="G1873" s="3" t="s">
        <v>1277</v>
      </c>
      <c r="H1873" s="3" t="s">
        <v>1733</v>
      </c>
      <c r="I1873" s="3">
        <v>3</v>
      </c>
      <c r="J1873" s="3" t="s">
        <v>22</v>
      </c>
      <c r="K1873" s="3" t="s">
        <v>122</v>
      </c>
      <c r="L1873" s="3" t="s">
        <v>123</v>
      </c>
      <c r="M1873" s="3" t="s">
        <v>4020</v>
      </c>
      <c r="N1873" s="3" t="s">
        <v>1332</v>
      </c>
      <c r="O1873" s="3" t="s">
        <v>19</v>
      </c>
      <c r="P1873" s="3" t="s">
        <v>447</v>
      </c>
      <c r="Q1873" s="3" t="s">
        <v>466</v>
      </c>
      <c r="R1873" s="3">
        <v>1</v>
      </c>
      <c r="S1873" s="3">
        <v>3098.78</v>
      </c>
      <c r="T1873" s="3">
        <v>15</v>
      </c>
      <c r="U1873" s="3">
        <v>2633.96</v>
      </c>
      <c r="V1873" s="3">
        <v>1724.57</v>
      </c>
      <c r="W1873" s="3">
        <v>909.39</v>
      </c>
      <c r="X1873" s="3">
        <v>34.53</v>
      </c>
      <c r="Y1873" s="3">
        <v>99</v>
      </c>
      <c r="Z1873" s="3" t="s">
        <v>30</v>
      </c>
      <c r="AA1873" s="3" t="s">
        <v>100</v>
      </c>
      <c r="AB1873" s="3" t="s">
        <v>101</v>
      </c>
      <c r="AC1873" s="3">
        <v>4</v>
      </c>
    </row>
    <row r="1874" spans="1:29" x14ac:dyDescent="0.3">
      <c r="A1874" s="2" t="s">
        <v>8388</v>
      </c>
      <c r="B1874" s="2" t="s">
        <v>6796</v>
      </c>
      <c r="C1874" s="2" t="s">
        <v>666</v>
      </c>
      <c r="D1874" s="2" t="s">
        <v>8389</v>
      </c>
      <c r="E1874" s="2" t="s">
        <v>26</v>
      </c>
      <c r="F1874" s="2" t="s">
        <v>825</v>
      </c>
      <c r="G1874" s="2" t="s">
        <v>3575</v>
      </c>
      <c r="H1874" s="2" t="s">
        <v>2791</v>
      </c>
      <c r="I1874" s="2">
        <v>7</v>
      </c>
      <c r="J1874" s="2" t="s">
        <v>14</v>
      </c>
      <c r="K1874" s="2" t="s">
        <v>712</v>
      </c>
      <c r="L1874" s="2" t="s">
        <v>712</v>
      </c>
      <c r="M1874" s="2" t="s">
        <v>8390</v>
      </c>
      <c r="N1874" s="2" t="s">
        <v>837</v>
      </c>
      <c r="O1874" s="2" t="s">
        <v>27</v>
      </c>
      <c r="P1874" s="2" t="s">
        <v>257</v>
      </c>
      <c r="Q1874" s="2" t="s">
        <v>197</v>
      </c>
      <c r="R1874" s="2">
        <v>5</v>
      </c>
      <c r="S1874" s="2">
        <v>28431.77</v>
      </c>
      <c r="T1874" s="2">
        <v>0</v>
      </c>
      <c r="U1874" s="2">
        <v>142158.85</v>
      </c>
      <c r="V1874" s="2">
        <v>75712.58</v>
      </c>
      <c r="W1874" s="2">
        <v>66446.27</v>
      </c>
      <c r="X1874" s="2">
        <v>46.74</v>
      </c>
      <c r="Y1874" s="2">
        <v>49</v>
      </c>
      <c r="Z1874" s="2" t="s">
        <v>43</v>
      </c>
      <c r="AA1874" s="2" t="s">
        <v>100</v>
      </c>
      <c r="AB1874" s="2" t="s">
        <v>101</v>
      </c>
      <c r="AC1874" s="2">
        <v>3</v>
      </c>
    </row>
    <row r="1875" spans="1:29" x14ac:dyDescent="0.3">
      <c r="A1875" s="3" t="s">
        <v>8391</v>
      </c>
      <c r="B1875" s="3" t="s">
        <v>6459</v>
      </c>
      <c r="C1875" s="3" t="s">
        <v>2097</v>
      </c>
      <c r="D1875" s="3" t="s">
        <v>8392</v>
      </c>
      <c r="E1875" s="3" t="s">
        <v>18</v>
      </c>
      <c r="F1875" s="3" t="s">
        <v>1652</v>
      </c>
      <c r="G1875" s="3" t="s">
        <v>747</v>
      </c>
      <c r="H1875" s="3" t="s">
        <v>2856</v>
      </c>
      <c r="I1875" s="3">
        <v>7</v>
      </c>
      <c r="J1875" s="3" t="s">
        <v>39</v>
      </c>
      <c r="K1875" s="3" t="s">
        <v>225</v>
      </c>
      <c r="L1875" s="3" t="s">
        <v>225</v>
      </c>
      <c r="M1875" s="3" t="s">
        <v>8393</v>
      </c>
      <c r="N1875" s="3" t="s">
        <v>623</v>
      </c>
      <c r="O1875" s="3" t="s">
        <v>19</v>
      </c>
      <c r="P1875" s="3" t="s">
        <v>297</v>
      </c>
      <c r="Q1875" s="3" t="s">
        <v>509</v>
      </c>
      <c r="R1875" s="3">
        <v>2</v>
      </c>
      <c r="S1875" s="3">
        <v>796.7</v>
      </c>
      <c r="T1875" s="3">
        <v>0</v>
      </c>
      <c r="U1875" s="3">
        <v>1593.4</v>
      </c>
      <c r="V1875" s="3">
        <v>1051.24</v>
      </c>
      <c r="W1875" s="3">
        <v>542.16</v>
      </c>
      <c r="X1875" s="3">
        <v>34.03</v>
      </c>
      <c r="Y1875" s="3">
        <v>0</v>
      </c>
      <c r="Z1875" s="3" t="s">
        <v>40</v>
      </c>
      <c r="AA1875" s="3" t="s">
        <v>100</v>
      </c>
      <c r="AB1875" s="3" t="s">
        <v>101</v>
      </c>
      <c r="AC1875" s="3">
        <v>1</v>
      </c>
    </row>
    <row r="1876" spans="1:29" x14ac:dyDescent="0.3">
      <c r="A1876" s="2" t="s">
        <v>8394</v>
      </c>
      <c r="B1876" s="2" t="s">
        <v>8395</v>
      </c>
      <c r="C1876" s="2" t="s">
        <v>1782</v>
      </c>
      <c r="D1876" s="2" t="s">
        <v>7450</v>
      </c>
      <c r="E1876" s="2" t="s">
        <v>18</v>
      </c>
      <c r="F1876" s="2" t="s">
        <v>2974</v>
      </c>
      <c r="G1876" s="2" t="s">
        <v>1520</v>
      </c>
      <c r="H1876" s="2" t="s">
        <v>2509</v>
      </c>
      <c r="I1876" s="2">
        <v>4</v>
      </c>
      <c r="J1876" s="2" t="s">
        <v>39</v>
      </c>
      <c r="K1876" s="2" t="s">
        <v>193</v>
      </c>
      <c r="L1876" s="2" t="s">
        <v>193</v>
      </c>
      <c r="M1876" s="2" t="s">
        <v>8396</v>
      </c>
      <c r="N1876" s="2" t="s">
        <v>616</v>
      </c>
      <c r="O1876" s="2" t="s">
        <v>21</v>
      </c>
      <c r="P1876" s="2" t="s">
        <v>206</v>
      </c>
      <c r="Q1876" s="2" t="s">
        <v>114</v>
      </c>
      <c r="R1876" s="2">
        <v>4</v>
      </c>
      <c r="S1876" s="2">
        <v>9942.4699999999993</v>
      </c>
      <c r="T1876" s="2">
        <v>20</v>
      </c>
      <c r="U1876" s="2">
        <v>31815.9</v>
      </c>
      <c r="V1876" s="2">
        <v>17591.8</v>
      </c>
      <c r="W1876" s="2">
        <v>14224.1</v>
      </c>
      <c r="X1876" s="2">
        <v>44.71</v>
      </c>
      <c r="Y1876" s="2">
        <v>99</v>
      </c>
      <c r="Z1876" s="2" t="s">
        <v>23</v>
      </c>
      <c r="AA1876" s="2" t="s">
        <v>100</v>
      </c>
      <c r="AB1876" s="2" t="s">
        <v>101</v>
      </c>
      <c r="AC1876" s="2">
        <v>4</v>
      </c>
    </row>
    <row r="1877" spans="1:29" x14ac:dyDescent="0.3">
      <c r="A1877" s="3" t="s">
        <v>8397</v>
      </c>
      <c r="B1877" s="3" t="s">
        <v>8398</v>
      </c>
      <c r="C1877" s="3" t="s">
        <v>3848</v>
      </c>
      <c r="D1877" s="3" t="s">
        <v>8399</v>
      </c>
      <c r="E1877" s="3" t="s">
        <v>33</v>
      </c>
      <c r="F1877" s="3" t="s">
        <v>849</v>
      </c>
      <c r="G1877" s="3" t="s">
        <v>2053</v>
      </c>
      <c r="H1877" s="3" t="s">
        <v>4416</v>
      </c>
      <c r="I1877" s="3">
        <v>6</v>
      </c>
      <c r="J1877" s="3" t="s">
        <v>29</v>
      </c>
      <c r="K1877" s="3" t="s">
        <v>334</v>
      </c>
      <c r="L1877" s="3" t="s">
        <v>335</v>
      </c>
      <c r="M1877" s="3" t="s">
        <v>8400</v>
      </c>
      <c r="N1877" s="3" t="s">
        <v>805</v>
      </c>
      <c r="O1877" s="3" t="s">
        <v>28</v>
      </c>
      <c r="P1877" s="3" t="s">
        <v>151</v>
      </c>
      <c r="Q1877" s="3" t="s">
        <v>218</v>
      </c>
      <c r="R1877" s="3">
        <v>4</v>
      </c>
      <c r="S1877" s="3">
        <v>36702.300000000003</v>
      </c>
      <c r="T1877" s="3">
        <v>5</v>
      </c>
      <c r="U1877" s="3">
        <v>139468.74</v>
      </c>
      <c r="V1877" s="3">
        <v>68028.649999999994</v>
      </c>
      <c r="W1877" s="3">
        <v>71440.09</v>
      </c>
      <c r="X1877" s="3">
        <v>51.22</v>
      </c>
      <c r="Y1877" s="3">
        <v>0</v>
      </c>
      <c r="Z1877" s="3" t="s">
        <v>23</v>
      </c>
      <c r="AA1877" s="3" t="s">
        <v>100</v>
      </c>
      <c r="AB1877" s="3" t="s">
        <v>101</v>
      </c>
      <c r="AC1877" s="3">
        <v>2</v>
      </c>
    </row>
    <row r="1878" spans="1:29" x14ac:dyDescent="0.3">
      <c r="A1878" s="2" t="s">
        <v>8401</v>
      </c>
      <c r="B1878" s="2" t="s">
        <v>8402</v>
      </c>
      <c r="C1878" s="2" t="s">
        <v>2729</v>
      </c>
      <c r="D1878" s="2" t="s">
        <v>8403</v>
      </c>
      <c r="E1878" s="2" t="s">
        <v>42</v>
      </c>
      <c r="F1878" s="2" t="s">
        <v>352</v>
      </c>
      <c r="G1878" s="2" t="s">
        <v>969</v>
      </c>
      <c r="H1878" s="2" t="s">
        <v>1228</v>
      </c>
      <c r="I1878" s="2">
        <v>4</v>
      </c>
      <c r="J1878" s="2" t="s">
        <v>29</v>
      </c>
      <c r="K1878" s="2" t="s">
        <v>148</v>
      </c>
      <c r="L1878" s="2" t="s">
        <v>148</v>
      </c>
      <c r="M1878" s="2" t="s">
        <v>8404</v>
      </c>
      <c r="N1878" s="2" t="s">
        <v>205</v>
      </c>
      <c r="O1878" s="2" t="s">
        <v>21</v>
      </c>
      <c r="P1878" s="2" t="s">
        <v>206</v>
      </c>
      <c r="Q1878" s="2" t="s">
        <v>400</v>
      </c>
      <c r="R1878" s="2">
        <v>3</v>
      </c>
      <c r="S1878" s="2">
        <v>29539.85</v>
      </c>
      <c r="T1878" s="2">
        <v>30</v>
      </c>
      <c r="U1878" s="2">
        <v>62033.68</v>
      </c>
      <c r="V1878" s="2">
        <v>28120.62</v>
      </c>
      <c r="W1878" s="2">
        <v>33913.06</v>
      </c>
      <c r="X1878" s="2">
        <v>54.67</v>
      </c>
      <c r="Y1878" s="2">
        <v>0</v>
      </c>
      <c r="Z1878" s="2" t="s">
        <v>23</v>
      </c>
      <c r="AA1878" s="2" t="s">
        <v>100</v>
      </c>
      <c r="AB1878" s="2" t="s">
        <v>101</v>
      </c>
      <c r="AC1878" s="2"/>
    </row>
    <row r="1879" spans="1:29" x14ac:dyDescent="0.3">
      <c r="A1879" s="3" t="s">
        <v>8405</v>
      </c>
      <c r="B1879" s="3" t="s">
        <v>7618</v>
      </c>
      <c r="C1879" s="3" t="s">
        <v>774</v>
      </c>
      <c r="D1879" s="3" t="s">
        <v>8406</v>
      </c>
      <c r="E1879" s="3" t="s">
        <v>42</v>
      </c>
      <c r="F1879" s="3" t="s">
        <v>1984</v>
      </c>
      <c r="G1879" s="3" t="s">
        <v>3181</v>
      </c>
      <c r="H1879" s="3" t="s">
        <v>4101</v>
      </c>
      <c r="I1879" s="3">
        <v>4</v>
      </c>
      <c r="J1879" s="3" t="s">
        <v>29</v>
      </c>
      <c r="K1879" s="3" t="s">
        <v>427</v>
      </c>
      <c r="L1879" s="3" t="s">
        <v>1081</v>
      </c>
      <c r="M1879" s="3" t="s">
        <v>7594</v>
      </c>
      <c r="N1879" s="3" t="s">
        <v>354</v>
      </c>
      <c r="O1879" s="3" t="s">
        <v>21</v>
      </c>
      <c r="P1879" s="3" t="s">
        <v>196</v>
      </c>
      <c r="Q1879" s="3" t="s">
        <v>509</v>
      </c>
      <c r="R1879" s="3">
        <v>2</v>
      </c>
      <c r="S1879" s="3">
        <v>36477.32</v>
      </c>
      <c r="T1879" s="3">
        <v>0</v>
      </c>
      <c r="U1879" s="3">
        <v>72954.64</v>
      </c>
      <c r="V1879" s="3">
        <v>48870.19</v>
      </c>
      <c r="W1879" s="3">
        <v>24084.45</v>
      </c>
      <c r="X1879" s="3">
        <v>33.01</v>
      </c>
      <c r="Y1879" s="3">
        <v>149</v>
      </c>
      <c r="Z1879" s="3" t="s">
        <v>48</v>
      </c>
      <c r="AA1879" s="3" t="s">
        <v>100</v>
      </c>
      <c r="AB1879" s="3" t="s">
        <v>101</v>
      </c>
      <c r="AC1879" s="3">
        <v>5</v>
      </c>
    </row>
    <row r="1880" spans="1:29" x14ac:dyDescent="0.3">
      <c r="A1880" s="2" t="s">
        <v>8407</v>
      </c>
      <c r="B1880" s="2" t="s">
        <v>8408</v>
      </c>
      <c r="C1880" s="2" t="s">
        <v>3403</v>
      </c>
      <c r="D1880" s="2" t="s">
        <v>8409</v>
      </c>
      <c r="E1880" s="2" t="s">
        <v>33</v>
      </c>
      <c r="F1880" s="2" t="s">
        <v>3689</v>
      </c>
      <c r="G1880" s="2" t="s">
        <v>3553</v>
      </c>
      <c r="H1880" s="2" t="s">
        <v>3554</v>
      </c>
      <c r="I1880" s="2">
        <v>7</v>
      </c>
      <c r="J1880" s="2" t="s">
        <v>14</v>
      </c>
      <c r="K1880" s="2" t="s">
        <v>215</v>
      </c>
      <c r="L1880" s="2" t="s">
        <v>215</v>
      </c>
      <c r="M1880" s="2" t="s">
        <v>8410</v>
      </c>
      <c r="N1880" s="2" t="s">
        <v>623</v>
      </c>
      <c r="O1880" s="2" t="s">
        <v>19</v>
      </c>
      <c r="P1880" s="2" t="s">
        <v>297</v>
      </c>
      <c r="Q1880" s="2" t="s">
        <v>355</v>
      </c>
      <c r="R1880" s="2">
        <v>4</v>
      </c>
      <c r="S1880" s="2">
        <v>18638.84</v>
      </c>
      <c r="T1880" s="2">
        <v>30</v>
      </c>
      <c r="U1880" s="2">
        <v>52188.75</v>
      </c>
      <c r="V1880" s="2">
        <v>28658.42</v>
      </c>
      <c r="W1880" s="2">
        <v>23530.33</v>
      </c>
      <c r="X1880" s="2">
        <v>45.09</v>
      </c>
      <c r="Y1880" s="2">
        <v>149</v>
      </c>
      <c r="Z1880" s="2" t="s">
        <v>40</v>
      </c>
      <c r="AA1880" s="2" t="s">
        <v>100</v>
      </c>
      <c r="AB1880" s="2" t="s">
        <v>101</v>
      </c>
      <c r="AC1880" s="2">
        <v>4</v>
      </c>
    </row>
    <row r="1881" spans="1:29" x14ac:dyDescent="0.3">
      <c r="A1881" s="3" t="s">
        <v>8411</v>
      </c>
      <c r="B1881" s="3" t="s">
        <v>8412</v>
      </c>
      <c r="C1881" s="3" t="s">
        <v>1792</v>
      </c>
      <c r="D1881" s="3" t="s">
        <v>8413</v>
      </c>
      <c r="E1881" s="3" t="s">
        <v>18</v>
      </c>
      <c r="F1881" s="3" t="s">
        <v>1235</v>
      </c>
      <c r="G1881" s="3" t="s">
        <v>2403</v>
      </c>
      <c r="H1881" s="3" t="s">
        <v>2992</v>
      </c>
      <c r="I1881" s="3">
        <v>7</v>
      </c>
      <c r="J1881" s="3" t="s">
        <v>39</v>
      </c>
      <c r="K1881" s="3" t="s">
        <v>314</v>
      </c>
      <c r="L1881" s="3" t="s">
        <v>314</v>
      </c>
      <c r="M1881" s="3" t="s">
        <v>8414</v>
      </c>
      <c r="N1881" s="3" t="s">
        <v>1611</v>
      </c>
      <c r="O1881" s="3" t="s">
        <v>19</v>
      </c>
      <c r="P1881" s="3" t="s">
        <v>365</v>
      </c>
      <c r="Q1881" s="3" t="s">
        <v>207</v>
      </c>
      <c r="R1881" s="3">
        <v>2</v>
      </c>
      <c r="S1881" s="3">
        <v>11591.58</v>
      </c>
      <c r="T1881" s="3">
        <v>10</v>
      </c>
      <c r="U1881" s="3">
        <v>20864.84</v>
      </c>
      <c r="V1881" s="3">
        <v>13800.47</v>
      </c>
      <c r="W1881" s="3">
        <v>7064.37</v>
      </c>
      <c r="X1881" s="3">
        <v>33.86</v>
      </c>
      <c r="Y1881" s="3">
        <v>49</v>
      </c>
      <c r="Z1881" s="3" t="s">
        <v>40</v>
      </c>
      <c r="AA1881" s="3" t="s">
        <v>100</v>
      </c>
      <c r="AB1881" s="3" t="s">
        <v>101</v>
      </c>
      <c r="AC1881" s="3">
        <v>1</v>
      </c>
    </row>
    <row r="1882" spans="1:29" x14ac:dyDescent="0.3">
      <c r="A1882" s="2" t="s">
        <v>8415</v>
      </c>
      <c r="B1882" s="2" t="s">
        <v>8416</v>
      </c>
      <c r="C1882" s="2" t="s">
        <v>393</v>
      </c>
      <c r="D1882" s="2" t="s">
        <v>8417</v>
      </c>
      <c r="E1882" s="2" t="s">
        <v>26</v>
      </c>
      <c r="F1882" s="2" t="s">
        <v>872</v>
      </c>
      <c r="G1882" s="2" t="s">
        <v>899</v>
      </c>
      <c r="H1882" s="2" t="s">
        <v>900</v>
      </c>
      <c r="I1882" s="2">
        <v>6</v>
      </c>
      <c r="J1882" s="2" t="s">
        <v>29</v>
      </c>
      <c r="K1882" s="2" t="s">
        <v>148</v>
      </c>
      <c r="L1882" s="2" t="s">
        <v>148</v>
      </c>
      <c r="M1882" s="2" t="s">
        <v>8418</v>
      </c>
      <c r="N1882" s="2" t="s">
        <v>438</v>
      </c>
      <c r="O1882" s="2" t="s">
        <v>13</v>
      </c>
      <c r="P1882" s="2" t="s">
        <v>228</v>
      </c>
      <c r="Q1882" s="2" t="s">
        <v>114</v>
      </c>
      <c r="R1882" s="2">
        <v>1</v>
      </c>
      <c r="S1882" s="2">
        <v>37856.120000000003</v>
      </c>
      <c r="T1882" s="2">
        <v>0</v>
      </c>
      <c r="U1882" s="2">
        <v>37856.120000000003</v>
      </c>
      <c r="V1882" s="2">
        <v>23128.78</v>
      </c>
      <c r="W1882" s="2">
        <v>14727.34</v>
      </c>
      <c r="X1882" s="2">
        <v>38.9</v>
      </c>
      <c r="Y1882" s="2">
        <v>0</v>
      </c>
      <c r="Z1882" s="2" t="s">
        <v>23</v>
      </c>
      <c r="AA1882" s="2" t="s">
        <v>100</v>
      </c>
      <c r="AB1882" s="2" t="s">
        <v>101</v>
      </c>
      <c r="AC1882" s="2">
        <v>4</v>
      </c>
    </row>
    <row r="1883" spans="1:29" x14ac:dyDescent="0.3">
      <c r="A1883" s="3" t="s">
        <v>8419</v>
      </c>
      <c r="B1883" s="3" t="s">
        <v>8420</v>
      </c>
      <c r="C1883" s="3" t="s">
        <v>2257</v>
      </c>
      <c r="D1883" s="3" t="s">
        <v>8421</v>
      </c>
      <c r="E1883" s="3" t="s">
        <v>26</v>
      </c>
      <c r="F1883" s="3" t="s">
        <v>4858</v>
      </c>
      <c r="G1883" s="3" t="s">
        <v>3591</v>
      </c>
      <c r="H1883" s="3" t="s">
        <v>4578</v>
      </c>
      <c r="I1883" s="3">
        <v>6</v>
      </c>
      <c r="J1883" s="3" t="s">
        <v>29</v>
      </c>
      <c r="K1883" s="3" t="s">
        <v>160</v>
      </c>
      <c r="L1883" s="3" t="s">
        <v>976</v>
      </c>
      <c r="M1883" s="3" t="s">
        <v>3336</v>
      </c>
      <c r="N1883" s="3" t="s">
        <v>805</v>
      </c>
      <c r="O1883" s="3" t="s">
        <v>28</v>
      </c>
      <c r="P1883" s="3" t="s">
        <v>151</v>
      </c>
      <c r="Q1883" s="3" t="s">
        <v>197</v>
      </c>
      <c r="R1883" s="3">
        <v>1</v>
      </c>
      <c r="S1883" s="3">
        <v>41957.66</v>
      </c>
      <c r="T1883" s="3">
        <v>15</v>
      </c>
      <c r="U1883" s="3">
        <v>35664.01</v>
      </c>
      <c r="V1883" s="3">
        <v>20300.73</v>
      </c>
      <c r="W1883" s="3">
        <v>15363.28</v>
      </c>
      <c r="X1883" s="3">
        <v>43.08</v>
      </c>
      <c r="Y1883" s="3">
        <v>99</v>
      </c>
      <c r="Z1883" s="3" t="s">
        <v>48</v>
      </c>
      <c r="AA1883" s="3" t="s">
        <v>100</v>
      </c>
      <c r="AB1883" s="3" t="s">
        <v>101</v>
      </c>
      <c r="AC1883" s="3">
        <v>4</v>
      </c>
    </row>
    <row r="1884" spans="1:29" x14ac:dyDescent="0.3">
      <c r="A1884" s="2" t="s">
        <v>8422</v>
      </c>
      <c r="B1884" s="2" t="s">
        <v>8423</v>
      </c>
      <c r="C1884" s="2" t="s">
        <v>348</v>
      </c>
      <c r="D1884" s="2" t="s">
        <v>8424</v>
      </c>
      <c r="E1884" s="2" t="s">
        <v>42</v>
      </c>
      <c r="F1884" s="2" t="s">
        <v>3296</v>
      </c>
      <c r="G1884" s="2" t="s">
        <v>761</v>
      </c>
      <c r="H1884" s="2" t="s">
        <v>2182</v>
      </c>
      <c r="I1884" s="2">
        <v>6</v>
      </c>
      <c r="J1884" s="2" t="s">
        <v>29</v>
      </c>
      <c r="K1884" s="2" t="s">
        <v>834</v>
      </c>
      <c r="L1884" s="2" t="s">
        <v>901</v>
      </c>
      <c r="M1884" s="2" t="s">
        <v>8425</v>
      </c>
      <c r="N1884" s="2" t="s">
        <v>837</v>
      </c>
      <c r="O1884" s="2" t="s">
        <v>27</v>
      </c>
      <c r="P1884" s="2" t="s">
        <v>257</v>
      </c>
      <c r="Q1884" s="2" t="s">
        <v>138</v>
      </c>
      <c r="R1884" s="2">
        <v>1</v>
      </c>
      <c r="S1884" s="2">
        <v>45755.95</v>
      </c>
      <c r="T1884" s="2">
        <v>10</v>
      </c>
      <c r="U1884" s="2">
        <v>41180.35</v>
      </c>
      <c r="V1884" s="2">
        <v>28169.64</v>
      </c>
      <c r="W1884" s="2">
        <v>13010.71</v>
      </c>
      <c r="X1884" s="2">
        <v>31.59</v>
      </c>
      <c r="Y1884" s="2">
        <v>149</v>
      </c>
      <c r="Z1884" s="2" t="s">
        <v>15</v>
      </c>
      <c r="AA1884" s="2" t="s">
        <v>672</v>
      </c>
      <c r="AB1884" s="2" t="s">
        <v>101</v>
      </c>
      <c r="AC1884" s="2"/>
    </row>
    <row r="1885" spans="1:29" x14ac:dyDescent="0.3">
      <c r="A1885" s="3" t="s">
        <v>8426</v>
      </c>
      <c r="B1885" s="3" t="s">
        <v>8427</v>
      </c>
      <c r="C1885" s="3" t="s">
        <v>847</v>
      </c>
      <c r="D1885" s="3" t="s">
        <v>8428</v>
      </c>
      <c r="E1885" s="3" t="s">
        <v>18</v>
      </c>
      <c r="F1885" s="3" t="s">
        <v>3068</v>
      </c>
      <c r="G1885" s="3" t="s">
        <v>1413</v>
      </c>
      <c r="H1885" s="3" t="s">
        <v>2002</v>
      </c>
      <c r="I1885" s="3">
        <v>3</v>
      </c>
      <c r="J1885" s="3" t="s">
        <v>22</v>
      </c>
      <c r="K1885" s="3" t="s">
        <v>283</v>
      </c>
      <c r="L1885" s="3" t="s">
        <v>748</v>
      </c>
      <c r="M1885" s="3" t="s">
        <v>8429</v>
      </c>
      <c r="N1885" s="3" t="s">
        <v>623</v>
      </c>
      <c r="O1885" s="3" t="s">
        <v>19</v>
      </c>
      <c r="P1885" s="3" t="s">
        <v>297</v>
      </c>
      <c r="Q1885" s="3" t="s">
        <v>218</v>
      </c>
      <c r="R1885" s="3">
        <v>5</v>
      </c>
      <c r="S1885" s="3">
        <v>28292.880000000001</v>
      </c>
      <c r="T1885" s="3">
        <v>0</v>
      </c>
      <c r="U1885" s="3">
        <v>141464.4</v>
      </c>
      <c r="V1885" s="3">
        <v>97064.63</v>
      </c>
      <c r="W1885" s="3">
        <v>44399.77</v>
      </c>
      <c r="X1885" s="3">
        <v>31.39</v>
      </c>
      <c r="Y1885" s="3">
        <v>149</v>
      </c>
      <c r="Z1885" s="3" t="s">
        <v>23</v>
      </c>
      <c r="AA1885" s="3" t="s">
        <v>100</v>
      </c>
      <c r="AB1885" s="3" t="s">
        <v>101</v>
      </c>
      <c r="AC1885" s="3">
        <v>2</v>
      </c>
    </row>
    <row r="1886" spans="1:29" x14ac:dyDescent="0.3">
      <c r="A1886" s="2" t="s">
        <v>8430</v>
      </c>
      <c r="B1886" s="2" t="s">
        <v>8431</v>
      </c>
      <c r="C1886" s="2" t="s">
        <v>666</v>
      </c>
      <c r="D1886" s="2" t="s">
        <v>8432</v>
      </c>
      <c r="E1886" s="2" t="s">
        <v>18</v>
      </c>
      <c r="F1886" s="2" t="s">
        <v>2006</v>
      </c>
      <c r="G1886" s="2" t="s">
        <v>2007</v>
      </c>
      <c r="H1886" s="2" t="s">
        <v>2423</v>
      </c>
      <c r="I1886" s="2">
        <v>2</v>
      </c>
      <c r="J1886" s="2" t="s">
        <v>22</v>
      </c>
      <c r="K1886" s="2" t="s">
        <v>254</v>
      </c>
      <c r="L1886" s="2" t="s">
        <v>254</v>
      </c>
      <c r="M1886" s="2" t="s">
        <v>6411</v>
      </c>
      <c r="N1886" s="2" t="s">
        <v>788</v>
      </c>
      <c r="O1886" s="2" t="s">
        <v>27</v>
      </c>
      <c r="P1886" s="2" t="s">
        <v>113</v>
      </c>
      <c r="Q1886" s="2" t="s">
        <v>207</v>
      </c>
      <c r="R1886" s="2">
        <v>4</v>
      </c>
      <c r="S1886" s="2">
        <v>17746.36</v>
      </c>
      <c r="T1886" s="2">
        <v>5</v>
      </c>
      <c r="U1886" s="2">
        <v>67436.17</v>
      </c>
      <c r="V1886" s="2">
        <v>34033.81</v>
      </c>
      <c r="W1886" s="2">
        <v>33402.36</v>
      </c>
      <c r="X1886" s="2">
        <v>49.53</v>
      </c>
      <c r="Y1886" s="2">
        <v>199</v>
      </c>
      <c r="Z1886" s="2" t="s">
        <v>30</v>
      </c>
      <c r="AA1886" s="2" t="s">
        <v>100</v>
      </c>
      <c r="AB1886" s="2" t="s">
        <v>101</v>
      </c>
      <c r="AC1886" s="2">
        <v>1</v>
      </c>
    </row>
    <row r="1887" spans="1:29" x14ac:dyDescent="0.3">
      <c r="A1887" s="3" t="s">
        <v>8433</v>
      </c>
      <c r="B1887" s="3" t="s">
        <v>4354</v>
      </c>
      <c r="C1887" s="3" t="s">
        <v>4342</v>
      </c>
      <c r="D1887" s="3" t="s">
        <v>8434</v>
      </c>
      <c r="E1887" s="3" t="s">
        <v>42</v>
      </c>
      <c r="F1887" s="3" t="s">
        <v>3575</v>
      </c>
      <c r="G1887" s="3" t="s">
        <v>351</v>
      </c>
      <c r="H1887" s="3" t="s">
        <v>7792</v>
      </c>
      <c r="I1887" s="3">
        <v>2</v>
      </c>
      <c r="J1887" s="3" t="s">
        <v>14</v>
      </c>
      <c r="K1887" s="3" t="s">
        <v>712</v>
      </c>
      <c r="L1887" s="3" t="s">
        <v>712</v>
      </c>
      <c r="M1887" s="3" t="s">
        <v>8435</v>
      </c>
      <c r="N1887" s="3" t="s">
        <v>390</v>
      </c>
      <c r="O1887" s="3" t="s">
        <v>19</v>
      </c>
      <c r="P1887" s="3" t="s">
        <v>297</v>
      </c>
      <c r="Q1887" s="3" t="s">
        <v>509</v>
      </c>
      <c r="R1887" s="3">
        <v>3</v>
      </c>
      <c r="S1887" s="3">
        <v>13163.27</v>
      </c>
      <c r="T1887" s="3">
        <v>25</v>
      </c>
      <c r="U1887" s="3">
        <v>29617.360000000001</v>
      </c>
      <c r="V1887" s="3">
        <v>19390.060000000001</v>
      </c>
      <c r="W1887" s="3">
        <v>10227.299999999999</v>
      </c>
      <c r="X1887" s="3">
        <v>34.53</v>
      </c>
      <c r="Y1887" s="3">
        <v>149</v>
      </c>
      <c r="Z1887" s="3" t="s">
        <v>23</v>
      </c>
      <c r="AA1887" s="3" t="s">
        <v>100</v>
      </c>
      <c r="AB1887" s="3" t="s">
        <v>101</v>
      </c>
      <c r="AC1887" s="3">
        <v>2</v>
      </c>
    </row>
    <row r="1888" spans="1:29" x14ac:dyDescent="0.3">
      <c r="A1888" s="2" t="s">
        <v>8436</v>
      </c>
      <c r="B1888" s="2" t="s">
        <v>8437</v>
      </c>
      <c r="C1888" s="2" t="s">
        <v>143</v>
      </c>
      <c r="D1888" s="2" t="s">
        <v>8438</v>
      </c>
      <c r="E1888" s="2" t="s">
        <v>18</v>
      </c>
      <c r="F1888" s="2" t="s">
        <v>2866</v>
      </c>
      <c r="G1888" s="2" t="s">
        <v>737</v>
      </c>
      <c r="H1888" s="2" t="s">
        <v>865</v>
      </c>
      <c r="I1888" s="2">
        <v>5</v>
      </c>
      <c r="J1888" s="2" t="s">
        <v>29</v>
      </c>
      <c r="K1888" s="2" t="s">
        <v>148</v>
      </c>
      <c r="L1888" s="2" t="s">
        <v>148</v>
      </c>
      <c r="M1888" s="2" t="s">
        <v>8439</v>
      </c>
      <c r="N1888" s="2" t="s">
        <v>364</v>
      </c>
      <c r="O1888" s="2" t="s">
        <v>19</v>
      </c>
      <c r="P1888" s="2" t="s">
        <v>365</v>
      </c>
      <c r="Q1888" s="2" t="s">
        <v>99</v>
      </c>
      <c r="R1888" s="2">
        <v>3</v>
      </c>
      <c r="S1888" s="2">
        <v>38093.97</v>
      </c>
      <c r="T1888" s="2">
        <v>25</v>
      </c>
      <c r="U1888" s="2">
        <v>85711.43</v>
      </c>
      <c r="V1888" s="2">
        <v>59537.53</v>
      </c>
      <c r="W1888" s="2">
        <v>26173.9</v>
      </c>
      <c r="X1888" s="2">
        <v>30.54</v>
      </c>
      <c r="Y1888" s="2">
        <v>99</v>
      </c>
      <c r="Z1888" s="2" t="s">
        <v>23</v>
      </c>
      <c r="AA1888" s="2" t="s">
        <v>275</v>
      </c>
      <c r="AB1888" s="2" t="s">
        <v>101</v>
      </c>
      <c r="AC1888" s="2"/>
    </row>
    <row r="1889" spans="1:29" x14ac:dyDescent="0.3">
      <c r="A1889" s="3" t="s">
        <v>8440</v>
      </c>
      <c r="B1889" s="3" t="s">
        <v>7951</v>
      </c>
      <c r="C1889" s="3" t="s">
        <v>1517</v>
      </c>
      <c r="D1889" s="3" t="s">
        <v>8441</v>
      </c>
      <c r="E1889" s="3" t="s">
        <v>42</v>
      </c>
      <c r="F1889" s="3" t="s">
        <v>2253</v>
      </c>
      <c r="G1889" s="3" t="s">
        <v>1931</v>
      </c>
      <c r="H1889" s="3" t="s">
        <v>1695</v>
      </c>
      <c r="I1889" s="3">
        <v>2</v>
      </c>
      <c r="J1889" s="3" t="s">
        <v>22</v>
      </c>
      <c r="K1889" s="3" t="s">
        <v>738</v>
      </c>
      <c r="L1889" s="3" t="s">
        <v>738</v>
      </c>
      <c r="M1889" s="3" t="s">
        <v>8442</v>
      </c>
      <c r="N1889" s="3" t="s">
        <v>296</v>
      </c>
      <c r="O1889" s="3" t="s">
        <v>19</v>
      </c>
      <c r="P1889" s="3" t="s">
        <v>297</v>
      </c>
      <c r="Q1889" s="3" t="s">
        <v>152</v>
      </c>
      <c r="R1889" s="3">
        <v>3</v>
      </c>
      <c r="S1889" s="3">
        <v>42277.16</v>
      </c>
      <c r="T1889" s="3">
        <v>15</v>
      </c>
      <c r="U1889" s="3">
        <v>107806.76</v>
      </c>
      <c r="V1889" s="3">
        <v>55172.45</v>
      </c>
      <c r="W1889" s="3">
        <v>52634.31</v>
      </c>
      <c r="X1889" s="3">
        <v>48.82</v>
      </c>
      <c r="Y1889" s="3">
        <v>199</v>
      </c>
      <c r="Z1889" s="3" t="s">
        <v>23</v>
      </c>
      <c r="AA1889" s="3" t="s">
        <v>100</v>
      </c>
      <c r="AB1889" s="3" t="s">
        <v>140</v>
      </c>
      <c r="AC1889" s="3">
        <v>3</v>
      </c>
    </row>
    <row r="1890" spans="1:29" x14ac:dyDescent="0.3">
      <c r="A1890" s="2" t="s">
        <v>8443</v>
      </c>
      <c r="B1890" s="2" t="s">
        <v>8444</v>
      </c>
      <c r="C1890" s="2" t="s">
        <v>1644</v>
      </c>
      <c r="D1890" s="2" t="s">
        <v>8445</v>
      </c>
      <c r="E1890" s="2" t="s">
        <v>26</v>
      </c>
      <c r="F1890" s="2" t="s">
        <v>984</v>
      </c>
      <c r="G1890" s="2" t="s">
        <v>5855</v>
      </c>
      <c r="H1890" s="2" t="s">
        <v>3554</v>
      </c>
      <c r="I1890" s="2">
        <v>3</v>
      </c>
      <c r="J1890" s="2" t="s">
        <v>29</v>
      </c>
      <c r="K1890" s="2" t="s">
        <v>148</v>
      </c>
      <c r="L1890" s="2" t="s">
        <v>148</v>
      </c>
      <c r="M1890" s="2" t="s">
        <v>4357</v>
      </c>
      <c r="N1890" s="2" t="s">
        <v>508</v>
      </c>
      <c r="O1890" s="2" t="s">
        <v>19</v>
      </c>
      <c r="P1890" s="2" t="s">
        <v>365</v>
      </c>
      <c r="Q1890" s="2" t="s">
        <v>355</v>
      </c>
      <c r="R1890" s="2">
        <v>1</v>
      </c>
      <c r="S1890" s="2">
        <v>38988.199999999997</v>
      </c>
      <c r="T1890" s="2">
        <v>0</v>
      </c>
      <c r="U1890" s="2">
        <v>38988.199999999997</v>
      </c>
      <c r="V1890" s="2">
        <v>26335.59</v>
      </c>
      <c r="W1890" s="2">
        <v>12652.61</v>
      </c>
      <c r="X1890" s="2">
        <v>32.450000000000003</v>
      </c>
      <c r="Y1890" s="2">
        <v>149</v>
      </c>
      <c r="Z1890" s="2" t="s">
        <v>15</v>
      </c>
      <c r="AA1890" s="2" t="s">
        <v>139</v>
      </c>
      <c r="AB1890" s="2" t="s">
        <v>140</v>
      </c>
      <c r="AC1890" s="2"/>
    </row>
    <row r="1891" spans="1:29" x14ac:dyDescent="0.3">
      <c r="A1891" s="3" t="s">
        <v>8446</v>
      </c>
      <c r="B1891" s="3" t="s">
        <v>8447</v>
      </c>
      <c r="C1891" s="3" t="s">
        <v>422</v>
      </c>
      <c r="D1891" s="3" t="s">
        <v>8448</v>
      </c>
      <c r="E1891" s="3" t="s">
        <v>18</v>
      </c>
      <c r="F1891" s="3" t="s">
        <v>2226</v>
      </c>
      <c r="G1891" s="3" t="s">
        <v>1689</v>
      </c>
      <c r="H1891" s="3" t="s">
        <v>1479</v>
      </c>
      <c r="I1891" s="3">
        <v>6</v>
      </c>
      <c r="J1891" s="3" t="s">
        <v>14</v>
      </c>
      <c r="K1891" s="3" t="s">
        <v>215</v>
      </c>
      <c r="L1891" s="3" t="s">
        <v>215</v>
      </c>
      <c r="M1891" s="3" t="s">
        <v>8449</v>
      </c>
      <c r="N1891" s="3" t="s">
        <v>97</v>
      </c>
      <c r="O1891" s="3" t="s">
        <v>13</v>
      </c>
      <c r="P1891" s="3" t="s">
        <v>98</v>
      </c>
      <c r="Q1891" s="3" t="s">
        <v>114</v>
      </c>
      <c r="R1891" s="3">
        <v>2</v>
      </c>
      <c r="S1891" s="3">
        <v>43267.56</v>
      </c>
      <c r="T1891" s="3">
        <v>15</v>
      </c>
      <c r="U1891" s="3">
        <v>73554.850000000006</v>
      </c>
      <c r="V1891" s="3">
        <v>50774.18</v>
      </c>
      <c r="W1891" s="3">
        <v>22780.67</v>
      </c>
      <c r="X1891" s="3">
        <v>30.97</v>
      </c>
      <c r="Y1891" s="3">
        <v>199</v>
      </c>
      <c r="Z1891" s="3" t="s">
        <v>47</v>
      </c>
      <c r="AA1891" s="3" t="s">
        <v>100</v>
      </c>
      <c r="AB1891" s="3" t="s">
        <v>101</v>
      </c>
      <c r="AC1891" s="3">
        <v>4</v>
      </c>
    </row>
    <row r="1892" spans="1:29" x14ac:dyDescent="0.3">
      <c r="A1892" s="2" t="s">
        <v>8450</v>
      </c>
      <c r="B1892" s="2" t="s">
        <v>8451</v>
      </c>
      <c r="C1892" s="2" t="s">
        <v>1371</v>
      </c>
      <c r="D1892" s="2" t="s">
        <v>8452</v>
      </c>
      <c r="E1892" s="2" t="s">
        <v>18</v>
      </c>
      <c r="F1892" s="2" t="s">
        <v>1479</v>
      </c>
      <c r="G1892" s="2" t="s">
        <v>2227</v>
      </c>
      <c r="H1892" s="2" t="s">
        <v>5884</v>
      </c>
      <c r="I1892" s="2">
        <v>5</v>
      </c>
      <c r="J1892" s="2" t="s">
        <v>29</v>
      </c>
      <c r="K1892" s="2" t="s">
        <v>427</v>
      </c>
      <c r="L1892" s="2" t="s">
        <v>1871</v>
      </c>
      <c r="M1892" s="2" t="s">
        <v>417</v>
      </c>
      <c r="N1892" s="2" t="s">
        <v>266</v>
      </c>
      <c r="O1892" s="2" t="s">
        <v>28</v>
      </c>
      <c r="P1892" s="2" t="s">
        <v>151</v>
      </c>
      <c r="Q1892" s="2" t="s">
        <v>287</v>
      </c>
      <c r="R1892" s="2">
        <v>1</v>
      </c>
      <c r="S1892" s="2">
        <v>30704.73</v>
      </c>
      <c r="T1892" s="2">
        <v>25</v>
      </c>
      <c r="U1892" s="2">
        <v>23028.55</v>
      </c>
      <c r="V1892" s="2">
        <v>11542.17</v>
      </c>
      <c r="W1892" s="2">
        <v>11486.38</v>
      </c>
      <c r="X1892" s="2">
        <v>49.88</v>
      </c>
      <c r="Y1892" s="2">
        <v>149</v>
      </c>
      <c r="Z1892" s="2" t="s">
        <v>43</v>
      </c>
      <c r="AA1892" s="2" t="s">
        <v>100</v>
      </c>
      <c r="AB1892" s="2" t="s">
        <v>101</v>
      </c>
      <c r="AC1892" s="2">
        <v>2</v>
      </c>
    </row>
    <row r="1893" spans="1:29" x14ac:dyDescent="0.3">
      <c r="A1893" s="3" t="s">
        <v>8453</v>
      </c>
      <c r="B1893" s="3" t="s">
        <v>5954</v>
      </c>
      <c r="C1893" s="3" t="s">
        <v>3436</v>
      </c>
      <c r="D1893" s="3" t="s">
        <v>8454</v>
      </c>
      <c r="E1893" s="3" t="s">
        <v>42</v>
      </c>
      <c r="F1893" s="3" t="s">
        <v>2002</v>
      </c>
      <c r="G1893" s="3" t="s">
        <v>3069</v>
      </c>
      <c r="H1893" s="3" t="s">
        <v>1147</v>
      </c>
      <c r="I1893" s="3">
        <v>2</v>
      </c>
      <c r="J1893" s="3" t="s">
        <v>14</v>
      </c>
      <c r="K1893" s="3" t="s">
        <v>712</v>
      </c>
      <c r="L1893" s="3" t="s">
        <v>712</v>
      </c>
      <c r="M1893" s="3" t="s">
        <v>1368</v>
      </c>
      <c r="N1893" s="3" t="s">
        <v>286</v>
      </c>
      <c r="O1893" s="3" t="s">
        <v>28</v>
      </c>
      <c r="P1893" s="3" t="s">
        <v>137</v>
      </c>
      <c r="Q1893" s="3" t="s">
        <v>355</v>
      </c>
      <c r="R1893" s="3">
        <v>4</v>
      </c>
      <c r="S1893" s="3">
        <v>24839.3</v>
      </c>
      <c r="T1893" s="3">
        <v>25</v>
      </c>
      <c r="U1893" s="3">
        <v>74517.899999999994</v>
      </c>
      <c r="V1893" s="3">
        <v>51811.56</v>
      </c>
      <c r="W1893" s="3">
        <v>22706.34</v>
      </c>
      <c r="X1893" s="3">
        <v>30.47</v>
      </c>
      <c r="Y1893" s="3">
        <v>149</v>
      </c>
      <c r="Z1893" s="3" t="s">
        <v>15</v>
      </c>
      <c r="AA1893" s="3" t="s">
        <v>100</v>
      </c>
      <c r="AB1893" s="3" t="s">
        <v>101</v>
      </c>
      <c r="AC1893" s="3">
        <v>5</v>
      </c>
    </row>
    <row r="1894" spans="1:29" x14ac:dyDescent="0.3">
      <c r="A1894" s="2" t="s">
        <v>8455</v>
      </c>
      <c r="B1894" s="2" t="s">
        <v>4576</v>
      </c>
      <c r="C1894" s="2" t="s">
        <v>918</v>
      </c>
      <c r="D1894" s="2" t="s">
        <v>8456</v>
      </c>
      <c r="E1894" s="2" t="s">
        <v>26</v>
      </c>
      <c r="F1894" s="2" t="s">
        <v>3356</v>
      </c>
      <c r="G1894" s="2" t="s">
        <v>3041</v>
      </c>
      <c r="H1894" s="2" t="s">
        <v>4108</v>
      </c>
      <c r="I1894" s="2">
        <v>5</v>
      </c>
      <c r="J1894" s="2" t="s">
        <v>39</v>
      </c>
      <c r="K1894" s="2" t="s">
        <v>109</v>
      </c>
      <c r="L1894" s="2" t="s">
        <v>344</v>
      </c>
      <c r="M1894" s="2" t="s">
        <v>3205</v>
      </c>
      <c r="N1894" s="2" t="s">
        <v>217</v>
      </c>
      <c r="O1894" s="2" t="s">
        <v>21</v>
      </c>
      <c r="P1894" s="2" t="s">
        <v>206</v>
      </c>
      <c r="Q1894" s="2" t="s">
        <v>509</v>
      </c>
      <c r="R1894" s="2">
        <v>1</v>
      </c>
      <c r="S1894" s="2">
        <v>5924.41</v>
      </c>
      <c r="T1894" s="2">
        <v>15</v>
      </c>
      <c r="U1894" s="2">
        <v>5035.75</v>
      </c>
      <c r="V1894" s="2">
        <v>2335.38</v>
      </c>
      <c r="W1894" s="2">
        <v>2700.37</v>
      </c>
      <c r="X1894" s="2">
        <v>53.62</v>
      </c>
      <c r="Y1894" s="2">
        <v>49</v>
      </c>
      <c r="Z1894" s="2" t="s">
        <v>15</v>
      </c>
      <c r="AA1894" s="2" t="s">
        <v>100</v>
      </c>
      <c r="AB1894" s="2" t="s">
        <v>101</v>
      </c>
      <c r="AC1894" s="2">
        <v>4</v>
      </c>
    </row>
    <row r="1895" spans="1:29" x14ac:dyDescent="0.3">
      <c r="A1895" s="3" t="s">
        <v>8457</v>
      </c>
      <c r="B1895" s="3" t="s">
        <v>8458</v>
      </c>
      <c r="C1895" s="3" t="s">
        <v>1737</v>
      </c>
      <c r="D1895" s="3" t="s">
        <v>8459</v>
      </c>
      <c r="E1895" s="3" t="s">
        <v>26</v>
      </c>
      <c r="F1895" s="3" t="s">
        <v>1531</v>
      </c>
      <c r="G1895" s="3" t="s">
        <v>1532</v>
      </c>
      <c r="H1895" s="3" t="s">
        <v>2514</v>
      </c>
      <c r="I1895" s="3">
        <v>2</v>
      </c>
      <c r="J1895" s="3" t="s">
        <v>29</v>
      </c>
      <c r="K1895" s="3" t="s">
        <v>160</v>
      </c>
      <c r="L1895" s="3" t="s">
        <v>976</v>
      </c>
      <c r="M1895" s="3" t="s">
        <v>8460</v>
      </c>
      <c r="N1895" s="3" t="s">
        <v>1535</v>
      </c>
      <c r="O1895" s="3" t="s">
        <v>13</v>
      </c>
      <c r="P1895" s="3" t="s">
        <v>98</v>
      </c>
      <c r="Q1895" s="3" t="s">
        <v>138</v>
      </c>
      <c r="R1895" s="3">
        <v>2</v>
      </c>
      <c r="S1895" s="3">
        <v>36588.29</v>
      </c>
      <c r="T1895" s="3">
        <v>5</v>
      </c>
      <c r="U1895" s="3">
        <v>69517.75</v>
      </c>
      <c r="V1895" s="3">
        <v>41530.230000000003</v>
      </c>
      <c r="W1895" s="3">
        <v>27987.52</v>
      </c>
      <c r="X1895" s="3">
        <v>40.26</v>
      </c>
      <c r="Y1895" s="3">
        <v>49</v>
      </c>
      <c r="Z1895" s="3" t="s">
        <v>48</v>
      </c>
      <c r="AA1895" s="3" t="s">
        <v>100</v>
      </c>
      <c r="AB1895" s="3" t="s">
        <v>140</v>
      </c>
      <c r="AC1895" s="3">
        <v>1</v>
      </c>
    </row>
    <row r="1896" spans="1:29" x14ac:dyDescent="0.3">
      <c r="A1896" s="2" t="s">
        <v>8461</v>
      </c>
      <c r="B1896" s="2" t="s">
        <v>8462</v>
      </c>
      <c r="C1896" s="2" t="s">
        <v>1955</v>
      </c>
      <c r="D1896" s="2" t="s">
        <v>8463</v>
      </c>
      <c r="E1896" s="2" t="s">
        <v>18</v>
      </c>
      <c r="F1896" s="2" t="s">
        <v>2973</v>
      </c>
      <c r="G1896" s="2" t="s">
        <v>1519</v>
      </c>
      <c r="H1896" s="2" t="s">
        <v>1520</v>
      </c>
      <c r="I1896" s="2">
        <v>3</v>
      </c>
      <c r="J1896" s="2" t="s">
        <v>14</v>
      </c>
      <c r="K1896" s="2" t="s">
        <v>95</v>
      </c>
      <c r="L1896" s="2" t="s">
        <v>95</v>
      </c>
      <c r="M1896" s="2" t="s">
        <v>5174</v>
      </c>
      <c r="N1896" s="2" t="s">
        <v>889</v>
      </c>
      <c r="O1896" s="2" t="s">
        <v>27</v>
      </c>
      <c r="P1896" s="2" t="s">
        <v>257</v>
      </c>
      <c r="Q1896" s="2" t="s">
        <v>197</v>
      </c>
      <c r="R1896" s="2">
        <v>1</v>
      </c>
      <c r="S1896" s="2">
        <v>27938.98</v>
      </c>
      <c r="T1896" s="2">
        <v>20</v>
      </c>
      <c r="U1896" s="2">
        <v>22351.18</v>
      </c>
      <c r="V1896" s="2">
        <v>14983.85</v>
      </c>
      <c r="W1896" s="2">
        <v>7367.33</v>
      </c>
      <c r="X1896" s="2">
        <v>32.96</v>
      </c>
      <c r="Y1896" s="2">
        <v>149</v>
      </c>
      <c r="Z1896" s="2" t="s">
        <v>15</v>
      </c>
      <c r="AA1896" s="2" t="s">
        <v>100</v>
      </c>
      <c r="AB1896" s="2" t="s">
        <v>101</v>
      </c>
      <c r="AC1896" s="2">
        <v>1</v>
      </c>
    </row>
    <row r="1897" spans="1:29" x14ac:dyDescent="0.3">
      <c r="A1897" s="3" t="s">
        <v>8464</v>
      </c>
      <c r="B1897" s="3" t="s">
        <v>8465</v>
      </c>
      <c r="C1897" s="3" t="s">
        <v>3848</v>
      </c>
      <c r="D1897" s="3" t="s">
        <v>8466</v>
      </c>
      <c r="E1897" s="3" t="s">
        <v>26</v>
      </c>
      <c r="F1897" s="3" t="s">
        <v>293</v>
      </c>
      <c r="G1897" s="3" t="s">
        <v>294</v>
      </c>
      <c r="H1897" s="3" t="s">
        <v>2979</v>
      </c>
      <c r="I1897" s="3">
        <v>6</v>
      </c>
      <c r="J1897" s="3" t="s">
        <v>39</v>
      </c>
      <c r="K1897" s="3" t="s">
        <v>193</v>
      </c>
      <c r="L1897" s="3" t="s">
        <v>193</v>
      </c>
      <c r="M1897" s="3" t="s">
        <v>8467</v>
      </c>
      <c r="N1897" s="3" t="s">
        <v>623</v>
      </c>
      <c r="O1897" s="3" t="s">
        <v>19</v>
      </c>
      <c r="P1897" s="3" t="s">
        <v>297</v>
      </c>
      <c r="Q1897" s="3" t="s">
        <v>509</v>
      </c>
      <c r="R1897" s="3">
        <v>1</v>
      </c>
      <c r="S1897" s="3">
        <v>957.71</v>
      </c>
      <c r="T1897" s="3">
        <v>5</v>
      </c>
      <c r="U1897" s="3">
        <v>909.82</v>
      </c>
      <c r="V1897" s="3">
        <v>561.98</v>
      </c>
      <c r="W1897" s="3">
        <v>347.84</v>
      </c>
      <c r="X1897" s="3">
        <v>38.229999999999997</v>
      </c>
      <c r="Y1897" s="3">
        <v>149</v>
      </c>
      <c r="Z1897" s="3" t="s">
        <v>15</v>
      </c>
      <c r="AA1897" s="3" t="s">
        <v>100</v>
      </c>
      <c r="AB1897" s="3" t="s">
        <v>101</v>
      </c>
      <c r="AC1897" s="3">
        <v>2</v>
      </c>
    </row>
    <row r="1898" spans="1:29" x14ac:dyDescent="0.3">
      <c r="A1898" s="2" t="s">
        <v>8468</v>
      </c>
      <c r="B1898" s="2" t="s">
        <v>8469</v>
      </c>
      <c r="C1898" s="2" t="s">
        <v>1590</v>
      </c>
      <c r="D1898" s="2" t="s">
        <v>8470</v>
      </c>
      <c r="E1898" s="2" t="s">
        <v>42</v>
      </c>
      <c r="F1898" s="2" t="s">
        <v>2047</v>
      </c>
      <c r="G1898" s="2" t="s">
        <v>1436</v>
      </c>
      <c r="H1898" s="2" t="s">
        <v>1437</v>
      </c>
      <c r="I1898" s="2">
        <v>5</v>
      </c>
      <c r="J1898" s="2" t="s">
        <v>29</v>
      </c>
      <c r="K1898" s="2" t="s">
        <v>160</v>
      </c>
      <c r="L1898" s="2" t="s">
        <v>976</v>
      </c>
      <c r="M1898" s="2" t="s">
        <v>8471</v>
      </c>
      <c r="N1898" s="2" t="s">
        <v>631</v>
      </c>
      <c r="O1898" s="2" t="s">
        <v>19</v>
      </c>
      <c r="P1898" s="2" t="s">
        <v>297</v>
      </c>
      <c r="Q1898" s="2" t="s">
        <v>207</v>
      </c>
      <c r="R1898" s="2">
        <v>1</v>
      </c>
      <c r="S1898" s="2">
        <v>38359.69</v>
      </c>
      <c r="T1898" s="2">
        <v>15</v>
      </c>
      <c r="U1898" s="2">
        <v>32605.74</v>
      </c>
      <c r="V1898" s="2">
        <v>15824.8</v>
      </c>
      <c r="W1898" s="2">
        <v>16780.939999999999</v>
      </c>
      <c r="X1898" s="2">
        <v>51.47</v>
      </c>
      <c r="Y1898" s="2">
        <v>99</v>
      </c>
      <c r="Z1898" s="2" t="s">
        <v>43</v>
      </c>
      <c r="AA1898" s="2" t="s">
        <v>100</v>
      </c>
      <c r="AB1898" s="2" t="s">
        <v>101</v>
      </c>
      <c r="AC1898" s="2">
        <v>2</v>
      </c>
    </row>
    <row r="1899" spans="1:29" x14ac:dyDescent="0.3">
      <c r="A1899" s="3" t="s">
        <v>8472</v>
      </c>
      <c r="B1899" s="3" t="s">
        <v>8473</v>
      </c>
      <c r="C1899" s="3" t="s">
        <v>1246</v>
      </c>
      <c r="D1899" s="3" t="s">
        <v>8474</v>
      </c>
      <c r="E1899" s="3" t="s">
        <v>26</v>
      </c>
      <c r="F1899" s="3" t="s">
        <v>462</v>
      </c>
      <c r="G1899" s="3" t="s">
        <v>4614</v>
      </c>
      <c r="H1899" s="3" t="s">
        <v>463</v>
      </c>
      <c r="I1899" s="3">
        <v>2</v>
      </c>
      <c r="J1899" s="3" t="s">
        <v>29</v>
      </c>
      <c r="K1899" s="3" t="s">
        <v>334</v>
      </c>
      <c r="L1899" s="3" t="s">
        <v>335</v>
      </c>
      <c r="M1899" s="3" t="s">
        <v>8475</v>
      </c>
      <c r="N1899" s="3" t="s">
        <v>364</v>
      </c>
      <c r="O1899" s="3" t="s">
        <v>19</v>
      </c>
      <c r="P1899" s="3" t="s">
        <v>365</v>
      </c>
      <c r="Q1899" s="3" t="s">
        <v>114</v>
      </c>
      <c r="R1899" s="3">
        <v>5</v>
      </c>
      <c r="S1899" s="3">
        <v>31779.84</v>
      </c>
      <c r="T1899" s="3">
        <v>10</v>
      </c>
      <c r="U1899" s="3">
        <v>143009.28</v>
      </c>
      <c r="V1899" s="3">
        <v>84788.56</v>
      </c>
      <c r="W1899" s="3">
        <v>58220.72</v>
      </c>
      <c r="X1899" s="3">
        <v>40.71</v>
      </c>
      <c r="Y1899" s="3">
        <v>149</v>
      </c>
      <c r="Z1899" s="3" t="s">
        <v>47</v>
      </c>
      <c r="AA1899" s="3" t="s">
        <v>186</v>
      </c>
      <c r="AB1899" s="3" t="s">
        <v>101</v>
      </c>
      <c r="AC1899" s="3"/>
    </row>
    <row r="1900" spans="1:29" x14ac:dyDescent="0.3">
      <c r="A1900" s="2" t="s">
        <v>8476</v>
      </c>
      <c r="B1900" s="2" t="s">
        <v>8477</v>
      </c>
      <c r="C1900" s="2" t="s">
        <v>967</v>
      </c>
      <c r="D1900" s="2" t="s">
        <v>8478</v>
      </c>
      <c r="E1900" s="2" t="s">
        <v>26</v>
      </c>
      <c r="F1900" s="2" t="s">
        <v>147</v>
      </c>
      <c r="G1900" s="2" t="s">
        <v>3839</v>
      </c>
      <c r="H1900" s="2" t="s">
        <v>2612</v>
      </c>
      <c r="I1900" s="2">
        <v>8</v>
      </c>
      <c r="J1900" s="2" t="s">
        <v>29</v>
      </c>
      <c r="K1900" s="2" t="s">
        <v>148</v>
      </c>
      <c r="L1900" s="2" t="s">
        <v>148</v>
      </c>
      <c r="M1900" s="2" t="s">
        <v>3001</v>
      </c>
      <c r="N1900" s="2" t="s">
        <v>600</v>
      </c>
      <c r="O1900" s="2" t="s">
        <v>27</v>
      </c>
      <c r="P1900" s="2" t="s">
        <v>175</v>
      </c>
      <c r="Q1900" s="2" t="s">
        <v>400</v>
      </c>
      <c r="R1900" s="2">
        <v>5</v>
      </c>
      <c r="S1900" s="2">
        <v>32747.46</v>
      </c>
      <c r="T1900" s="2">
        <v>10</v>
      </c>
      <c r="U1900" s="2">
        <v>147363.57</v>
      </c>
      <c r="V1900" s="2">
        <v>81409.429999999993</v>
      </c>
      <c r="W1900" s="2">
        <v>65954.14</v>
      </c>
      <c r="X1900" s="2">
        <v>44.76</v>
      </c>
      <c r="Y1900" s="2">
        <v>199</v>
      </c>
      <c r="Z1900" s="2" t="s">
        <v>15</v>
      </c>
      <c r="AA1900" s="2" t="s">
        <v>100</v>
      </c>
      <c r="AB1900" s="2" t="s">
        <v>101</v>
      </c>
      <c r="AC1900" s="2">
        <v>5</v>
      </c>
    </row>
    <row r="1901" spans="1:29" x14ac:dyDescent="0.3">
      <c r="A1901" s="3" t="s">
        <v>8479</v>
      </c>
      <c r="B1901" s="3" t="s">
        <v>5923</v>
      </c>
      <c r="C1901" s="3" t="s">
        <v>2291</v>
      </c>
      <c r="D1901" s="3" t="s">
        <v>8480</v>
      </c>
      <c r="E1901" s="3" t="s">
        <v>33</v>
      </c>
      <c r="F1901" s="3" t="s">
        <v>1749</v>
      </c>
      <c r="G1901" s="3" t="s">
        <v>2172</v>
      </c>
      <c r="H1901" s="3" t="s">
        <v>7784</v>
      </c>
      <c r="I1901" s="3">
        <v>5</v>
      </c>
      <c r="J1901" s="3" t="s">
        <v>29</v>
      </c>
      <c r="K1901" s="3" t="s">
        <v>834</v>
      </c>
      <c r="L1901" s="3" t="s">
        <v>835</v>
      </c>
      <c r="M1901" s="3" t="s">
        <v>8481</v>
      </c>
      <c r="N1901" s="3" t="s">
        <v>438</v>
      </c>
      <c r="O1901" s="3" t="s">
        <v>13</v>
      </c>
      <c r="P1901" s="3" t="s">
        <v>228</v>
      </c>
      <c r="Q1901" s="3" t="s">
        <v>466</v>
      </c>
      <c r="R1901" s="3">
        <v>4</v>
      </c>
      <c r="S1901" s="3">
        <v>19472.07</v>
      </c>
      <c r="T1901" s="3">
        <v>15</v>
      </c>
      <c r="U1901" s="3">
        <v>66205.039999999994</v>
      </c>
      <c r="V1901" s="3">
        <v>39707.800000000003</v>
      </c>
      <c r="W1901" s="3">
        <v>26497.24</v>
      </c>
      <c r="X1901" s="3">
        <v>40.020000000000003</v>
      </c>
      <c r="Y1901" s="3">
        <v>199</v>
      </c>
      <c r="Z1901" s="3" t="s">
        <v>48</v>
      </c>
      <c r="AA1901" s="3" t="s">
        <v>100</v>
      </c>
      <c r="AB1901" s="3" t="s">
        <v>101</v>
      </c>
      <c r="AC1901" s="3">
        <v>4</v>
      </c>
    </row>
    <row r="1902" spans="1:29" x14ac:dyDescent="0.3">
      <c r="A1902" s="2" t="s">
        <v>8482</v>
      </c>
      <c r="B1902" s="2" t="s">
        <v>8483</v>
      </c>
      <c r="C1902" s="2" t="s">
        <v>231</v>
      </c>
      <c r="D1902" s="2" t="s">
        <v>8484</v>
      </c>
      <c r="E1902" s="2" t="s">
        <v>18</v>
      </c>
      <c r="F1902" s="2" t="s">
        <v>2221</v>
      </c>
      <c r="G1902" s="2" t="s">
        <v>2698</v>
      </c>
      <c r="H1902" s="2" t="s">
        <v>5855</v>
      </c>
      <c r="I1902" s="2">
        <v>8</v>
      </c>
      <c r="J1902" s="2" t="s">
        <v>14</v>
      </c>
      <c r="K1902" s="2" t="s">
        <v>712</v>
      </c>
      <c r="L1902" s="2" t="s">
        <v>712</v>
      </c>
      <c r="M1902" s="2" t="s">
        <v>3584</v>
      </c>
      <c r="N1902" s="2" t="s">
        <v>3017</v>
      </c>
      <c r="O1902" s="2" t="s">
        <v>13</v>
      </c>
      <c r="P1902" s="2" t="s">
        <v>419</v>
      </c>
      <c r="Q1902" s="2" t="s">
        <v>152</v>
      </c>
      <c r="R1902" s="2">
        <v>3</v>
      </c>
      <c r="S1902" s="2">
        <v>5290.31</v>
      </c>
      <c r="T1902" s="2">
        <v>30</v>
      </c>
      <c r="U1902" s="2">
        <v>11109.65</v>
      </c>
      <c r="V1902" s="2">
        <v>5831.44</v>
      </c>
      <c r="W1902" s="2">
        <v>5278.21</v>
      </c>
      <c r="X1902" s="2">
        <v>47.51</v>
      </c>
      <c r="Y1902" s="2">
        <v>99</v>
      </c>
      <c r="Z1902" s="2" t="s">
        <v>15</v>
      </c>
      <c r="AA1902" s="2" t="s">
        <v>100</v>
      </c>
      <c r="AB1902" s="2" t="s">
        <v>101</v>
      </c>
      <c r="AC1902" s="2"/>
    </row>
    <row r="1903" spans="1:29" x14ac:dyDescent="0.3">
      <c r="A1903" s="3" t="s">
        <v>8485</v>
      </c>
      <c r="B1903" s="3" t="s">
        <v>8486</v>
      </c>
      <c r="C1903" s="3" t="s">
        <v>1675</v>
      </c>
      <c r="D1903" s="3" t="s">
        <v>8487</v>
      </c>
      <c r="E1903" s="3" t="s">
        <v>18</v>
      </c>
      <c r="F1903" s="3" t="s">
        <v>2950</v>
      </c>
      <c r="G1903" s="3" t="s">
        <v>293</v>
      </c>
      <c r="H1903" s="3" t="s">
        <v>1343</v>
      </c>
      <c r="I1903" s="3">
        <v>6</v>
      </c>
      <c r="J1903" s="3" t="s">
        <v>22</v>
      </c>
      <c r="K1903" s="3" t="s">
        <v>738</v>
      </c>
      <c r="L1903" s="3" t="s">
        <v>738</v>
      </c>
      <c r="M1903" s="3" t="s">
        <v>8488</v>
      </c>
      <c r="N1903" s="3" t="s">
        <v>805</v>
      </c>
      <c r="O1903" s="3" t="s">
        <v>28</v>
      </c>
      <c r="P1903" s="3" t="s">
        <v>151</v>
      </c>
      <c r="Q1903" s="3" t="s">
        <v>355</v>
      </c>
      <c r="R1903" s="3">
        <v>1</v>
      </c>
      <c r="S1903" s="3">
        <v>44781.09</v>
      </c>
      <c r="T1903" s="3">
        <v>10</v>
      </c>
      <c r="U1903" s="3">
        <v>40302.980000000003</v>
      </c>
      <c r="V1903" s="3">
        <v>23184.29</v>
      </c>
      <c r="W1903" s="3">
        <v>17118.689999999999</v>
      </c>
      <c r="X1903" s="3">
        <v>42.47</v>
      </c>
      <c r="Y1903" s="3">
        <v>0</v>
      </c>
      <c r="Z1903" s="3" t="s">
        <v>23</v>
      </c>
      <c r="AA1903" s="3" t="s">
        <v>100</v>
      </c>
      <c r="AB1903" s="3" t="s">
        <v>101</v>
      </c>
      <c r="AC1903" s="3">
        <v>1</v>
      </c>
    </row>
    <row r="1904" spans="1:29" x14ac:dyDescent="0.3">
      <c r="A1904" s="2" t="s">
        <v>8489</v>
      </c>
      <c r="B1904" s="2" t="s">
        <v>8490</v>
      </c>
      <c r="C1904" s="2" t="s">
        <v>2325</v>
      </c>
      <c r="D1904" s="2" t="s">
        <v>8491</v>
      </c>
      <c r="E1904" s="2" t="s">
        <v>26</v>
      </c>
      <c r="F1904" s="2" t="s">
        <v>4524</v>
      </c>
      <c r="G1904" s="2" t="s">
        <v>1141</v>
      </c>
      <c r="H1904" s="2" t="s">
        <v>3025</v>
      </c>
      <c r="I1904" s="2">
        <v>6</v>
      </c>
      <c r="J1904" s="2" t="s">
        <v>39</v>
      </c>
      <c r="K1904" s="2" t="s">
        <v>193</v>
      </c>
      <c r="L1904" s="2" t="s">
        <v>193</v>
      </c>
      <c r="M1904" s="2" t="s">
        <v>5759</v>
      </c>
      <c r="N1904" s="2" t="s">
        <v>174</v>
      </c>
      <c r="O1904" s="2" t="s">
        <v>27</v>
      </c>
      <c r="P1904" s="2" t="s">
        <v>175</v>
      </c>
      <c r="Q1904" s="2" t="s">
        <v>608</v>
      </c>
      <c r="R1904" s="2">
        <v>1</v>
      </c>
      <c r="S1904" s="2">
        <v>28554.82</v>
      </c>
      <c r="T1904" s="2">
        <v>15</v>
      </c>
      <c r="U1904" s="2">
        <v>24271.599999999999</v>
      </c>
      <c r="V1904" s="2">
        <v>13697.8</v>
      </c>
      <c r="W1904" s="2">
        <v>10573.8</v>
      </c>
      <c r="X1904" s="2">
        <v>43.56</v>
      </c>
      <c r="Y1904" s="2">
        <v>149</v>
      </c>
      <c r="Z1904" s="2" t="s">
        <v>40</v>
      </c>
      <c r="AA1904" s="2" t="s">
        <v>100</v>
      </c>
      <c r="AB1904" s="2" t="s">
        <v>101</v>
      </c>
      <c r="AC1904" s="2">
        <v>3</v>
      </c>
    </row>
    <row r="1905" spans="1:29" x14ac:dyDescent="0.3">
      <c r="A1905" s="3" t="s">
        <v>8492</v>
      </c>
      <c r="B1905" s="3" t="s">
        <v>8493</v>
      </c>
      <c r="C1905" s="3" t="s">
        <v>1261</v>
      </c>
      <c r="D1905" s="3" t="s">
        <v>8494</v>
      </c>
      <c r="E1905" s="3" t="s">
        <v>33</v>
      </c>
      <c r="F1905" s="3" t="s">
        <v>379</v>
      </c>
      <c r="G1905" s="3" t="s">
        <v>803</v>
      </c>
      <c r="H1905" s="3" t="s">
        <v>3186</v>
      </c>
      <c r="I1905" s="3">
        <v>3</v>
      </c>
      <c r="J1905" s="3" t="s">
        <v>29</v>
      </c>
      <c r="K1905" s="3" t="s">
        <v>148</v>
      </c>
      <c r="L1905" s="3" t="s">
        <v>148</v>
      </c>
      <c r="M1905" s="3" t="s">
        <v>8418</v>
      </c>
      <c r="N1905" s="3" t="s">
        <v>185</v>
      </c>
      <c r="O1905" s="3" t="s">
        <v>28</v>
      </c>
      <c r="P1905" s="3" t="s">
        <v>151</v>
      </c>
      <c r="Q1905" s="3" t="s">
        <v>608</v>
      </c>
      <c r="R1905" s="3">
        <v>5</v>
      </c>
      <c r="S1905" s="3">
        <v>31904.57</v>
      </c>
      <c r="T1905" s="3">
        <v>20</v>
      </c>
      <c r="U1905" s="3">
        <v>127618.28</v>
      </c>
      <c r="V1905" s="3">
        <v>79015.12</v>
      </c>
      <c r="W1905" s="3">
        <v>48603.16</v>
      </c>
      <c r="X1905" s="3">
        <v>38.08</v>
      </c>
      <c r="Y1905" s="3">
        <v>199</v>
      </c>
      <c r="Z1905" s="3" t="s">
        <v>40</v>
      </c>
      <c r="AA1905" s="3" t="s">
        <v>275</v>
      </c>
      <c r="AB1905" s="3" t="s">
        <v>101</v>
      </c>
      <c r="AC1905" s="3"/>
    </row>
    <row r="1906" spans="1:29" x14ac:dyDescent="0.3">
      <c r="A1906" s="2" t="s">
        <v>8495</v>
      </c>
      <c r="B1906" s="2" t="s">
        <v>8496</v>
      </c>
      <c r="C1906" s="2" t="s">
        <v>1273</v>
      </c>
      <c r="D1906" s="2" t="s">
        <v>8497</v>
      </c>
      <c r="E1906" s="2" t="s">
        <v>42</v>
      </c>
      <c r="F1906" s="2" t="s">
        <v>3534</v>
      </c>
      <c r="G1906" s="2" t="s">
        <v>720</v>
      </c>
      <c r="H1906" s="2" t="s">
        <v>1945</v>
      </c>
      <c r="I1906" s="2">
        <v>8</v>
      </c>
      <c r="J1906" s="2" t="s">
        <v>22</v>
      </c>
      <c r="K1906" s="2" t="s">
        <v>443</v>
      </c>
      <c r="L1906" s="2" t="s">
        <v>567</v>
      </c>
      <c r="M1906" s="2" t="s">
        <v>8498</v>
      </c>
      <c r="N1906" s="2" t="s">
        <v>1802</v>
      </c>
      <c r="O1906" s="2" t="s">
        <v>28</v>
      </c>
      <c r="P1906" s="2" t="s">
        <v>137</v>
      </c>
      <c r="Q1906" s="2" t="s">
        <v>152</v>
      </c>
      <c r="R1906" s="2">
        <v>1</v>
      </c>
      <c r="S1906" s="2">
        <v>48743.94</v>
      </c>
      <c r="T1906" s="2">
        <v>0</v>
      </c>
      <c r="U1906" s="2">
        <v>48743.94</v>
      </c>
      <c r="V1906" s="2">
        <v>22221.24</v>
      </c>
      <c r="W1906" s="2">
        <v>26522.7</v>
      </c>
      <c r="X1906" s="2">
        <v>54.41</v>
      </c>
      <c r="Y1906" s="2">
        <v>29</v>
      </c>
      <c r="Z1906" s="2" t="s">
        <v>15</v>
      </c>
      <c r="AA1906" s="2" t="s">
        <v>100</v>
      </c>
      <c r="AB1906" s="2" t="s">
        <v>101</v>
      </c>
      <c r="AC1906" s="2">
        <v>2</v>
      </c>
    </row>
    <row r="1907" spans="1:29" x14ac:dyDescent="0.3">
      <c r="A1907" s="3" t="s">
        <v>8499</v>
      </c>
      <c r="B1907" s="3" t="s">
        <v>7904</v>
      </c>
      <c r="C1907" s="3" t="s">
        <v>4332</v>
      </c>
      <c r="D1907" s="3" t="s">
        <v>8500</v>
      </c>
      <c r="E1907" s="3" t="s">
        <v>18</v>
      </c>
      <c r="F1907" s="3" t="s">
        <v>2775</v>
      </c>
      <c r="G1907" s="3" t="s">
        <v>4503</v>
      </c>
      <c r="H1907" s="3" t="s">
        <v>872</v>
      </c>
      <c r="I1907" s="3">
        <v>2</v>
      </c>
      <c r="J1907" s="3" t="s">
        <v>29</v>
      </c>
      <c r="K1907" s="3" t="s">
        <v>427</v>
      </c>
      <c r="L1907" s="3" t="s">
        <v>1081</v>
      </c>
      <c r="M1907" s="3" t="s">
        <v>8501</v>
      </c>
      <c r="N1907" s="3" t="s">
        <v>266</v>
      </c>
      <c r="O1907" s="3" t="s">
        <v>28</v>
      </c>
      <c r="P1907" s="3" t="s">
        <v>151</v>
      </c>
      <c r="Q1907" s="3" t="s">
        <v>400</v>
      </c>
      <c r="R1907" s="3">
        <v>3</v>
      </c>
      <c r="S1907" s="3">
        <v>23203.32</v>
      </c>
      <c r="T1907" s="3">
        <v>10</v>
      </c>
      <c r="U1907" s="3">
        <v>62648.959999999999</v>
      </c>
      <c r="V1907" s="3">
        <v>39006.870000000003</v>
      </c>
      <c r="W1907" s="3">
        <v>23642.09</v>
      </c>
      <c r="X1907" s="3">
        <v>37.74</v>
      </c>
      <c r="Y1907" s="3">
        <v>149</v>
      </c>
      <c r="Z1907" s="3" t="s">
        <v>40</v>
      </c>
      <c r="AA1907" s="3" t="s">
        <v>186</v>
      </c>
      <c r="AB1907" s="3" t="s">
        <v>140</v>
      </c>
      <c r="AC1907" s="3"/>
    </row>
    <row r="1908" spans="1:29" x14ac:dyDescent="0.3">
      <c r="A1908" s="2" t="s">
        <v>8502</v>
      </c>
      <c r="B1908" s="2" t="s">
        <v>8503</v>
      </c>
      <c r="C1908" s="2" t="s">
        <v>2124</v>
      </c>
      <c r="D1908" s="2" t="s">
        <v>8504</v>
      </c>
      <c r="E1908" s="2" t="s">
        <v>42</v>
      </c>
      <c r="F1908" s="2" t="s">
        <v>106</v>
      </c>
      <c r="G1908" s="2" t="s">
        <v>2211</v>
      </c>
      <c r="H1908" s="2" t="s">
        <v>2594</v>
      </c>
      <c r="I1908" s="2">
        <v>4</v>
      </c>
      <c r="J1908" s="2" t="s">
        <v>22</v>
      </c>
      <c r="K1908" s="2" t="s">
        <v>283</v>
      </c>
      <c r="L1908" s="2" t="s">
        <v>1346</v>
      </c>
      <c r="M1908" s="2" t="s">
        <v>3219</v>
      </c>
      <c r="N1908" s="2" t="s">
        <v>286</v>
      </c>
      <c r="O1908" s="2" t="s">
        <v>28</v>
      </c>
      <c r="P1908" s="2" t="s">
        <v>137</v>
      </c>
      <c r="Q1908" s="2" t="s">
        <v>152</v>
      </c>
      <c r="R1908" s="2">
        <v>1</v>
      </c>
      <c r="S1908" s="2">
        <v>13345.11</v>
      </c>
      <c r="T1908" s="2">
        <v>20</v>
      </c>
      <c r="U1908" s="2">
        <v>10676.09</v>
      </c>
      <c r="V1908" s="2">
        <v>6611.57</v>
      </c>
      <c r="W1908" s="2">
        <v>4064.52</v>
      </c>
      <c r="X1908" s="2">
        <v>38.07</v>
      </c>
      <c r="Y1908" s="2">
        <v>0</v>
      </c>
      <c r="Z1908" s="2" t="s">
        <v>15</v>
      </c>
      <c r="AA1908" s="2" t="s">
        <v>672</v>
      </c>
      <c r="AB1908" s="2" t="s">
        <v>101</v>
      </c>
      <c r="AC1908" s="2"/>
    </row>
    <row r="1909" spans="1:29" x14ac:dyDescent="0.3">
      <c r="A1909" s="3" t="s">
        <v>8505</v>
      </c>
      <c r="B1909" s="3" t="s">
        <v>8506</v>
      </c>
      <c r="C1909" s="3" t="s">
        <v>2090</v>
      </c>
      <c r="D1909" s="3" t="s">
        <v>8507</v>
      </c>
      <c r="E1909" s="3" t="s">
        <v>42</v>
      </c>
      <c r="F1909" s="3" t="s">
        <v>900</v>
      </c>
      <c r="G1909" s="3" t="s">
        <v>6410</v>
      </c>
      <c r="H1909" s="3" t="s">
        <v>3596</v>
      </c>
      <c r="I1909" s="3">
        <v>5</v>
      </c>
      <c r="J1909" s="3" t="s">
        <v>22</v>
      </c>
      <c r="K1909" s="3" t="s">
        <v>283</v>
      </c>
      <c r="L1909" s="3" t="s">
        <v>284</v>
      </c>
      <c r="M1909" s="3" t="s">
        <v>8508</v>
      </c>
      <c r="N1909" s="3" t="s">
        <v>409</v>
      </c>
      <c r="O1909" s="3" t="s">
        <v>21</v>
      </c>
      <c r="P1909" s="3" t="s">
        <v>196</v>
      </c>
      <c r="Q1909" s="3" t="s">
        <v>138</v>
      </c>
      <c r="R1909" s="3">
        <v>1</v>
      </c>
      <c r="S1909" s="3">
        <v>31032.2</v>
      </c>
      <c r="T1909" s="3">
        <v>5</v>
      </c>
      <c r="U1909" s="3">
        <v>29480.59</v>
      </c>
      <c r="V1909" s="3">
        <v>18648.39</v>
      </c>
      <c r="W1909" s="3">
        <v>10832.2</v>
      </c>
      <c r="X1909" s="3">
        <v>36.74</v>
      </c>
      <c r="Y1909" s="3">
        <v>99</v>
      </c>
      <c r="Z1909" s="3" t="s">
        <v>47</v>
      </c>
      <c r="AA1909" s="3" t="s">
        <v>100</v>
      </c>
      <c r="AB1909" s="3" t="s">
        <v>101</v>
      </c>
      <c r="AC1909" s="3"/>
    </row>
    <row r="1910" spans="1:29" x14ac:dyDescent="0.3">
      <c r="A1910" s="2" t="s">
        <v>8509</v>
      </c>
      <c r="B1910" s="2" t="s">
        <v>8510</v>
      </c>
      <c r="C1910" s="2" t="s">
        <v>973</v>
      </c>
      <c r="D1910" s="2" t="s">
        <v>8511</v>
      </c>
      <c r="E1910" s="2" t="s">
        <v>42</v>
      </c>
      <c r="F1910" s="2" t="s">
        <v>1199</v>
      </c>
      <c r="G1910" s="2" t="s">
        <v>1328</v>
      </c>
      <c r="H1910" s="2" t="s">
        <v>2354</v>
      </c>
      <c r="I1910" s="2">
        <v>5</v>
      </c>
      <c r="J1910" s="2" t="s">
        <v>22</v>
      </c>
      <c r="K1910" s="2" t="s">
        <v>122</v>
      </c>
      <c r="L1910" s="2" t="s">
        <v>812</v>
      </c>
      <c r="M1910" s="2" t="s">
        <v>8512</v>
      </c>
      <c r="N1910" s="2" t="s">
        <v>484</v>
      </c>
      <c r="O1910" s="2" t="s">
        <v>13</v>
      </c>
      <c r="P1910" s="2" t="s">
        <v>98</v>
      </c>
      <c r="Q1910" s="2" t="s">
        <v>509</v>
      </c>
      <c r="R1910" s="2">
        <v>4</v>
      </c>
      <c r="S1910" s="2">
        <v>33917.21</v>
      </c>
      <c r="T1910" s="2">
        <v>10</v>
      </c>
      <c r="U1910" s="2">
        <v>122101.96</v>
      </c>
      <c r="V1910" s="2">
        <v>62450.76</v>
      </c>
      <c r="W1910" s="2">
        <v>59651.199999999997</v>
      </c>
      <c r="X1910" s="2">
        <v>48.85</v>
      </c>
      <c r="Y1910" s="2">
        <v>149</v>
      </c>
      <c r="Z1910" s="2" t="s">
        <v>23</v>
      </c>
      <c r="AA1910" s="2" t="s">
        <v>100</v>
      </c>
      <c r="AB1910" s="2" t="s">
        <v>101</v>
      </c>
      <c r="AC1910" s="2">
        <v>5</v>
      </c>
    </row>
    <row r="1911" spans="1:29" x14ac:dyDescent="0.3">
      <c r="A1911" s="3" t="s">
        <v>8513</v>
      </c>
      <c r="B1911" s="3" t="s">
        <v>8514</v>
      </c>
      <c r="C1911" s="3" t="s">
        <v>1131</v>
      </c>
      <c r="D1911" s="3" t="s">
        <v>8515</v>
      </c>
      <c r="E1911" s="3" t="s">
        <v>18</v>
      </c>
      <c r="F1911" s="3" t="s">
        <v>1633</v>
      </c>
      <c r="G1911" s="3" t="s">
        <v>2980</v>
      </c>
      <c r="H1911" s="3" t="s">
        <v>5153</v>
      </c>
      <c r="I1911" s="3">
        <v>2</v>
      </c>
      <c r="J1911" s="3" t="s">
        <v>22</v>
      </c>
      <c r="K1911" s="3" t="s">
        <v>738</v>
      </c>
      <c r="L1911" s="3" t="s">
        <v>738</v>
      </c>
      <c r="M1911" s="3" t="s">
        <v>8516</v>
      </c>
      <c r="N1911" s="3" t="s">
        <v>837</v>
      </c>
      <c r="O1911" s="3" t="s">
        <v>27</v>
      </c>
      <c r="P1911" s="3" t="s">
        <v>257</v>
      </c>
      <c r="Q1911" s="3" t="s">
        <v>207</v>
      </c>
      <c r="R1911" s="3">
        <v>5</v>
      </c>
      <c r="S1911" s="3">
        <v>33656.28</v>
      </c>
      <c r="T1911" s="3">
        <v>5</v>
      </c>
      <c r="U1911" s="3">
        <v>159867.32999999999</v>
      </c>
      <c r="V1911" s="3">
        <v>73609.460000000006</v>
      </c>
      <c r="W1911" s="3">
        <v>86257.87</v>
      </c>
      <c r="X1911" s="3">
        <v>53.96</v>
      </c>
      <c r="Y1911" s="3">
        <v>29</v>
      </c>
      <c r="Z1911" s="3" t="s">
        <v>40</v>
      </c>
      <c r="AA1911" s="3" t="s">
        <v>139</v>
      </c>
      <c r="AB1911" s="3" t="s">
        <v>140</v>
      </c>
      <c r="AC1911" s="3"/>
    </row>
    <row r="1912" spans="1:29" x14ac:dyDescent="0.3">
      <c r="A1912" s="2" t="s">
        <v>8517</v>
      </c>
      <c r="B1912" s="2" t="s">
        <v>8518</v>
      </c>
      <c r="C1912" s="2" t="s">
        <v>1226</v>
      </c>
      <c r="D1912" s="2" t="s">
        <v>8519</v>
      </c>
      <c r="E1912" s="2" t="s">
        <v>42</v>
      </c>
      <c r="F1912" s="2" t="s">
        <v>1907</v>
      </c>
      <c r="G1912" s="2" t="s">
        <v>2271</v>
      </c>
      <c r="H1912" s="2" t="s">
        <v>1749</v>
      </c>
      <c r="I1912" s="2">
        <v>8</v>
      </c>
      <c r="J1912" s="2" t="s">
        <v>14</v>
      </c>
      <c r="K1912" s="2" t="s">
        <v>183</v>
      </c>
      <c r="L1912" s="2" t="s">
        <v>183</v>
      </c>
      <c r="M1912" s="2" t="s">
        <v>8520</v>
      </c>
      <c r="N1912" s="2" t="s">
        <v>1223</v>
      </c>
      <c r="O1912" s="2" t="s">
        <v>19</v>
      </c>
      <c r="P1912" s="2" t="s">
        <v>447</v>
      </c>
      <c r="Q1912" s="2" t="s">
        <v>608</v>
      </c>
      <c r="R1912" s="2">
        <v>4</v>
      </c>
      <c r="S1912" s="2">
        <v>38896.11</v>
      </c>
      <c r="T1912" s="2">
        <v>0</v>
      </c>
      <c r="U1912" s="2">
        <v>155584.44</v>
      </c>
      <c r="V1912" s="2">
        <v>70267.16</v>
      </c>
      <c r="W1912" s="2">
        <v>85317.28</v>
      </c>
      <c r="X1912" s="2">
        <v>54.84</v>
      </c>
      <c r="Y1912" s="2">
        <v>99</v>
      </c>
      <c r="Z1912" s="2" t="s">
        <v>40</v>
      </c>
      <c r="AA1912" s="2" t="s">
        <v>275</v>
      </c>
      <c r="AB1912" s="2" t="s">
        <v>101</v>
      </c>
      <c r="AC1912" s="2"/>
    </row>
    <row r="1913" spans="1:29" x14ac:dyDescent="0.3">
      <c r="A1913" s="3" t="s">
        <v>8521</v>
      </c>
      <c r="B1913" s="3" t="s">
        <v>8522</v>
      </c>
      <c r="C1913" s="3" t="s">
        <v>2877</v>
      </c>
      <c r="D1913" s="3" t="s">
        <v>8523</v>
      </c>
      <c r="E1913" s="3" t="s">
        <v>18</v>
      </c>
      <c r="F1913" s="3" t="s">
        <v>3802</v>
      </c>
      <c r="G1913" s="3" t="s">
        <v>5082</v>
      </c>
      <c r="H1913" s="3" t="s">
        <v>718</v>
      </c>
      <c r="I1913" s="3">
        <v>7</v>
      </c>
      <c r="J1913" s="3" t="s">
        <v>29</v>
      </c>
      <c r="K1913" s="3" t="s">
        <v>427</v>
      </c>
      <c r="L1913" s="3" t="s">
        <v>1081</v>
      </c>
      <c r="M1913" s="3" t="s">
        <v>8127</v>
      </c>
      <c r="N1913" s="3" t="s">
        <v>205</v>
      </c>
      <c r="O1913" s="3" t="s">
        <v>21</v>
      </c>
      <c r="P1913" s="3" t="s">
        <v>206</v>
      </c>
      <c r="Q1913" s="3" t="s">
        <v>99</v>
      </c>
      <c r="R1913" s="3">
        <v>1</v>
      </c>
      <c r="S1913" s="3">
        <v>31177.16</v>
      </c>
      <c r="T1913" s="3">
        <v>10</v>
      </c>
      <c r="U1913" s="3">
        <v>28059.439999999999</v>
      </c>
      <c r="V1913" s="3">
        <v>18486.36</v>
      </c>
      <c r="W1913" s="3">
        <v>9573.08</v>
      </c>
      <c r="X1913" s="3">
        <v>34.119999999999997</v>
      </c>
      <c r="Y1913" s="3">
        <v>149</v>
      </c>
      <c r="Z1913" s="3" t="s">
        <v>23</v>
      </c>
      <c r="AA1913" s="3" t="s">
        <v>100</v>
      </c>
      <c r="AB1913" s="3" t="s">
        <v>140</v>
      </c>
      <c r="AC1913" s="3">
        <v>3</v>
      </c>
    </row>
    <row r="1914" spans="1:29" x14ac:dyDescent="0.3">
      <c r="A1914" s="2" t="s">
        <v>8524</v>
      </c>
      <c r="B1914" s="2" t="s">
        <v>7790</v>
      </c>
      <c r="C1914" s="2" t="s">
        <v>249</v>
      </c>
      <c r="D1914" s="2" t="s">
        <v>8525</v>
      </c>
      <c r="E1914" s="2" t="s">
        <v>26</v>
      </c>
      <c r="F1914" s="2" t="s">
        <v>3134</v>
      </c>
      <c r="G1914" s="2" t="s">
        <v>2665</v>
      </c>
      <c r="H1914" s="2" t="s">
        <v>380</v>
      </c>
      <c r="I1914" s="2">
        <v>8</v>
      </c>
      <c r="J1914" s="2" t="s">
        <v>14</v>
      </c>
      <c r="K1914" s="2" t="s">
        <v>215</v>
      </c>
      <c r="L1914" s="2" t="s">
        <v>215</v>
      </c>
      <c r="M1914" s="2" t="s">
        <v>875</v>
      </c>
      <c r="N1914" s="2" t="s">
        <v>616</v>
      </c>
      <c r="O1914" s="2" t="s">
        <v>21</v>
      </c>
      <c r="P1914" s="2" t="s">
        <v>206</v>
      </c>
      <c r="Q1914" s="2" t="s">
        <v>400</v>
      </c>
      <c r="R1914" s="2">
        <v>2</v>
      </c>
      <c r="S1914" s="2">
        <v>38596.910000000003</v>
      </c>
      <c r="T1914" s="2">
        <v>30</v>
      </c>
      <c r="U1914" s="2">
        <v>54035.67</v>
      </c>
      <c r="V1914" s="2">
        <v>26575.01</v>
      </c>
      <c r="W1914" s="2">
        <v>27460.66</v>
      </c>
      <c r="X1914" s="2">
        <v>50.82</v>
      </c>
      <c r="Y1914" s="2">
        <v>49</v>
      </c>
      <c r="Z1914" s="2" t="s">
        <v>47</v>
      </c>
      <c r="AA1914" s="2" t="s">
        <v>100</v>
      </c>
      <c r="AB1914" s="2" t="s">
        <v>101</v>
      </c>
      <c r="AC1914" s="2">
        <v>4</v>
      </c>
    </row>
    <row r="1915" spans="1:29" x14ac:dyDescent="0.3">
      <c r="A1915" s="3" t="s">
        <v>8526</v>
      </c>
      <c r="B1915" s="3" t="s">
        <v>8527</v>
      </c>
      <c r="C1915" s="3" t="s">
        <v>1885</v>
      </c>
      <c r="D1915" s="3" t="s">
        <v>8528</v>
      </c>
      <c r="E1915" s="3" t="s">
        <v>26</v>
      </c>
      <c r="F1915" s="3" t="s">
        <v>735</v>
      </c>
      <c r="G1915" s="3" t="s">
        <v>2259</v>
      </c>
      <c r="H1915" s="3" t="s">
        <v>737</v>
      </c>
      <c r="I1915" s="3">
        <v>6</v>
      </c>
      <c r="J1915" s="3" t="s">
        <v>22</v>
      </c>
      <c r="K1915" s="3" t="s">
        <v>443</v>
      </c>
      <c r="L1915" s="3" t="s">
        <v>567</v>
      </c>
      <c r="M1915" s="3" t="s">
        <v>315</v>
      </c>
      <c r="N1915" s="3" t="s">
        <v>364</v>
      </c>
      <c r="O1915" s="3" t="s">
        <v>19</v>
      </c>
      <c r="P1915" s="3" t="s">
        <v>365</v>
      </c>
      <c r="Q1915" s="3" t="s">
        <v>197</v>
      </c>
      <c r="R1915" s="3">
        <v>5</v>
      </c>
      <c r="S1915" s="3">
        <v>32868.51</v>
      </c>
      <c r="T1915" s="3">
        <v>10</v>
      </c>
      <c r="U1915" s="3">
        <v>147908.29999999999</v>
      </c>
      <c r="V1915" s="3">
        <v>73762.64</v>
      </c>
      <c r="W1915" s="3">
        <v>74145.66</v>
      </c>
      <c r="X1915" s="3">
        <v>50.13</v>
      </c>
      <c r="Y1915" s="3">
        <v>149</v>
      </c>
      <c r="Z1915" s="3" t="s">
        <v>40</v>
      </c>
      <c r="AA1915" s="3" t="s">
        <v>275</v>
      </c>
      <c r="AB1915" s="3" t="s">
        <v>140</v>
      </c>
      <c r="AC1915" s="3"/>
    </row>
    <row r="1916" spans="1:29" x14ac:dyDescent="0.3">
      <c r="A1916" s="2" t="s">
        <v>8529</v>
      </c>
      <c r="B1916" s="2" t="s">
        <v>8530</v>
      </c>
      <c r="C1916" s="2" t="s">
        <v>2622</v>
      </c>
      <c r="D1916" s="2" t="s">
        <v>8531</v>
      </c>
      <c r="E1916" s="2" t="s">
        <v>42</v>
      </c>
      <c r="F1916" s="2" t="s">
        <v>3461</v>
      </c>
      <c r="G1916" s="2" t="s">
        <v>4082</v>
      </c>
      <c r="H1916" s="2" t="s">
        <v>2707</v>
      </c>
      <c r="I1916" s="2">
        <v>6</v>
      </c>
      <c r="J1916" s="2" t="s">
        <v>29</v>
      </c>
      <c r="K1916" s="2" t="s">
        <v>160</v>
      </c>
      <c r="L1916" s="2" t="s">
        <v>161</v>
      </c>
      <c r="M1916" s="2" t="s">
        <v>4624</v>
      </c>
      <c r="N1916" s="2" t="s">
        <v>583</v>
      </c>
      <c r="O1916" s="2" t="s">
        <v>19</v>
      </c>
      <c r="P1916" s="2" t="s">
        <v>447</v>
      </c>
      <c r="Q1916" s="2" t="s">
        <v>246</v>
      </c>
      <c r="R1916" s="2">
        <v>1</v>
      </c>
      <c r="S1916" s="2">
        <v>39106.31</v>
      </c>
      <c r="T1916" s="2">
        <v>25</v>
      </c>
      <c r="U1916" s="2">
        <v>29329.73</v>
      </c>
      <c r="V1916" s="2">
        <v>15683.63</v>
      </c>
      <c r="W1916" s="2">
        <v>13646.1</v>
      </c>
      <c r="X1916" s="2">
        <v>46.53</v>
      </c>
      <c r="Y1916" s="2">
        <v>0</v>
      </c>
      <c r="Z1916" s="2" t="s">
        <v>47</v>
      </c>
      <c r="AA1916" s="2" t="s">
        <v>275</v>
      </c>
      <c r="AB1916" s="2" t="s">
        <v>101</v>
      </c>
      <c r="AC1916" s="2"/>
    </row>
    <row r="1917" spans="1:29" x14ac:dyDescent="0.3">
      <c r="A1917" s="3" t="s">
        <v>8532</v>
      </c>
      <c r="B1917" s="3" t="s">
        <v>8533</v>
      </c>
      <c r="C1917" s="3" t="s">
        <v>260</v>
      </c>
      <c r="D1917" s="3" t="s">
        <v>8534</v>
      </c>
      <c r="E1917" s="3" t="s">
        <v>18</v>
      </c>
      <c r="F1917" s="3" t="s">
        <v>3505</v>
      </c>
      <c r="G1917" s="3" t="s">
        <v>4778</v>
      </c>
      <c r="H1917" s="3" t="s">
        <v>181</v>
      </c>
      <c r="I1917" s="3">
        <v>8</v>
      </c>
      <c r="J1917" s="3" t="s">
        <v>22</v>
      </c>
      <c r="K1917" s="3" t="s">
        <v>122</v>
      </c>
      <c r="L1917" s="3" t="s">
        <v>812</v>
      </c>
      <c r="M1917" s="3" t="s">
        <v>4224</v>
      </c>
      <c r="N1917" s="3" t="s">
        <v>195</v>
      </c>
      <c r="O1917" s="3" t="s">
        <v>21</v>
      </c>
      <c r="P1917" s="3" t="s">
        <v>196</v>
      </c>
      <c r="Q1917" s="3" t="s">
        <v>197</v>
      </c>
      <c r="R1917" s="3">
        <v>4</v>
      </c>
      <c r="S1917" s="3">
        <v>39237.26</v>
      </c>
      <c r="T1917" s="3">
        <v>30</v>
      </c>
      <c r="U1917" s="3">
        <v>109864.33</v>
      </c>
      <c r="V1917" s="3">
        <v>65349.1</v>
      </c>
      <c r="W1917" s="3">
        <v>44515.23</v>
      </c>
      <c r="X1917" s="3">
        <v>40.520000000000003</v>
      </c>
      <c r="Y1917" s="3">
        <v>199</v>
      </c>
      <c r="Z1917" s="3" t="s">
        <v>47</v>
      </c>
      <c r="AA1917" s="3" t="s">
        <v>100</v>
      </c>
      <c r="AB1917" s="3" t="s">
        <v>101</v>
      </c>
      <c r="AC1917" s="3">
        <v>4</v>
      </c>
    </row>
    <row r="1918" spans="1:29" x14ac:dyDescent="0.3">
      <c r="A1918" s="2" t="s">
        <v>8535</v>
      </c>
      <c r="B1918" s="2" t="s">
        <v>8204</v>
      </c>
      <c r="C1918" s="2" t="s">
        <v>1911</v>
      </c>
      <c r="D1918" s="2" t="s">
        <v>8536</v>
      </c>
      <c r="E1918" s="2" t="s">
        <v>18</v>
      </c>
      <c r="F1918" s="2" t="s">
        <v>1640</v>
      </c>
      <c r="G1918" s="2" t="s">
        <v>1354</v>
      </c>
      <c r="H1918" s="2" t="s">
        <v>4466</v>
      </c>
      <c r="I1918" s="2">
        <v>6</v>
      </c>
      <c r="J1918" s="2" t="s">
        <v>22</v>
      </c>
      <c r="K1918" s="2" t="s">
        <v>254</v>
      </c>
      <c r="L1918" s="2" t="s">
        <v>254</v>
      </c>
      <c r="M1918" s="2" t="s">
        <v>5372</v>
      </c>
      <c r="N1918" s="2" t="s">
        <v>623</v>
      </c>
      <c r="O1918" s="2" t="s">
        <v>19</v>
      </c>
      <c r="P1918" s="2" t="s">
        <v>297</v>
      </c>
      <c r="Q1918" s="2" t="s">
        <v>114</v>
      </c>
      <c r="R1918" s="2">
        <v>3</v>
      </c>
      <c r="S1918" s="2">
        <v>46280.33</v>
      </c>
      <c r="T1918" s="2">
        <v>25</v>
      </c>
      <c r="U1918" s="2">
        <v>104130.74</v>
      </c>
      <c r="V1918" s="2">
        <v>61139.18</v>
      </c>
      <c r="W1918" s="2">
        <v>42991.56</v>
      </c>
      <c r="X1918" s="2">
        <v>41.29</v>
      </c>
      <c r="Y1918" s="2">
        <v>0</v>
      </c>
      <c r="Z1918" s="2" t="s">
        <v>40</v>
      </c>
      <c r="AA1918" s="2" t="s">
        <v>100</v>
      </c>
      <c r="AB1918" s="2" t="s">
        <v>101</v>
      </c>
      <c r="AC1918" s="2"/>
    </row>
    <row r="1919" spans="1:29" x14ac:dyDescent="0.3">
      <c r="A1919" s="3" t="s">
        <v>8537</v>
      </c>
      <c r="B1919" s="3" t="s">
        <v>8129</v>
      </c>
      <c r="C1919" s="3" t="s">
        <v>1861</v>
      </c>
      <c r="D1919" s="3" t="s">
        <v>8538</v>
      </c>
      <c r="E1919" s="3" t="s">
        <v>42</v>
      </c>
      <c r="F1919" s="3" t="s">
        <v>1488</v>
      </c>
      <c r="G1919" s="3" t="s">
        <v>1977</v>
      </c>
      <c r="H1919" s="3" t="s">
        <v>5191</v>
      </c>
      <c r="I1919" s="3">
        <v>8</v>
      </c>
      <c r="J1919" s="3" t="s">
        <v>22</v>
      </c>
      <c r="K1919" s="3" t="s">
        <v>443</v>
      </c>
      <c r="L1919" s="3" t="s">
        <v>444</v>
      </c>
      <c r="M1919" s="3" t="s">
        <v>295</v>
      </c>
      <c r="N1919" s="3" t="s">
        <v>616</v>
      </c>
      <c r="O1919" s="3" t="s">
        <v>21</v>
      </c>
      <c r="P1919" s="3" t="s">
        <v>206</v>
      </c>
      <c r="Q1919" s="3" t="s">
        <v>207</v>
      </c>
      <c r="R1919" s="3">
        <v>3</v>
      </c>
      <c r="S1919" s="3">
        <v>39317.019999999997</v>
      </c>
      <c r="T1919" s="3">
        <v>15</v>
      </c>
      <c r="U1919" s="3">
        <v>100258.4</v>
      </c>
      <c r="V1919" s="3">
        <v>64348.71</v>
      </c>
      <c r="W1919" s="3">
        <v>35909.69</v>
      </c>
      <c r="X1919" s="3">
        <v>35.82</v>
      </c>
      <c r="Y1919" s="3">
        <v>29</v>
      </c>
      <c r="Z1919" s="3" t="s">
        <v>15</v>
      </c>
      <c r="AA1919" s="3" t="s">
        <v>100</v>
      </c>
      <c r="AB1919" s="3" t="s">
        <v>101</v>
      </c>
      <c r="AC1919" s="3">
        <v>4</v>
      </c>
    </row>
    <row r="1920" spans="1:29" x14ac:dyDescent="0.3">
      <c r="A1920" s="2" t="s">
        <v>8539</v>
      </c>
      <c r="B1920" s="2" t="s">
        <v>8540</v>
      </c>
      <c r="C1920" s="2" t="s">
        <v>1097</v>
      </c>
      <c r="D1920" s="2" t="s">
        <v>8541</v>
      </c>
      <c r="E1920" s="2" t="s">
        <v>42</v>
      </c>
      <c r="F1920" s="2" t="s">
        <v>3597</v>
      </c>
      <c r="G1920" s="2" t="s">
        <v>676</v>
      </c>
      <c r="H1920" s="2" t="s">
        <v>1547</v>
      </c>
      <c r="I1920" s="2">
        <v>5</v>
      </c>
      <c r="J1920" s="2" t="s">
        <v>22</v>
      </c>
      <c r="K1920" s="2" t="s">
        <v>443</v>
      </c>
      <c r="L1920" s="2" t="s">
        <v>444</v>
      </c>
      <c r="M1920" s="2" t="s">
        <v>8542</v>
      </c>
      <c r="N1920" s="2" t="s">
        <v>924</v>
      </c>
      <c r="O1920" s="2" t="s">
        <v>13</v>
      </c>
      <c r="P1920" s="2" t="s">
        <v>228</v>
      </c>
      <c r="Q1920" s="2" t="s">
        <v>466</v>
      </c>
      <c r="R1920" s="2">
        <v>2</v>
      </c>
      <c r="S1920" s="2">
        <v>18709.740000000002</v>
      </c>
      <c r="T1920" s="2">
        <v>25</v>
      </c>
      <c r="U1920" s="2">
        <v>28064.61</v>
      </c>
      <c r="V1920" s="2">
        <v>15906.46</v>
      </c>
      <c r="W1920" s="2">
        <v>12158.15</v>
      </c>
      <c r="X1920" s="2">
        <v>43.32</v>
      </c>
      <c r="Y1920" s="2">
        <v>199</v>
      </c>
      <c r="Z1920" s="2" t="s">
        <v>15</v>
      </c>
      <c r="AA1920" s="2" t="s">
        <v>100</v>
      </c>
      <c r="AB1920" s="2" t="s">
        <v>101</v>
      </c>
      <c r="AC1920" s="2"/>
    </row>
    <row r="1921" spans="1:29" x14ac:dyDescent="0.3">
      <c r="A1921" s="3" t="s">
        <v>8543</v>
      </c>
      <c r="B1921" s="3" t="s">
        <v>8544</v>
      </c>
      <c r="C1921" s="3" t="s">
        <v>450</v>
      </c>
      <c r="D1921" s="3" t="s">
        <v>8545</v>
      </c>
      <c r="E1921" s="3" t="s">
        <v>18</v>
      </c>
      <c r="F1921" s="3" t="s">
        <v>6667</v>
      </c>
      <c r="G1921" s="3" t="s">
        <v>3872</v>
      </c>
      <c r="H1921" s="3" t="s">
        <v>3877</v>
      </c>
      <c r="I1921" s="3">
        <v>2</v>
      </c>
      <c r="J1921" s="3" t="s">
        <v>14</v>
      </c>
      <c r="K1921" s="3" t="s">
        <v>95</v>
      </c>
      <c r="L1921" s="3" t="s">
        <v>95</v>
      </c>
      <c r="M1921" s="3" t="s">
        <v>3247</v>
      </c>
      <c r="N1921" s="3" t="s">
        <v>399</v>
      </c>
      <c r="O1921" s="3" t="s">
        <v>21</v>
      </c>
      <c r="P1921" s="3" t="s">
        <v>196</v>
      </c>
      <c r="Q1921" s="3" t="s">
        <v>355</v>
      </c>
      <c r="R1921" s="3">
        <v>1</v>
      </c>
      <c r="S1921" s="3">
        <v>17188.439999999999</v>
      </c>
      <c r="T1921" s="3">
        <v>20</v>
      </c>
      <c r="U1921" s="3">
        <v>13750.75</v>
      </c>
      <c r="V1921" s="3">
        <v>8227.4500000000007</v>
      </c>
      <c r="W1921" s="3">
        <v>5523.3</v>
      </c>
      <c r="X1921" s="3">
        <v>40.17</v>
      </c>
      <c r="Y1921" s="3">
        <v>29</v>
      </c>
      <c r="Z1921" s="3" t="s">
        <v>40</v>
      </c>
      <c r="AA1921" s="3" t="s">
        <v>100</v>
      </c>
      <c r="AB1921" s="3" t="s">
        <v>101</v>
      </c>
      <c r="AC1921" s="3">
        <v>5</v>
      </c>
    </row>
    <row r="1922" spans="1:29" x14ac:dyDescent="0.3">
      <c r="A1922" s="2" t="s">
        <v>8546</v>
      </c>
      <c r="B1922" s="2" t="s">
        <v>8547</v>
      </c>
      <c r="C1922" s="2" t="s">
        <v>1395</v>
      </c>
      <c r="D1922" s="2" t="s">
        <v>8548</v>
      </c>
      <c r="E1922" s="2" t="s">
        <v>33</v>
      </c>
      <c r="F1922" s="2" t="s">
        <v>312</v>
      </c>
      <c r="G1922" s="2" t="s">
        <v>3850</v>
      </c>
      <c r="H1922" s="2" t="s">
        <v>436</v>
      </c>
      <c r="I1922" s="2">
        <v>8</v>
      </c>
      <c r="J1922" s="2" t="s">
        <v>14</v>
      </c>
      <c r="K1922" s="2" t="s">
        <v>215</v>
      </c>
      <c r="L1922" s="2" t="s">
        <v>215</v>
      </c>
      <c r="M1922" s="2" t="s">
        <v>8549</v>
      </c>
      <c r="N1922" s="2" t="s">
        <v>508</v>
      </c>
      <c r="O1922" s="2" t="s">
        <v>19</v>
      </c>
      <c r="P1922" s="2" t="s">
        <v>365</v>
      </c>
      <c r="Q1922" s="2" t="s">
        <v>197</v>
      </c>
      <c r="R1922" s="2">
        <v>1</v>
      </c>
      <c r="S1922" s="2">
        <v>4001.83</v>
      </c>
      <c r="T1922" s="2">
        <v>30</v>
      </c>
      <c r="U1922" s="2">
        <v>2801.28</v>
      </c>
      <c r="V1922" s="2">
        <v>1801</v>
      </c>
      <c r="W1922" s="2">
        <v>1000.28</v>
      </c>
      <c r="X1922" s="2">
        <v>35.71</v>
      </c>
      <c r="Y1922" s="2">
        <v>99</v>
      </c>
      <c r="Z1922" s="2" t="s">
        <v>23</v>
      </c>
      <c r="AA1922" s="2" t="s">
        <v>100</v>
      </c>
      <c r="AB1922" s="2" t="s">
        <v>101</v>
      </c>
      <c r="AC1922" s="2">
        <v>2</v>
      </c>
    </row>
    <row r="1923" spans="1:29" x14ac:dyDescent="0.3">
      <c r="A1923" s="3" t="s">
        <v>8550</v>
      </c>
      <c r="B1923" s="3" t="s">
        <v>8551</v>
      </c>
      <c r="C1923" s="3" t="s">
        <v>2651</v>
      </c>
      <c r="D1923" s="3" t="s">
        <v>8552</v>
      </c>
      <c r="E1923" s="3" t="s">
        <v>26</v>
      </c>
      <c r="F1923" s="3" t="s">
        <v>2685</v>
      </c>
      <c r="G1923" s="3" t="s">
        <v>4453</v>
      </c>
      <c r="H1923" s="3" t="s">
        <v>3394</v>
      </c>
      <c r="I1923" s="3">
        <v>2</v>
      </c>
      <c r="J1923" s="3" t="s">
        <v>14</v>
      </c>
      <c r="K1923" s="3" t="s">
        <v>183</v>
      </c>
      <c r="L1923" s="3" t="s">
        <v>183</v>
      </c>
      <c r="M1923" s="3" t="s">
        <v>8209</v>
      </c>
      <c r="N1923" s="3" t="s">
        <v>1223</v>
      </c>
      <c r="O1923" s="3" t="s">
        <v>19</v>
      </c>
      <c r="P1923" s="3" t="s">
        <v>447</v>
      </c>
      <c r="Q1923" s="3" t="s">
        <v>197</v>
      </c>
      <c r="R1923" s="3">
        <v>1</v>
      </c>
      <c r="S1923" s="3">
        <v>17555.46</v>
      </c>
      <c r="T1923" s="3">
        <v>10</v>
      </c>
      <c r="U1923" s="3">
        <v>15799.91</v>
      </c>
      <c r="V1923" s="3">
        <v>11010.04</v>
      </c>
      <c r="W1923" s="3">
        <v>4789.87</v>
      </c>
      <c r="X1923" s="3">
        <v>30.32</v>
      </c>
      <c r="Y1923" s="3">
        <v>49</v>
      </c>
      <c r="Z1923" s="3" t="s">
        <v>15</v>
      </c>
      <c r="AA1923" s="3" t="s">
        <v>100</v>
      </c>
      <c r="AB1923" s="3" t="s">
        <v>101</v>
      </c>
      <c r="AC1923" s="3">
        <v>2</v>
      </c>
    </row>
    <row r="1924" spans="1:29" x14ac:dyDescent="0.3">
      <c r="A1924" s="2" t="s">
        <v>8553</v>
      </c>
      <c r="B1924" s="2" t="s">
        <v>8554</v>
      </c>
      <c r="C1924" s="2" t="s">
        <v>973</v>
      </c>
      <c r="D1924" s="2" t="s">
        <v>8555</v>
      </c>
      <c r="E1924" s="2" t="s">
        <v>33</v>
      </c>
      <c r="F1924" s="2" t="s">
        <v>2660</v>
      </c>
      <c r="G1924" s="2" t="s">
        <v>3791</v>
      </c>
      <c r="H1924" s="2" t="s">
        <v>4403</v>
      </c>
      <c r="I1924" s="2">
        <v>7</v>
      </c>
      <c r="J1924" s="2" t="s">
        <v>29</v>
      </c>
      <c r="K1924" s="2" t="s">
        <v>834</v>
      </c>
      <c r="L1924" s="2" t="s">
        <v>901</v>
      </c>
      <c r="M1924" s="2" t="s">
        <v>8556</v>
      </c>
      <c r="N1924" s="2" t="s">
        <v>327</v>
      </c>
      <c r="O1924" s="2" t="s">
        <v>27</v>
      </c>
      <c r="P1924" s="2" t="s">
        <v>113</v>
      </c>
      <c r="Q1924" s="2" t="s">
        <v>152</v>
      </c>
      <c r="R1924" s="2">
        <v>2</v>
      </c>
      <c r="S1924" s="2">
        <v>18362.21</v>
      </c>
      <c r="T1924" s="2">
        <v>10</v>
      </c>
      <c r="U1924" s="2">
        <v>33051.980000000003</v>
      </c>
      <c r="V1924" s="2">
        <v>19448.580000000002</v>
      </c>
      <c r="W1924" s="2">
        <v>13603.4</v>
      </c>
      <c r="X1924" s="2">
        <v>41.16</v>
      </c>
      <c r="Y1924" s="2">
        <v>49</v>
      </c>
      <c r="Z1924" s="2" t="s">
        <v>40</v>
      </c>
      <c r="AA1924" s="2" t="s">
        <v>100</v>
      </c>
      <c r="AB1924" s="2" t="s">
        <v>101</v>
      </c>
      <c r="AC1924" s="2">
        <v>1</v>
      </c>
    </row>
    <row r="1925" spans="1:29" x14ac:dyDescent="0.3">
      <c r="A1925" s="3" t="s">
        <v>8557</v>
      </c>
      <c r="B1925" s="3" t="s">
        <v>8558</v>
      </c>
      <c r="C1925" s="3" t="s">
        <v>432</v>
      </c>
      <c r="D1925" s="3" t="s">
        <v>8559</v>
      </c>
      <c r="E1925" s="3" t="s">
        <v>18</v>
      </c>
      <c r="F1925" s="3" t="s">
        <v>2293</v>
      </c>
      <c r="G1925" s="3" t="s">
        <v>2408</v>
      </c>
      <c r="H1925" s="3" t="s">
        <v>2409</v>
      </c>
      <c r="I1925" s="3">
        <v>3</v>
      </c>
      <c r="J1925" s="3" t="s">
        <v>14</v>
      </c>
      <c r="K1925" s="3" t="s">
        <v>171</v>
      </c>
      <c r="L1925" s="3" t="s">
        <v>407</v>
      </c>
      <c r="M1925" s="3" t="s">
        <v>8560</v>
      </c>
      <c r="N1925" s="3" t="s">
        <v>631</v>
      </c>
      <c r="O1925" s="3" t="s">
        <v>19</v>
      </c>
      <c r="P1925" s="3" t="s">
        <v>297</v>
      </c>
      <c r="Q1925" s="3" t="s">
        <v>114</v>
      </c>
      <c r="R1925" s="3">
        <v>4</v>
      </c>
      <c r="S1925" s="3">
        <v>47085.31</v>
      </c>
      <c r="T1925" s="3">
        <v>20</v>
      </c>
      <c r="U1925" s="3">
        <v>150672.99</v>
      </c>
      <c r="V1925" s="3">
        <v>102376.48</v>
      </c>
      <c r="W1925" s="3">
        <v>48296.51</v>
      </c>
      <c r="X1925" s="3">
        <v>32.049999999999997</v>
      </c>
      <c r="Y1925" s="3">
        <v>199</v>
      </c>
      <c r="Z1925" s="3" t="s">
        <v>48</v>
      </c>
      <c r="AA1925" s="3" t="s">
        <v>100</v>
      </c>
      <c r="AB1925" s="3" t="s">
        <v>101</v>
      </c>
      <c r="AC1925" s="3">
        <v>1</v>
      </c>
    </row>
    <row r="1926" spans="1:29" x14ac:dyDescent="0.3">
      <c r="A1926" s="2" t="s">
        <v>8561</v>
      </c>
      <c r="B1926" s="2" t="s">
        <v>8562</v>
      </c>
      <c r="C1926" s="2" t="s">
        <v>782</v>
      </c>
      <c r="D1926" s="2" t="s">
        <v>118</v>
      </c>
      <c r="E1926" s="2" t="s">
        <v>26</v>
      </c>
      <c r="F1926" s="2" t="s">
        <v>2047</v>
      </c>
      <c r="G1926" s="2" t="s">
        <v>1435</v>
      </c>
      <c r="H1926" s="2" t="s">
        <v>1720</v>
      </c>
      <c r="I1926" s="2">
        <v>8</v>
      </c>
      <c r="J1926" s="2" t="s">
        <v>39</v>
      </c>
      <c r="K1926" s="2" t="s">
        <v>324</v>
      </c>
      <c r="L1926" s="2" t="s">
        <v>1422</v>
      </c>
      <c r="M1926" s="2" t="s">
        <v>8563</v>
      </c>
      <c r="N1926" s="2" t="s">
        <v>805</v>
      </c>
      <c r="O1926" s="2" t="s">
        <v>28</v>
      </c>
      <c r="P1926" s="2" t="s">
        <v>151</v>
      </c>
      <c r="Q1926" s="2" t="s">
        <v>355</v>
      </c>
      <c r="R1926" s="2">
        <v>3</v>
      </c>
      <c r="S1926" s="2">
        <v>5801.03</v>
      </c>
      <c r="T1926" s="2">
        <v>5</v>
      </c>
      <c r="U1926" s="2">
        <v>16532.939999999999</v>
      </c>
      <c r="V1926" s="2">
        <v>10857.42</v>
      </c>
      <c r="W1926" s="2">
        <v>5675.52</v>
      </c>
      <c r="X1926" s="2">
        <v>34.33</v>
      </c>
      <c r="Y1926" s="2">
        <v>199</v>
      </c>
      <c r="Z1926" s="2" t="s">
        <v>15</v>
      </c>
      <c r="AA1926" s="2" t="s">
        <v>100</v>
      </c>
      <c r="AB1926" s="2" t="s">
        <v>101</v>
      </c>
      <c r="AC1926" s="2">
        <v>1</v>
      </c>
    </row>
    <row r="1927" spans="1:29" x14ac:dyDescent="0.3">
      <c r="A1927" s="3" t="s">
        <v>8564</v>
      </c>
      <c r="B1927" s="3" t="s">
        <v>7272</v>
      </c>
      <c r="C1927" s="3" t="s">
        <v>4049</v>
      </c>
      <c r="D1927" s="3" t="s">
        <v>8565</v>
      </c>
      <c r="E1927" s="3" t="s">
        <v>18</v>
      </c>
      <c r="F1927" s="3" t="s">
        <v>516</v>
      </c>
      <c r="G1927" s="3" t="s">
        <v>1906</v>
      </c>
      <c r="H1927" s="3" t="s">
        <v>1907</v>
      </c>
      <c r="I1927" s="3">
        <v>8</v>
      </c>
      <c r="J1927" s="3" t="s">
        <v>39</v>
      </c>
      <c r="K1927" s="3" t="s">
        <v>193</v>
      </c>
      <c r="L1927" s="3" t="s">
        <v>193</v>
      </c>
      <c r="M1927" s="3" t="s">
        <v>8566</v>
      </c>
      <c r="N1927" s="3" t="s">
        <v>150</v>
      </c>
      <c r="O1927" s="3" t="s">
        <v>28</v>
      </c>
      <c r="P1927" s="3" t="s">
        <v>151</v>
      </c>
      <c r="Q1927" s="3" t="s">
        <v>246</v>
      </c>
      <c r="R1927" s="3">
        <v>5</v>
      </c>
      <c r="S1927" s="3">
        <v>20257.96</v>
      </c>
      <c r="T1927" s="3">
        <v>5</v>
      </c>
      <c r="U1927" s="3">
        <v>96225.31</v>
      </c>
      <c r="V1927" s="3">
        <v>66550.11</v>
      </c>
      <c r="W1927" s="3">
        <v>29675.200000000001</v>
      </c>
      <c r="X1927" s="3">
        <v>30.84</v>
      </c>
      <c r="Y1927" s="3">
        <v>49</v>
      </c>
      <c r="Z1927" s="3" t="s">
        <v>48</v>
      </c>
      <c r="AA1927" s="3" t="s">
        <v>100</v>
      </c>
      <c r="AB1927" s="3" t="s">
        <v>101</v>
      </c>
      <c r="AC1927" s="3">
        <v>1</v>
      </c>
    </row>
    <row r="1928" spans="1:29" x14ac:dyDescent="0.3">
      <c r="A1928" s="2" t="s">
        <v>8567</v>
      </c>
      <c r="B1928" s="2" t="s">
        <v>8568</v>
      </c>
      <c r="C1928" s="2" t="s">
        <v>2834</v>
      </c>
      <c r="D1928" s="2" t="s">
        <v>8569</v>
      </c>
      <c r="E1928" s="2" t="s">
        <v>18</v>
      </c>
      <c r="F1928" s="2" t="s">
        <v>3914</v>
      </c>
      <c r="G1928" s="2" t="s">
        <v>2192</v>
      </c>
      <c r="H1928" s="2" t="s">
        <v>6786</v>
      </c>
      <c r="I1928" s="2">
        <v>7</v>
      </c>
      <c r="J1928" s="2" t="s">
        <v>14</v>
      </c>
      <c r="K1928" s="2" t="s">
        <v>95</v>
      </c>
      <c r="L1928" s="2" t="s">
        <v>95</v>
      </c>
      <c r="M1928" s="2" t="s">
        <v>3480</v>
      </c>
      <c r="N1928" s="2" t="s">
        <v>399</v>
      </c>
      <c r="O1928" s="2" t="s">
        <v>21</v>
      </c>
      <c r="P1928" s="2" t="s">
        <v>196</v>
      </c>
      <c r="Q1928" s="2" t="s">
        <v>114</v>
      </c>
      <c r="R1928" s="2">
        <v>1</v>
      </c>
      <c r="S1928" s="2">
        <v>13422.45</v>
      </c>
      <c r="T1928" s="2">
        <v>5</v>
      </c>
      <c r="U1928" s="2">
        <v>12751.33</v>
      </c>
      <c r="V1928" s="2">
        <v>7054.71</v>
      </c>
      <c r="W1928" s="2">
        <v>5696.62</v>
      </c>
      <c r="X1928" s="2">
        <v>44.67</v>
      </c>
      <c r="Y1928" s="2">
        <v>199</v>
      </c>
      <c r="Z1928" s="2" t="s">
        <v>48</v>
      </c>
      <c r="AA1928" s="2" t="s">
        <v>100</v>
      </c>
      <c r="AB1928" s="2" t="s">
        <v>101</v>
      </c>
      <c r="AC1928" s="2">
        <v>2</v>
      </c>
    </row>
    <row r="1929" spans="1:29" x14ac:dyDescent="0.3">
      <c r="A1929" s="3" t="s">
        <v>8570</v>
      </c>
      <c r="B1929" s="3" t="s">
        <v>8048</v>
      </c>
      <c r="C1929" s="3" t="s">
        <v>2651</v>
      </c>
      <c r="D1929" s="3" t="s">
        <v>8571</v>
      </c>
      <c r="E1929" s="3" t="s">
        <v>42</v>
      </c>
      <c r="F1929" s="3" t="s">
        <v>3074</v>
      </c>
      <c r="G1929" s="3" t="s">
        <v>3369</v>
      </c>
      <c r="H1929" s="3" t="s">
        <v>1568</v>
      </c>
      <c r="I1929" s="3">
        <v>5</v>
      </c>
      <c r="J1929" s="3" t="s">
        <v>22</v>
      </c>
      <c r="K1929" s="3" t="s">
        <v>254</v>
      </c>
      <c r="L1929" s="3" t="s">
        <v>254</v>
      </c>
      <c r="M1929" s="3" t="s">
        <v>5261</v>
      </c>
      <c r="N1929" s="3" t="s">
        <v>125</v>
      </c>
      <c r="O1929" s="3" t="s">
        <v>21</v>
      </c>
      <c r="P1929" s="3" t="s">
        <v>126</v>
      </c>
      <c r="Q1929" s="3" t="s">
        <v>608</v>
      </c>
      <c r="R1929" s="3">
        <v>1</v>
      </c>
      <c r="S1929" s="3">
        <v>47566.98</v>
      </c>
      <c r="T1929" s="3">
        <v>5</v>
      </c>
      <c r="U1929" s="3">
        <v>45188.63</v>
      </c>
      <c r="V1929" s="3">
        <v>27488.59</v>
      </c>
      <c r="W1929" s="3">
        <v>17700.04</v>
      </c>
      <c r="X1929" s="3">
        <v>39.17</v>
      </c>
      <c r="Y1929" s="3">
        <v>0</v>
      </c>
      <c r="Z1929" s="3" t="s">
        <v>48</v>
      </c>
      <c r="AA1929" s="3" t="s">
        <v>186</v>
      </c>
      <c r="AB1929" s="3" t="s">
        <v>101</v>
      </c>
      <c r="AC1929" s="3"/>
    </row>
    <row r="1930" spans="1:29" x14ac:dyDescent="0.3">
      <c r="A1930" s="2" t="s">
        <v>8572</v>
      </c>
      <c r="B1930" s="2" t="s">
        <v>8573</v>
      </c>
      <c r="C1930" s="2" t="s">
        <v>912</v>
      </c>
      <c r="D1930" s="2" t="s">
        <v>8574</v>
      </c>
      <c r="E1930" s="2" t="s">
        <v>18</v>
      </c>
      <c r="F1930" s="2" t="s">
        <v>3957</v>
      </c>
      <c r="G1930" s="2" t="s">
        <v>4081</v>
      </c>
      <c r="H1930" s="2" t="s">
        <v>3886</v>
      </c>
      <c r="I1930" s="2">
        <v>4</v>
      </c>
      <c r="J1930" s="2" t="s">
        <v>14</v>
      </c>
      <c r="K1930" s="2" t="s">
        <v>171</v>
      </c>
      <c r="L1930" s="2" t="s">
        <v>541</v>
      </c>
      <c r="M1930" s="2" t="s">
        <v>8575</v>
      </c>
      <c r="N1930" s="2" t="s">
        <v>3017</v>
      </c>
      <c r="O1930" s="2" t="s">
        <v>13</v>
      </c>
      <c r="P1930" s="2" t="s">
        <v>419</v>
      </c>
      <c r="Q1930" s="2" t="s">
        <v>287</v>
      </c>
      <c r="R1930" s="2">
        <v>4</v>
      </c>
      <c r="S1930" s="2">
        <v>11481.16</v>
      </c>
      <c r="T1930" s="2">
        <v>20</v>
      </c>
      <c r="U1930" s="2">
        <v>36739.71</v>
      </c>
      <c r="V1930" s="2">
        <v>21670.55</v>
      </c>
      <c r="W1930" s="2">
        <v>15069.16</v>
      </c>
      <c r="X1930" s="2">
        <v>41.02</v>
      </c>
      <c r="Y1930" s="2">
        <v>29</v>
      </c>
      <c r="Z1930" s="2" t="s">
        <v>43</v>
      </c>
      <c r="AA1930" s="2" t="s">
        <v>100</v>
      </c>
      <c r="AB1930" s="2" t="s">
        <v>101</v>
      </c>
      <c r="AC1930" s="2">
        <v>5</v>
      </c>
    </row>
    <row r="1931" spans="1:29" x14ac:dyDescent="0.3">
      <c r="A1931" s="3" t="s">
        <v>8576</v>
      </c>
      <c r="B1931" s="3" t="s">
        <v>8577</v>
      </c>
      <c r="C1931" s="3" t="s">
        <v>221</v>
      </c>
      <c r="D1931" s="3" t="s">
        <v>8578</v>
      </c>
      <c r="E1931" s="3" t="s">
        <v>18</v>
      </c>
      <c r="F1931" s="3" t="s">
        <v>2868</v>
      </c>
      <c r="G1931" s="3" t="s">
        <v>4933</v>
      </c>
      <c r="H1931" s="3" t="s">
        <v>2873</v>
      </c>
      <c r="I1931" s="3">
        <v>4</v>
      </c>
      <c r="J1931" s="3" t="s">
        <v>14</v>
      </c>
      <c r="K1931" s="3" t="s">
        <v>712</v>
      </c>
      <c r="L1931" s="3" t="s">
        <v>712</v>
      </c>
      <c r="M1931" s="3" t="s">
        <v>8579</v>
      </c>
      <c r="N1931" s="3" t="s">
        <v>1535</v>
      </c>
      <c r="O1931" s="3" t="s">
        <v>13</v>
      </c>
      <c r="P1931" s="3" t="s">
        <v>98</v>
      </c>
      <c r="Q1931" s="3" t="s">
        <v>197</v>
      </c>
      <c r="R1931" s="3">
        <v>3</v>
      </c>
      <c r="S1931" s="3">
        <v>5524.95</v>
      </c>
      <c r="T1931" s="3">
        <v>5</v>
      </c>
      <c r="U1931" s="3">
        <v>15746.11</v>
      </c>
      <c r="V1931" s="3">
        <v>7497.42</v>
      </c>
      <c r="W1931" s="3">
        <v>8248.69</v>
      </c>
      <c r="X1931" s="3">
        <v>52.39</v>
      </c>
      <c r="Y1931" s="3">
        <v>149</v>
      </c>
      <c r="Z1931" s="3" t="s">
        <v>48</v>
      </c>
      <c r="AA1931" s="3" t="s">
        <v>100</v>
      </c>
      <c r="AB1931" s="3" t="s">
        <v>140</v>
      </c>
      <c r="AC1931" s="3"/>
    </row>
    <row r="1932" spans="1:29" x14ac:dyDescent="0.3">
      <c r="A1932" s="2" t="s">
        <v>8580</v>
      </c>
      <c r="B1932" s="2" t="s">
        <v>3523</v>
      </c>
      <c r="C1932" s="2" t="s">
        <v>3403</v>
      </c>
      <c r="D1932" s="2" t="s">
        <v>6688</v>
      </c>
      <c r="E1932" s="2" t="s">
        <v>18</v>
      </c>
      <c r="F1932" s="2" t="s">
        <v>3543</v>
      </c>
      <c r="G1932" s="2" t="s">
        <v>3670</v>
      </c>
      <c r="H1932" s="2" t="s">
        <v>2553</v>
      </c>
      <c r="I1932" s="2">
        <v>8</v>
      </c>
      <c r="J1932" s="2" t="s">
        <v>14</v>
      </c>
      <c r="K1932" s="2" t="s">
        <v>171</v>
      </c>
      <c r="L1932" s="2" t="s">
        <v>541</v>
      </c>
      <c r="M1932" s="2" t="s">
        <v>8581</v>
      </c>
      <c r="N1932" s="2" t="s">
        <v>889</v>
      </c>
      <c r="O1932" s="2" t="s">
        <v>27</v>
      </c>
      <c r="P1932" s="2" t="s">
        <v>257</v>
      </c>
      <c r="Q1932" s="2" t="s">
        <v>99</v>
      </c>
      <c r="R1932" s="2">
        <v>3</v>
      </c>
      <c r="S1932" s="2">
        <v>38385.230000000003</v>
      </c>
      <c r="T1932" s="2">
        <v>25</v>
      </c>
      <c r="U1932" s="2">
        <v>86366.77</v>
      </c>
      <c r="V1932" s="2">
        <v>59194.87</v>
      </c>
      <c r="W1932" s="2">
        <v>27171.9</v>
      </c>
      <c r="X1932" s="2">
        <v>31.46</v>
      </c>
      <c r="Y1932" s="2">
        <v>0</v>
      </c>
      <c r="Z1932" s="2" t="s">
        <v>23</v>
      </c>
      <c r="AA1932" s="2" t="s">
        <v>186</v>
      </c>
      <c r="AB1932" s="2" t="s">
        <v>101</v>
      </c>
      <c r="AC1932" s="2"/>
    </row>
    <row r="1933" spans="1:29" x14ac:dyDescent="0.3">
      <c r="A1933" s="3" t="s">
        <v>8582</v>
      </c>
      <c r="B1933" s="3" t="s">
        <v>4700</v>
      </c>
      <c r="C1933" s="3" t="s">
        <v>1918</v>
      </c>
      <c r="D1933" s="3" t="s">
        <v>3529</v>
      </c>
      <c r="E1933" s="3" t="s">
        <v>18</v>
      </c>
      <c r="F1933" s="3" t="s">
        <v>1539</v>
      </c>
      <c r="G1933" s="3" t="s">
        <v>2300</v>
      </c>
      <c r="H1933" s="3" t="s">
        <v>746</v>
      </c>
      <c r="I1933" s="3">
        <v>6</v>
      </c>
      <c r="J1933" s="3" t="s">
        <v>29</v>
      </c>
      <c r="K1933" s="3" t="s">
        <v>160</v>
      </c>
      <c r="L1933" s="3" t="s">
        <v>559</v>
      </c>
      <c r="M1933" s="3" t="s">
        <v>8583</v>
      </c>
      <c r="N1933" s="3" t="s">
        <v>1380</v>
      </c>
      <c r="O1933" s="3" t="s">
        <v>28</v>
      </c>
      <c r="P1933" s="3" t="s">
        <v>137</v>
      </c>
      <c r="Q1933" s="3" t="s">
        <v>99</v>
      </c>
      <c r="R1933" s="3">
        <v>1</v>
      </c>
      <c r="S1933" s="3">
        <v>34526.080000000002</v>
      </c>
      <c r="T1933" s="3">
        <v>30</v>
      </c>
      <c r="U1933" s="3">
        <v>24168.26</v>
      </c>
      <c r="V1933" s="3">
        <v>11697.2</v>
      </c>
      <c r="W1933" s="3">
        <v>12471.06</v>
      </c>
      <c r="X1933" s="3">
        <v>51.6</v>
      </c>
      <c r="Y1933" s="3">
        <v>99</v>
      </c>
      <c r="Z1933" s="3" t="s">
        <v>30</v>
      </c>
      <c r="AA1933" s="3" t="s">
        <v>186</v>
      </c>
      <c r="AB1933" s="3" t="s">
        <v>101</v>
      </c>
      <c r="AC1933" s="3"/>
    </row>
    <row r="1934" spans="1:29" x14ac:dyDescent="0.3">
      <c r="A1934" s="2" t="s">
        <v>8584</v>
      </c>
      <c r="B1934" s="2" t="s">
        <v>8585</v>
      </c>
      <c r="C1934" s="2" t="s">
        <v>1131</v>
      </c>
      <c r="D1934" s="2" t="s">
        <v>8586</v>
      </c>
      <c r="E1934" s="2" t="s">
        <v>18</v>
      </c>
      <c r="F1934" s="2" t="s">
        <v>4218</v>
      </c>
      <c r="G1934" s="2" t="s">
        <v>4486</v>
      </c>
      <c r="H1934" s="2" t="s">
        <v>4487</v>
      </c>
      <c r="I1934" s="2">
        <v>2</v>
      </c>
      <c r="J1934" s="2" t="s">
        <v>22</v>
      </c>
      <c r="K1934" s="2" t="s">
        <v>283</v>
      </c>
      <c r="L1934" s="2" t="s">
        <v>1346</v>
      </c>
      <c r="M1934" s="2" t="s">
        <v>8587</v>
      </c>
      <c r="N1934" s="2" t="s">
        <v>316</v>
      </c>
      <c r="O1934" s="2" t="s">
        <v>28</v>
      </c>
      <c r="P1934" s="2" t="s">
        <v>137</v>
      </c>
      <c r="Q1934" s="2" t="s">
        <v>466</v>
      </c>
      <c r="R1934" s="2">
        <v>4</v>
      </c>
      <c r="S1934" s="2">
        <v>28386.06</v>
      </c>
      <c r="T1934" s="2">
        <v>30</v>
      </c>
      <c r="U1934" s="2">
        <v>79480.97</v>
      </c>
      <c r="V1934" s="2">
        <v>49872.55</v>
      </c>
      <c r="W1934" s="2">
        <v>29608.42</v>
      </c>
      <c r="X1934" s="2">
        <v>37.25</v>
      </c>
      <c r="Y1934" s="2">
        <v>49</v>
      </c>
      <c r="Z1934" s="2" t="s">
        <v>30</v>
      </c>
      <c r="AA1934" s="2" t="s">
        <v>100</v>
      </c>
      <c r="AB1934" s="2" t="s">
        <v>101</v>
      </c>
      <c r="AC1934" s="2">
        <v>4</v>
      </c>
    </row>
    <row r="1935" spans="1:29" x14ac:dyDescent="0.3">
      <c r="A1935" s="3" t="s">
        <v>8588</v>
      </c>
      <c r="B1935" s="3" t="s">
        <v>8589</v>
      </c>
      <c r="C1935" s="3" t="s">
        <v>319</v>
      </c>
      <c r="D1935" s="3" t="s">
        <v>8590</v>
      </c>
      <c r="E1935" s="3" t="s">
        <v>33</v>
      </c>
      <c r="F1935" s="3" t="s">
        <v>3797</v>
      </c>
      <c r="G1935" s="3" t="s">
        <v>1453</v>
      </c>
      <c r="H1935" s="3" t="s">
        <v>948</v>
      </c>
      <c r="I1935" s="3">
        <v>8</v>
      </c>
      <c r="J1935" s="3" t="s">
        <v>22</v>
      </c>
      <c r="K1935" s="3" t="s">
        <v>443</v>
      </c>
      <c r="L1935" s="3" t="s">
        <v>567</v>
      </c>
      <c r="M1935" s="3" t="s">
        <v>8591</v>
      </c>
      <c r="N1935" s="3" t="s">
        <v>399</v>
      </c>
      <c r="O1935" s="3" t="s">
        <v>21</v>
      </c>
      <c r="P1935" s="3" t="s">
        <v>196</v>
      </c>
      <c r="Q1935" s="3" t="s">
        <v>138</v>
      </c>
      <c r="R1935" s="3">
        <v>2</v>
      </c>
      <c r="S1935" s="3">
        <v>19924.53</v>
      </c>
      <c r="T1935" s="3">
        <v>25</v>
      </c>
      <c r="U1935" s="3">
        <v>29886.79</v>
      </c>
      <c r="V1935" s="3">
        <v>15893</v>
      </c>
      <c r="W1935" s="3">
        <v>13993.79</v>
      </c>
      <c r="X1935" s="3">
        <v>46.82</v>
      </c>
      <c r="Y1935" s="3">
        <v>199</v>
      </c>
      <c r="Z1935" s="3" t="s">
        <v>47</v>
      </c>
      <c r="AA1935" s="3" t="s">
        <v>275</v>
      </c>
      <c r="AB1935" s="3" t="s">
        <v>101</v>
      </c>
      <c r="AC1935" s="3"/>
    </row>
    <row r="1936" spans="1:29" x14ac:dyDescent="0.3">
      <c r="A1936" s="2" t="s">
        <v>8592</v>
      </c>
      <c r="B1936" s="2" t="s">
        <v>8593</v>
      </c>
      <c r="C1936" s="2" t="s">
        <v>642</v>
      </c>
      <c r="D1936" s="2" t="s">
        <v>8594</v>
      </c>
      <c r="E1936" s="2" t="s">
        <v>42</v>
      </c>
      <c r="F1936" s="2" t="s">
        <v>4543</v>
      </c>
      <c r="G1936" s="2" t="s">
        <v>2666</v>
      </c>
      <c r="H1936" s="2" t="s">
        <v>7031</v>
      </c>
      <c r="I1936" s="2">
        <v>7</v>
      </c>
      <c r="J1936" s="2" t="s">
        <v>39</v>
      </c>
      <c r="K1936" s="2" t="s">
        <v>324</v>
      </c>
      <c r="L1936" s="2" t="s">
        <v>1422</v>
      </c>
      <c r="M1936" s="2" t="s">
        <v>8595</v>
      </c>
      <c r="N1936" s="2" t="s">
        <v>1051</v>
      </c>
      <c r="O1936" s="2" t="s">
        <v>28</v>
      </c>
      <c r="P1936" s="2" t="s">
        <v>151</v>
      </c>
      <c r="Q1936" s="2" t="s">
        <v>509</v>
      </c>
      <c r="R1936" s="2">
        <v>3</v>
      </c>
      <c r="S1936" s="2">
        <v>20784.75</v>
      </c>
      <c r="T1936" s="2">
        <v>15</v>
      </c>
      <c r="U1936" s="2">
        <v>53001.11</v>
      </c>
      <c r="V1936" s="2">
        <v>33179.53</v>
      </c>
      <c r="W1936" s="2">
        <v>19821.580000000002</v>
      </c>
      <c r="X1936" s="2">
        <v>37.4</v>
      </c>
      <c r="Y1936" s="2">
        <v>149</v>
      </c>
      <c r="Z1936" s="2" t="s">
        <v>48</v>
      </c>
      <c r="AA1936" s="2" t="s">
        <v>275</v>
      </c>
      <c r="AB1936" s="2" t="s">
        <v>101</v>
      </c>
      <c r="AC1936" s="2"/>
    </row>
    <row r="1937" spans="1:29" x14ac:dyDescent="0.3">
      <c r="A1937" s="3" t="s">
        <v>8596</v>
      </c>
      <c r="B1937" s="3" t="s">
        <v>4048</v>
      </c>
      <c r="C1937" s="3" t="s">
        <v>1131</v>
      </c>
      <c r="D1937" s="3" t="s">
        <v>8597</v>
      </c>
      <c r="E1937" s="3" t="s">
        <v>18</v>
      </c>
      <c r="F1937" s="3" t="s">
        <v>426</v>
      </c>
      <c r="G1937" s="3" t="s">
        <v>1219</v>
      </c>
      <c r="H1937" s="3" t="s">
        <v>1221</v>
      </c>
      <c r="I1937" s="3">
        <v>6</v>
      </c>
      <c r="J1937" s="3" t="s">
        <v>22</v>
      </c>
      <c r="K1937" s="3" t="s">
        <v>738</v>
      </c>
      <c r="L1937" s="3" t="s">
        <v>738</v>
      </c>
      <c r="M1937" s="3" t="s">
        <v>8598</v>
      </c>
      <c r="N1937" s="3" t="s">
        <v>438</v>
      </c>
      <c r="O1937" s="3" t="s">
        <v>13</v>
      </c>
      <c r="P1937" s="3" t="s">
        <v>228</v>
      </c>
      <c r="Q1937" s="3" t="s">
        <v>509</v>
      </c>
      <c r="R1937" s="3">
        <v>3</v>
      </c>
      <c r="S1937" s="3">
        <v>6984.24</v>
      </c>
      <c r="T1937" s="3">
        <v>30</v>
      </c>
      <c r="U1937" s="3">
        <v>14666.9</v>
      </c>
      <c r="V1937" s="3">
        <v>10191.91</v>
      </c>
      <c r="W1937" s="3">
        <v>4474.99</v>
      </c>
      <c r="X1937" s="3">
        <v>30.51</v>
      </c>
      <c r="Y1937" s="3">
        <v>149</v>
      </c>
      <c r="Z1937" s="3" t="s">
        <v>47</v>
      </c>
      <c r="AA1937" s="3" t="s">
        <v>186</v>
      </c>
      <c r="AB1937" s="3" t="s">
        <v>101</v>
      </c>
      <c r="AC1937" s="3"/>
    </row>
    <row r="1938" spans="1:29" x14ac:dyDescent="0.3">
      <c r="A1938" s="2" t="s">
        <v>8599</v>
      </c>
      <c r="B1938" s="2" t="s">
        <v>8600</v>
      </c>
      <c r="C1938" s="2" t="s">
        <v>816</v>
      </c>
      <c r="D1938" s="2" t="s">
        <v>8601</v>
      </c>
      <c r="E1938" s="2" t="s">
        <v>18</v>
      </c>
      <c r="F1938" s="2" t="s">
        <v>1206</v>
      </c>
      <c r="G1938" s="2" t="s">
        <v>598</v>
      </c>
      <c r="H1938" s="2" t="s">
        <v>4895</v>
      </c>
      <c r="I1938" s="2">
        <v>2</v>
      </c>
      <c r="J1938" s="2" t="s">
        <v>29</v>
      </c>
      <c r="K1938" s="2" t="s">
        <v>148</v>
      </c>
      <c r="L1938" s="2" t="s">
        <v>148</v>
      </c>
      <c r="M1938" s="2" t="s">
        <v>2350</v>
      </c>
      <c r="N1938" s="2" t="s">
        <v>112</v>
      </c>
      <c r="O1938" s="2" t="s">
        <v>27</v>
      </c>
      <c r="P1938" s="2" t="s">
        <v>113</v>
      </c>
      <c r="Q1938" s="2" t="s">
        <v>466</v>
      </c>
      <c r="R1938" s="2">
        <v>2</v>
      </c>
      <c r="S1938" s="2">
        <v>24829.46</v>
      </c>
      <c r="T1938" s="2">
        <v>30</v>
      </c>
      <c r="U1938" s="2">
        <v>34761.24</v>
      </c>
      <c r="V1938" s="2">
        <v>21804.2</v>
      </c>
      <c r="W1938" s="2">
        <v>12957.04</v>
      </c>
      <c r="X1938" s="2">
        <v>37.270000000000003</v>
      </c>
      <c r="Y1938" s="2">
        <v>99</v>
      </c>
      <c r="Z1938" s="2" t="s">
        <v>23</v>
      </c>
      <c r="AA1938" s="2" t="s">
        <v>100</v>
      </c>
      <c r="AB1938" s="2" t="s">
        <v>101</v>
      </c>
      <c r="AC1938" s="2">
        <v>1</v>
      </c>
    </row>
    <row r="1939" spans="1:29" x14ac:dyDescent="0.3">
      <c r="A1939" s="3" t="s">
        <v>8602</v>
      </c>
      <c r="B1939" s="3" t="s">
        <v>8603</v>
      </c>
      <c r="C1939" s="3" t="s">
        <v>478</v>
      </c>
      <c r="D1939" s="3" t="s">
        <v>8604</v>
      </c>
      <c r="E1939" s="3" t="s">
        <v>33</v>
      </c>
      <c r="F1939" s="3" t="s">
        <v>5295</v>
      </c>
      <c r="G1939" s="3" t="s">
        <v>1212</v>
      </c>
      <c r="H1939" s="3" t="s">
        <v>1945</v>
      </c>
      <c r="I1939" s="3">
        <v>4</v>
      </c>
      <c r="J1939" s="3" t="s">
        <v>22</v>
      </c>
      <c r="K1939" s="3" t="s">
        <v>283</v>
      </c>
      <c r="L1939" s="3" t="s">
        <v>1346</v>
      </c>
      <c r="M1939" s="3" t="s">
        <v>8605</v>
      </c>
      <c r="N1939" s="3" t="s">
        <v>3017</v>
      </c>
      <c r="O1939" s="3" t="s">
        <v>13</v>
      </c>
      <c r="P1939" s="3" t="s">
        <v>419</v>
      </c>
      <c r="Q1939" s="3" t="s">
        <v>355</v>
      </c>
      <c r="R1939" s="3">
        <v>4</v>
      </c>
      <c r="S1939" s="3">
        <v>2760.23</v>
      </c>
      <c r="T1939" s="3">
        <v>20</v>
      </c>
      <c r="U1939" s="3">
        <v>8832.74</v>
      </c>
      <c r="V1939" s="3">
        <v>4465.7</v>
      </c>
      <c r="W1939" s="3">
        <v>4367.04</v>
      </c>
      <c r="X1939" s="3">
        <v>49.44</v>
      </c>
      <c r="Y1939" s="3">
        <v>199</v>
      </c>
      <c r="Z1939" s="3" t="s">
        <v>23</v>
      </c>
      <c r="AA1939" s="3" t="s">
        <v>100</v>
      </c>
      <c r="AB1939" s="3" t="s">
        <v>140</v>
      </c>
      <c r="AC1939" s="3">
        <v>2</v>
      </c>
    </row>
    <row r="1940" spans="1:29" x14ac:dyDescent="0.3">
      <c r="A1940" s="2" t="s">
        <v>8606</v>
      </c>
      <c r="B1940" s="2" t="s">
        <v>4654</v>
      </c>
      <c r="C1940" s="2" t="s">
        <v>4068</v>
      </c>
      <c r="D1940" s="2" t="s">
        <v>8607</v>
      </c>
      <c r="E1940" s="2" t="s">
        <v>33</v>
      </c>
      <c r="F1940" s="2" t="s">
        <v>6962</v>
      </c>
      <c r="G1940" s="2" t="s">
        <v>654</v>
      </c>
      <c r="H1940" s="2" t="s">
        <v>2168</v>
      </c>
      <c r="I1940" s="2">
        <v>2</v>
      </c>
      <c r="J1940" s="2" t="s">
        <v>29</v>
      </c>
      <c r="K1940" s="2" t="s">
        <v>334</v>
      </c>
      <c r="L1940" s="2" t="s">
        <v>1073</v>
      </c>
      <c r="M1940" s="2" t="s">
        <v>8608</v>
      </c>
      <c r="N1940" s="2" t="s">
        <v>533</v>
      </c>
      <c r="O1940" s="2" t="s">
        <v>19</v>
      </c>
      <c r="P1940" s="2" t="s">
        <v>297</v>
      </c>
      <c r="Q1940" s="2" t="s">
        <v>355</v>
      </c>
      <c r="R1940" s="2">
        <v>2</v>
      </c>
      <c r="S1940" s="2">
        <v>9877.18</v>
      </c>
      <c r="T1940" s="2">
        <v>30</v>
      </c>
      <c r="U1940" s="2">
        <v>13828.05</v>
      </c>
      <c r="V1940" s="2">
        <v>8431.61</v>
      </c>
      <c r="W1940" s="2">
        <v>5396.44</v>
      </c>
      <c r="X1940" s="2">
        <v>39.03</v>
      </c>
      <c r="Y1940" s="2">
        <v>199</v>
      </c>
      <c r="Z1940" s="2" t="s">
        <v>23</v>
      </c>
      <c r="AA1940" s="2" t="s">
        <v>100</v>
      </c>
      <c r="AB1940" s="2" t="s">
        <v>101</v>
      </c>
      <c r="AC1940" s="2">
        <v>4</v>
      </c>
    </row>
    <row r="1941" spans="1:29" x14ac:dyDescent="0.3">
      <c r="A1941" s="3" t="s">
        <v>8609</v>
      </c>
      <c r="B1941" s="3" t="s">
        <v>8610</v>
      </c>
      <c r="C1941" s="3" t="s">
        <v>1335</v>
      </c>
      <c r="D1941" s="3" t="s">
        <v>8611</v>
      </c>
      <c r="E1941" s="3" t="s">
        <v>18</v>
      </c>
      <c r="F1941" s="3" t="s">
        <v>1568</v>
      </c>
      <c r="G1941" s="3" t="s">
        <v>2402</v>
      </c>
      <c r="H1941" s="3" t="s">
        <v>323</v>
      </c>
      <c r="I1941" s="3">
        <v>2</v>
      </c>
      <c r="J1941" s="3" t="s">
        <v>39</v>
      </c>
      <c r="K1941" s="3" t="s">
        <v>193</v>
      </c>
      <c r="L1941" s="3" t="s">
        <v>193</v>
      </c>
      <c r="M1941" s="3" t="s">
        <v>8612</v>
      </c>
      <c r="N1941" s="3" t="s">
        <v>296</v>
      </c>
      <c r="O1941" s="3" t="s">
        <v>19</v>
      </c>
      <c r="P1941" s="3" t="s">
        <v>297</v>
      </c>
      <c r="Q1941" s="3" t="s">
        <v>246</v>
      </c>
      <c r="R1941" s="3">
        <v>3</v>
      </c>
      <c r="S1941" s="3">
        <v>49255.65</v>
      </c>
      <c r="T1941" s="3">
        <v>30</v>
      </c>
      <c r="U1941" s="3">
        <v>103436.87</v>
      </c>
      <c r="V1941" s="3">
        <v>67085.23</v>
      </c>
      <c r="W1941" s="3">
        <v>36351.64</v>
      </c>
      <c r="X1941" s="3">
        <v>35.14</v>
      </c>
      <c r="Y1941" s="3">
        <v>99</v>
      </c>
      <c r="Z1941" s="3" t="s">
        <v>43</v>
      </c>
      <c r="AA1941" s="3" t="s">
        <v>100</v>
      </c>
      <c r="AB1941" s="3" t="s">
        <v>101</v>
      </c>
      <c r="AC1941" s="3"/>
    </row>
    <row r="1942" spans="1:29" x14ac:dyDescent="0.3">
      <c r="A1942" s="2" t="s">
        <v>8613</v>
      </c>
      <c r="B1942" s="2" t="s">
        <v>6239</v>
      </c>
      <c r="C1942" s="2" t="s">
        <v>554</v>
      </c>
      <c r="D1942" s="2" t="s">
        <v>8614</v>
      </c>
      <c r="E1942" s="2" t="s">
        <v>42</v>
      </c>
      <c r="F1942" s="2" t="s">
        <v>1585</v>
      </c>
      <c r="G1942" s="2" t="s">
        <v>1856</v>
      </c>
      <c r="H1942" s="2" t="s">
        <v>3825</v>
      </c>
      <c r="I1942" s="2">
        <v>6</v>
      </c>
      <c r="J1942" s="2" t="s">
        <v>39</v>
      </c>
      <c r="K1942" s="2" t="s">
        <v>314</v>
      </c>
      <c r="L1942" s="2" t="s">
        <v>314</v>
      </c>
      <c r="M1942" s="2" t="s">
        <v>8595</v>
      </c>
      <c r="N1942" s="2" t="s">
        <v>788</v>
      </c>
      <c r="O1942" s="2" t="s">
        <v>27</v>
      </c>
      <c r="P1942" s="2" t="s">
        <v>113</v>
      </c>
      <c r="Q1942" s="2" t="s">
        <v>287</v>
      </c>
      <c r="R1942" s="2">
        <v>2</v>
      </c>
      <c r="S1942" s="2">
        <v>14499.67</v>
      </c>
      <c r="T1942" s="2">
        <v>25</v>
      </c>
      <c r="U1942" s="2">
        <v>21749.51</v>
      </c>
      <c r="V1942" s="2">
        <v>11988.84</v>
      </c>
      <c r="W1942" s="2">
        <v>9760.67</v>
      </c>
      <c r="X1942" s="2">
        <v>44.88</v>
      </c>
      <c r="Y1942" s="2">
        <v>149</v>
      </c>
      <c r="Z1942" s="2" t="s">
        <v>15</v>
      </c>
      <c r="AA1942" s="2" t="s">
        <v>100</v>
      </c>
      <c r="AB1942" s="2" t="s">
        <v>101</v>
      </c>
      <c r="AC1942" s="2">
        <v>5</v>
      </c>
    </row>
    <row r="1943" spans="1:29" x14ac:dyDescent="0.3">
      <c r="A1943" s="3" t="s">
        <v>8615</v>
      </c>
      <c r="B1943" s="3" t="s">
        <v>8616</v>
      </c>
      <c r="C1943" s="3" t="s">
        <v>3432</v>
      </c>
      <c r="D1943" s="3" t="s">
        <v>2275</v>
      </c>
      <c r="E1943" s="3" t="s">
        <v>18</v>
      </c>
      <c r="F1943" s="3" t="s">
        <v>2143</v>
      </c>
      <c r="G1943" s="3" t="s">
        <v>2402</v>
      </c>
      <c r="H1943" s="3" t="s">
        <v>323</v>
      </c>
      <c r="I1943" s="3">
        <v>2</v>
      </c>
      <c r="J1943" s="3" t="s">
        <v>22</v>
      </c>
      <c r="K1943" s="3" t="s">
        <v>283</v>
      </c>
      <c r="L1943" s="3" t="s">
        <v>284</v>
      </c>
      <c r="M1943" s="3" t="s">
        <v>8617</v>
      </c>
      <c r="N1943" s="3" t="s">
        <v>1380</v>
      </c>
      <c r="O1943" s="3" t="s">
        <v>28</v>
      </c>
      <c r="P1943" s="3" t="s">
        <v>137</v>
      </c>
      <c r="Q1943" s="3" t="s">
        <v>246</v>
      </c>
      <c r="R1943" s="3">
        <v>5</v>
      </c>
      <c r="S1943" s="3">
        <v>23586.38</v>
      </c>
      <c r="T1943" s="3">
        <v>5</v>
      </c>
      <c r="U1943" s="3">
        <v>112035.31</v>
      </c>
      <c r="V1943" s="3">
        <v>61761.61</v>
      </c>
      <c r="W1943" s="3">
        <v>50273.7</v>
      </c>
      <c r="X1943" s="3">
        <v>44.87</v>
      </c>
      <c r="Y1943" s="3">
        <v>99</v>
      </c>
      <c r="Z1943" s="3" t="s">
        <v>48</v>
      </c>
      <c r="AA1943" s="3" t="s">
        <v>100</v>
      </c>
      <c r="AB1943" s="3" t="s">
        <v>101</v>
      </c>
      <c r="AC1943" s="3">
        <v>5</v>
      </c>
    </row>
    <row r="1944" spans="1:29" x14ac:dyDescent="0.3">
      <c r="A1944" s="2" t="s">
        <v>8618</v>
      </c>
      <c r="B1944" s="2" t="s">
        <v>8619</v>
      </c>
      <c r="C1944" s="2" t="s">
        <v>1911</v>
      </c>
      <c r="D1944" s="2" t="s">
        <v>8620</v>
      </c>
      <c r="E1944" s="2" t="s">
        <v>18</v>
      </c>
      <c r="F1944" s="2" t="s">
        <v>2354</v>
      </c>
      <c r="G1944" s="2" t="s">
        <v>1093</v>
      </c>
      <c r="H1944" s="2" t="s">
        <v>170</v>
      </c>
      <c r="I1944" s="2">
        <v>3</v>
      </c>
      <c r="J1944" s="2" t="s">
        <v>14</v>
      </c>
      <c r="K1944" s="2" t="s">
        <v>215</v>
      </c>
      <c r="L1944" s="2" t="s">
        <v>215</v>
      </c>
      <c r="M1944" s="2" t="s">
        <v>8621</v>
      </c>
      <c r="N1944" s="2" t="s">
        <v>256</v>
      </c>
      <c r="O1944" s="2" t="s">
        <v>27</v>
      </c>
      <c r="P1944" s="2" t="s">
        <v>257</v>
      </c>
      <c r="Q1944" s="2" t="s">
        <v>218</v>
      </c>
      <c r="R1944" s="2">
        <v>2</v>
      </c>
      <c r="S1944" s="2">
        <v>9024.74</v>
      </c>
      <c r="T1944" s="2">
        <v>10</v>
      </c>
      <c r="U1944" s="2">
        <v>16244.53</v>
      </c>
      <c r="V1944" s="2">
        <v>9845.8799999999992</v>
      </c>
      <c r="W1944" s="2">
        <v>6398.65</v>
      </c>
      <c r="X1944" s="2">
        <v>39.39</v>
      </c>
      <c r="Y1944" s="2">
        <v>199</v>
      </c>
      <c r="Z1944" s="2" t="s">
        <v>47</v>
      </c>
      <c r="AA1944" s="2" t="s">
        <v>275</v>
      </c>
      <c r="AB1944" s="2" t="s">
        <v>101</v>
      </c>
      <c r="AC1944" s="2"/>
    </row>
    <row r="1945" spans="1:29" x14ac:dyDescent="0.3">
      <c r="A1945" s="3" t="s">
        <v>8622</v>
      </c>
      <c r="B1945" s="3" t="s">
        <v>8623</v>
      </c>
      <c r="C1945" s="3" t="s">
        <v>1505</v>
      </c>
      <c r="D1945" s="3" t="s">
        <v>8624</v>
      </c>
      <c r="E1945" s="3" t="s">
        <v>26</v>
      </c>
      <c r="F1945" s="3" t="s">
        <v>3919</v>
      </c>
      <c r="G1945" s="3" t="s">
        <v>2806</v>
      </c>
      <c r="H1945" s="3" t="s">
        <v>2099</v>
      </c>
      <c r="I1945" s="3">
        <v>6</v>
      </c>
      <c r="J1945" s="3" t="s">
        <v>14</v>
      </c>
      <c r="K1945" s="3" t="s">
        <v>171</v>
      </c>
      <c r="L1945" s="3" t="s">
        <v>172</v>
      </c>
      <c r="M1945" s="3" t="s">
        <v>8625</v>
      </c>
      <c r="N1945" s="3" t="s">
        <v>217</v>
      </c>
      <c r="O1945" s="3" t="s">
        <v>21</v>
      </c>
      <c r="P1945" s="3" t="s">
        <v>206</v>
      </c>
      <c r="Q1945" s="3" t="s">
        <v>509</v>
      </c>
      <c r="R1945" s="3">
        <v>2</v>
      </c>
      <c r="S1945" s="3">
        <v>8284</v>
      </c>
      <c r="T1945" s="3">
        <v>5</v>
      </c>
      <c r="U1945" s="3">
        <v>15739.6</v>
      </c>
      <c r="V1945" s="3">
        <v>9501.93</v>
      </c>
      <c r="W1945" s="3">
        <v>6237.67</v>
      </c>
      <c r="X1945" s="3">
        <v>39.630000000000003</v>
      </c>
      <c r="Y1945" s="3">
        <v>29</v>
      </c>
      <c r="Z1945" s="3" t="s">
        <v>43</v>
      </c>
      <c r="AA1945" s="3" t="s">
        <v>100</v>
      </c>
      <c r="AB1945" s="3" t="s">
        <v>101</v>
      </c>
      <c r="AC1945" s="3">
        <v>3</v>
      </c>
    </row>
    <row r="1946" spans="1:29" x14ac:dyDescent="0.3">
      <c r="A1946" s="2" t="s">
        <v>8626</v>
      </c>
      <c r="B1946" s="2" t="s">
        <v>8627</v>
      </c>
      <c r="C1946" s="2" t="s">
        <v>377</v>
      </c>
      <c r="D1946" s="2" t="s">
        <v>8628</v>
      </c>
      <c r="E1946" s="2" t="s">
        <v>42</v>
      </c>
      <c r="F1946" s="2" t="s">
        <v>1373</v>
      </c>
      <c r="G1946" s="2" t="s">
        <v>434</v>
      </c>
      <c r="H1946" s="2" t="s">
        <v>435</v>
      </c>
      <c r="I1946" s="2">
        <v>2</v>
      </c>
      <c r="J1946" s="2" t="s">
        <v>14</v>
      </c>
      <c r="K1946" s="2" t="s">
        <v>215</v>
      </c>
      <c r="L1946" s="2" t="s">
        <v>215</v>
      </c>
      <c r="M1946" s="2" t="s">
        <v>8629</v>
      </c>
      <c r="N1946" s="2" t="s">
        <v>475</v>
      </c>
      <c r="O1946" s="2" t="s">
        <v>13</v>
      </c>
      <c r="P1946" s="2" t="s">
        <v>228</v>
      </c>
      <c r="Q1946" s="2" t="s">
        <v>127</v>
      </c>
      <c r="R1946" s="2">
        <v>4</v>
      </c>
      <c r="S1946" s="2">
        <v>34093.06</v>
      </c>
      <c r="T1946" s="2">
        <v>0</v>
      </c>
      <c r="U1946" s="2">
        <v>136372.24</v>
      </c>
      <c r="V1946" s="2">
        <v>86499.83</v>
      </c>
      <c r="W1946" s="2">
        <v>49872.41</v>
      </c>
      <c r="X1946" s="2">
        <v>36.57</v>
      </c>
      <c r="Y1946" s="2">
        <v>149</v>
      </c>
      <c r="Z1946" s="2" t="s">
        <v>48</v>
      </c>
      <c r="AA1946" s="2" t="s">
        <v>100</v>
      </c>
      <c r="AB1946" s="2" t="s">
        <v>101</v>
      </c>
      <c r="AC1946" s="2">
        <v>4</v>
      </c>
    </row>
    <row r="1947" spans="1:29" x14ac:dyDescent="0.3">
      <c r="A1947" s="3" t="s">
        <v>8630</v>
      </c>
      <c r="B1947" s="3" t="s">
        <v>8631</v>
      </c>
      <c r="C1947" s="3" t="s">
        <v>393</v>
      </c>
      <c r="D1947" s="3" t="s">
        <v>8632</v>
      </c>
      <c r="E1947" s="3" t="s">
        <v>18</v>
      </c>
      <c r="F1947" s="3" t="s">
        <v>2629</v>
      </c>
      <c r="G1947" s="3" t="s">
        <v>1519</v>
      </c>
      <c r="H1947" s="3" t="s">
        <v>2509</v>
      </c>
      <c r="I1947" s="3">
        <v>7</v>
      </c>
      <c r="J1947" s="3" t="s">
        <v>29</v>
      </c>
      <c r="K1947" s="3" t="s">
        <v>148</v>
      </c>
      <c r="L1947" s="3" t="s">
        <v>148</v>
      </c>
      <c r="M1947" s="3" t="s">
        <v>4508</v>
      </c>
      <c r="N1947" s="3" t="s">
        <v>1188</v>
      </c>
      <c r="O1947" s="3" t="s">
        <v>27</v>
      </c>
      <c r="P1947" s="3" t="s">
        <v>257</v>
      </c>
      <c r="Q1947" s="3" t="s">
        <v>218</v>
      </c>
      <c r="R1947" s="3">
        <v>4</v>
      </c>
      <c r="S1947" s="3">
        <v>44497.77</v>
      </c>
      <c r="T1947" s="3">
        <v>15</v>
      </c>
      <c r="U1947" s="3">
        <v>151292.42000000001</v>
      </c>
      <c r="V1947" s="3">
        <v>71823.11</v>
      </c>
      <c r="W1947" s="3">
        <v>79469.31</v>
      </c>
      <c r="X1947" s="3">
        <v>52.53</v>
      </c>
      <c r="Y1947" s="3">
        <v>49</v>
      </c>
      <c r="Z1947" s="3" t="s">
        <v>23</v>
      </c>
      <c r="AA1947" s="3" t="s">
        <v>100</v>
      </c>
      <c r="AB1947" s="3" t="s">
        <v>140</v>
      </c>
      <c r="AC1947" s="3">
        <v>4</v>
      </c>
    </row>
    <row r="1948" spans="1:29" x14ac:dyDescent="0.3">
      <c r="A1948" s="2" t="s">
        <v>8633</v>
      </c>
      <c r="B1948" s="2" t="s">
        <v>8634</v>
      </c>
      <c r="C1948" s="2" t="s">
        <v>1433</v>
      </c>
      <c r="D1948" s="2" t="s">
        <v>8635</v>
      </c>
      <c r="E1948" s="2" t="s">
        <v>33</v>
      </c>
      <c r="F1948" s="2" t="s">
        <v>3025</v>
      </c>
      <c r="G1948" s="2" t="s">
        <v>3452</v>
      </c>
      <c r="H1948" s="2" t="s">
        <v>6322</v>
      </c>
      <c r="I1948" s="2">
        <v>4</v>
      </c>
      <c r="J1948" s="2" t="s">
        <v>39</v>
      </c>
      <c r="K1948" s="2" t="s">
        <v>225</v>
      </c>
      <c r="L1948" s="2" t="s">
        <v>225</v>
      </c>
      <c r="M1948" s="2" t="s">
        <v>4224</v>
      </c>
      <c r="N1948" s="2" t="s">
        <v>631</v>
      </c>
      <c r="O1948" s="2" t="s">
        <v>19</v>
      </c>
      <c r="P1948" s="2" t="s">
        <v>297</v>
      </c>
      <c r="Q1948" s="2" t="s">
        <v>466</v>
      </c>
      <c r="R1948" s="2">
        <v>4</v>
      </c>
      <c r="S1948" s="2">
        <v>10150.73</v>
      </c>
      <c r="T1948" s="2">
        <v>15</v>
      </c>
      <c r="U1948" s="2">
        <v>34512.480000000003</v>
      </c>
      <c r="V1948" s="2">
        <v>18929.009999999998</v>
      </c>
      <c r="W1948" s="2">
        <v>15583.47</v>
      </c>
      <c r="X1948" s="2">
        <v>45.15</v>
      </c>
      <c r="Y1948" s="2">
        <v>0</v>
      </c>
      <c r="Z1948" s="2" t="s">
        <v>40</v>
      </c>
      <c r="AA1948" s="2" t="s">
        <v>100</v>
      </c>
      <c r="AB1948" s="2" t="s">
        <v>101</v>
      </c>
      <c r="AC1948" s="2">
        <v>4</v>
      </c>
    </row>
    <row r="1949" spans="1:29" x14ac:dyDescent="0.3">
      <c r="A1949" s="3" t="s">
        <v>8636</v>
      </c>
      <c r="B1949" s="3" t="s">
        <v>8637</v>
      </c>
      <c r="C1949" s="3" t="s">
        <v>973</v>
      </c>
      <c r="D1949" s="3" t="s">
        <v>8638</v>
      </c>
      <c r="E1949" s="3" t="s">
        <v>26</v>
      </c>
      <c r="F1949" s="3" t="s">
        <v>145</v>
      </c>
      <c r="G1949" s="3" t="s">
        <v>4534</v>
      </c>
      <c r="H1949" s="3" t="s">
        <v>3209</v>
      </c>
      <c r="I1949" s="3">
        <v>7</v>
      </c>
      <c r="J1949" s="3" t="s">
        <v>22</v>
      </c>
      <c r="K1949" s="3" t="s">
        <v>443</v>
      </c>
      <c r="L1949" s="3" t="s">
        <v>444</v>
      </c>
      <c r="M1949" s="3" t="s">
        <v>8639</v>
      </c>
      <c r="N1949" s="3" t="s">
        <v>805</v>
      </c>
      <c r="O1949" s="3" t="s">
        <v>28</v>
      </c>
      <c r="P1949" s="3" t="s">
        <v>151</v>
      </c>
      <c r="Q1949" s="3" t="s">
        <v>355</v>
      </c>
      <c r="R1949" s="3">
        <v>3</v>
      </c>
      <c r="S1949" s="3">
        <v>40809.71</v>
      </c>
      <c r="T1949" s="3">
        <v>30</v>
      </c>
      <c r="U1949" s="3">
        <v>85700.39</v>
      </c>
      <c r="V1949" s="3">
        <v>40752.120000000003</v>
      </c>
      <c r="W1949" s="3">
        <v>44948.27</v>
      </c>
      <c r="X1949" s="3">
        <v>52.45</v>
      </c>
      <c r="Y1949" s="3">
        <v>29</v>
      </c>
      <c r="Z1949" s="3" t="s">
        <v>23</v>
      </c>
      <c r="AA1949" s="3" t="s">
        <v>275</v>
      </c>
      <c r="AB1949" s="3" t="s">
        <v>101</v>
      </c>
      <c r="AC1949" s="3"/>
    </row>
    <row r="1950" spans="1:29" x14ac:dyDescent="0.3">
      <c r="A1950" s="2" t="s">
        <v>8640</v>
      </c>
      <c r="B1950" s="2" t="s">
        <v>8641</v>
      </c>
      <c r="C1950" s="2" t="s">
        <v>1433</v>
      </c>
      <c r="D1950" s="2" t="s">
        <v>8642</v>
      </c>
      <c r="E1950" s="2" t="s">
        <v>33</v>
      </c>
      <c r="F1950" s="2" t="s">
        <v>3180</v>
      </c>
      <c r="G1950" s="2" t="s">
        <v>880</v>
      </c>
      <c r="H1950" s="2" t="s">
        <v>684</v>
      </c>
      <c r="I1950" s="2">
        <v>2</v>
      </c>
      <c r="J1950" s="2" t="s">
        <v>29</v>
      </c>
      <c r="K1950" s="2" t="s">
        <v>834</v>
      </c>
      <c r="L1950" s="2" t="s">
        <v>1000</v>
      </c>
      <c r="M1950" s="2" t="s">
        <v>8643</v>
      </c>
      <c r="N1950" s="2" t="s">
        <v>686</v>
      </c>
      <c r="O1950" s="2" t="s">
        <v>13</v>
      </c>
      <c r="P1950" s="2" t="s">
        <v>228</v>
      </c>
      <c r="Q1950" s="2" t="s">
        <v>400</v>
      </c>
      <c r="R1950" s="2">
        <v>3</v>
      </c>
      <c r="S1950" s="2">
        <v>32369.57</v>
      </c>
      <c r="T1950" s="2">
        <v>0</v>
      </c>
      <c r="U1950" s="2">
        <v>97108.71</v>
      </c>
      <c r="V1950" s="2">
        <v>56860.9</v>
      </c>
      <c r="W1950" s="2">
        <v>40247.81</v>
      </c>
      <c r="X1950" s="2">
        <v>41.45</v>
      </c>
      <c r="Y1950" s="2">
        <v>49</v>
      </c>
      <c r="Z1950" s="2" t="s">
        <v>43</v>
      </c>
      <c r="AA1950" s="2" t="s">
        <v>100</v>
      </c>
      <c r="AB1950" s="2" t="s">
        <v>140</v>
      </c>
      <c r="AC1950" s="2"/>
    </row>
    <row r="1951" spans="1:29" x14ac:dyDescent="0.3">
      <c r="A1951" s="3" t="s">
        <v>8644</v>
      </c>
      <c r="B1951" s="3" t="s">
        <v>8645</v>
      </c>
      <c r="C1951" s="3" t="s">
        <v>450</v>
      </c>
      <c r="D1951" s="3" t="s">
        <v>8646</v>
      </c>
      <c r="E1951" s="3" t="s">
        <v>18</v>
      </c>
      <c r="F1951" s="3" t="s">
        <v>1219</v>
      </c>
      <c r="G1951" s="3" t="s">
        <v>1264</v>
      </c>
      <c r="H1951" s="3" t="s">
        <v>5669</v>
      </c>
      <c r="I1951" s="3">
        <v>7</v>
      </c>
      <c r="J1951" s="3" t="s">
        <v>39</v>
      </c>
      <c r="K1951" s="3" t="s">
        <v>314</v>
      </c>
      <c r="L1951" s="3" t="s">
        <v>314</v>
      </c>
      <c r="M1951" s="3" t="s">
        <v>3352</v>
      </c>
      <c r="N1951" s="3" t="s">
        <v>788</v>
      </c>
      <c r="O1951" s="3" t="s">
        <v>27</v>
      </c>
      <c r="P1951" s="3" t="s">
        <v>113</v>
      </c>
      <c r="Q1951" s="3" t="s">
        <v>197</v>
      </c>
      <c r="R1951" s="3">
        <v>5</v>
      </c>
      <c r="S1951" s="3">
        <v>16115.24</v>
      </c>
      <c r="T1951" s="3">
        <v>25</v>
      </c>
      <c r="U1951" s="3">
        <v>60432.15</v>
      </c>
      <c r="V1951" s="3">
        <v>41648.879999999997</v>
      </c>
      <c r="W1951" s="3">
        <v>18783.27</v>
      </c>
      <c r="X1951" s="3">
        <v>31.08</v>
      </c>
      <c r="Y1951" s="3">
        <v>49</v>
      </c>
      <c r="Z1951" s="3" t="s">
        <v>15</v>
      </c>
      <c r="AA1951" s="3" t="s">
        <v>100</v>
      </c>
      <c r="AB1951" s="3" t="s">
        <v>101</v>
      </c>
      <c r="AC1951" s="3"/>
    </row>
    <row r="1952" spans="1:29" x14ac:dyDescent="0.3">
      <c r="A1952" s="2" t="s">
        <v>8647</v>
      </c>
      <c r="B1952" s="2" t="s">
        <v>8648</v>
      </c>
      <c r="C1952" s="2" t="s">
        <v>1177</v>
      </c>
      <c r="D1952" s="2" t="s">
        <v>8649</v>
      </c>
      <c r="E1952" s="2" t="s">
        <v>33</v>
      </c>
      <c r="F1952" s="2" t="s">
        <v>323</v>
      </c>
      <c r="G1952" s="2" t="s">
        <v>1569</v>
      </c>
      <c r="H1952" s="2" t="s">
        <v>2403</v>
      </c>
      <c r="I1952" s="2">
        <v>2</v>
      </c>
      <c r="J1952" s="2" t="s">
        <v>29</v>
      </c>
      <c r="K1952" s="2" t="s">
        <v>160</v>
      </c>
      <c r="L1952" s="2" t="s">
        <v>161</v>
      </c>
      <c r="M1952" s="2" t="s">
        <v>1308</v>
      </c>
      <c r="N1952" s="2" t="s">
        <v>924</v>
      </c>
      <c r="O1952" s="2" t="s">
        <v>13</v>
      </c>
      <c r="P1952" s="2" t="s">
        <v>228</v>
      </c>
      <c r="Q1952" s="2" t="s">
        <v>127</v>
      </c>
      <c r="R1952" s="2">
        <v>5</v>
      </c>
      <c r="S1952" s="2">
        <v>35183.99</v>
      </c>
      <c r="T1952" s="2">
        <v>20</v>
      </c>
      <c r="U1952" s="2">
        <v>140735.96</v>
      </c>
      <c r="V1952" s="2">
        <v>92996.5</v>
      </c>
      <c r="W1952" s="2">
        <v>47739.46</v>
      </c>
      <c r="X1952" s="2">
        <v>33.92</v>
      </c>
      <c r="Y1952" s="2">
        <v>29</v>
      </c>
      <c r="Z1952" s="2" t="s">
        <v>23</v>
      </c>
      <c r="AA1952" s="2" t="s">
        <v>100</v>
      </c>
      <c r="AB1952" s="2" t="s">
        <v>101</v>
      </c>
      <c r="AC1952" s="2">
        <v>3</v>
      </c>
    </row>
    <row r="1953" spans="1:29" x14ac:dyDescent="0.3">
      <c r="A1953" s="3" t="s">
        <v>8650</v>
      </c>
      <c r="B1953" s="3" t="s">
        <v>8651</v>
      </c>
      <c r="C1953" s="3" t="s">
        <v>1822</v>
      </c>
      <c r="D1953" s="3" t="s">
        <v>8652</v>
      </c>
      <c r="E1953" s="3" t="s">
        <v>18</v>
      </c>
      <c r="F1953" s="3" t="s">
        <v>746</v>
      </c>
      <c r="G1953" s="3" t="s">
        <v>6456</v>
      </c>
      <c r="H1953" s="3" t="s">
        <v>3717</v>
      </c>
      <c r="I1953" s="3">
        <v>2</v>
      </c>
      <c r="J1953" s="3" t="s">
        <v>29</v>
      </c>
      <c r="K1953" s="3" t="s">
        <v>334</v>
      </c>
      <c r="L1953" s="3" t="s">
        <v>614</v>
      </c>
      <c r="M1953" s="3" t="s">
        <v>1967</v>
      </c>
      <c r="N1953" s="3" t="s">
        <v>623</v>
      </c>
      <c r="O1953" s="3" t="s">
        <v>19</v>
      </c>
      <c r="P1953" s="3" t="s">
        <v>297</v>
      </c>
      <c r="Q1953" s="3" t="s">
        <v>114</v>
      </c>
      <c r="R1953" s="3">
        <v>4</v>
      </c>
      <c r="S1953" s="3">
        <v>5010.24</v>
      </c>
      <c r="T1953" s="3">
        <v>15</v>
      </c>
      <c r="U1953" s="3">
        <v>17034.82</v>
      </c>
      <c r="V1953" s="3">
        <v>9611.84</v>
      </c>
      <c r="W1953" s="3">
        <v>7422.98</v>
      </c>
      <c r="X1953" s="3">
        <v>43.58</v>
      </c>
      <c r="Y1953" s="3">
        <v>199</v>
      </c>
      <c r="Z1953" s="3" t="s">
        <v>23</v>
      </c>
      <c r="AA1953" s="3" t="s">
        <v>672</v>
      </c>
      <c r="AB1953" s="3" t="s">
        <v>101</v>
      </c>
      <c r="AC1953" s="3"/>
    </row>
    <row r="1954" spans="1:29" x14ac:dyDescent="0.3">
      <c r="A1954" s="2" t="s">
        <v>8653</v>
      </c>
      <c r="B1954" s="2" t="s">
        <v>8654</v>
      </c>
      <c r="C1954" s="2" t="s">
        <v>2572</v>
      </c>
      <c r="D1954" s="2" t="s">
        <v>8655</v>
      </c>
      <c r="E1954" s="2" t="s">
        <v>33</v>
      </c>
      <c r="F1954" s="2" t="s">
        <v>810</v>
      </c>
      <c r="G1954" s="2" t="s">
        <v>3914</v>
      </c>
      <c r="H1954" s="2" t="s">
        <v>1744</v>
      </c>
      <c r="I1954" s="2">
        <v>4</v>
      </c>
      <c r="J1954" s="2" t="s">
        <v>14</v>
      </c>
      <c r="K1954" s="2" t="s">
        <v>215</v>
      </c>
      <c r="L1954" s="2" t="s">
        <v>215</v>
      </c>
      <c r="M1954" s="2" t="s">
        <v>895</v>
      </c>
      <c r="N1954" s="2" t="s">
        <v>583</v>
      </c>
      <c r="O1954" s="2" t="s">
        <v>19</v>
      </c>
      <c r="P1954" s="2" t="s">
        <v>447</v>
      </c>
      <c r="Q1954" s="2" t="s">
        <v>466</v>
      </c>
      <c r="R1954" s="2">
        <v>5</v>
      </c>
      <c r="S1954" s="2">
        <v>25558.080000000002</v>
      </c>
      <c r="T1954" s="2">
        <v>15</v>
      </c>
      <c r="U1954" s="2">
        <v>108621.84</v>
      </c>
      <c r="V1954" s="2">
        <v>63834.49</v>
      </c>
      <c r="W1954" s="2">
        <v>44787.35</v>
      </c>
      <c r="X1954" s="2">
        <v>41.23</v>
      </c>
      <c r="Y1954" s="2">
        <v>49</v>
      </c>
      <c r="Z1954" s="2" t="s">
        <v>30</v>
      </c>
      <c r="AA1954" s="2" t="s">
        <v>100</v>
      </c>
      <c r="AB1954" s="2" t="s">
        <v>101</v>
      </c>
      <c r="AC1954" s="2"/>
    </row>
    <row r="1955" spans="1:29" x14ac:dyDescent="0.3">
      <c r="A1955" s="3" t="s">
        <v>8656</v>
      </c>
      <c r="B1955" s="3" t="s">
        <v>8657</v>
      </c>
      <c r="C1955" s="3" t="s">
        <v>545</v>
      </c>
      <c r="D1955" s="3" t="s">
        <v>5696</v>
      </c>
      <c r="E1955" s="3" t="s">
        <v>42</v>
      </c>
      <c r="F1955" s="3" t="s">
        <v>1494</v>
      </c>
      <c r="G1955" s="3" t="s">
        <v>5234</v>
      </c>
      <c r="H1955" s="3" t="s">
        <v>1496</v>
      </c>
      <c r="I1955" s="3">
        <v>7</v>
      </c>
      <c r="J1955" s="3" t="s">
        <v>29</v>
      </c>
      <c r="K1955" s="3" t="s">
        <v>427</v>
      </c>
      <c r="L1955" s="3" t="s">
        <v>1081</v>
      </c>
      <c r="M1955" s="3" t="s">
        <v>6628</v>
      </c>
      <c r="N1955" s="3" t="s">
        <v>217</v>
      </c>
      <c r="O1955" s="3" t="s">
        <v>21</v>
      </c>
      <c r="P1955" s="3" t="s">
        <v>206</v>
      </c>
      <c r="Q1955" s="3" t="s">
        <v>207</v>
      </c>
      <c r="R1955" s="3">
        <v>5</v>
      </c>
      <c r="S1955" s="3">
        <v>16875.34</v>
      </c>
      <c r="T1955" s="3">
        <v>0</v>
      </c>
      <c r="U1955" s="3">
        <v>84376.7</v>
      </c>
      <c r="V1955" s="3">
        <v>54913.78</v>
      </c>
      <c r="W1955" s="3">
        <v>29462.92</v>
      </c>
      <c r="X1955" s="3">
        <v>34.92</v>
      </c>
      <c r="Y1955" s="3">
        <v>0</v>
      </c>
      <c r="Z1955" s="3" t="s">
        <v>23</v>
      </c>
      <c r="AA1955" s="3" t="s">
        <v>100</v>
      </c>
      <c r="AB1955" s="3" t="s">
        <v>101</v>
      </c>
      <c r="AC1955" s="3">
        <v>5</v>
      </c>
    </row>
    <row r="1956" spans="1:29" x14ac:dyDescent="0.3">
      <c r="A1956" s="2" t="s">
        <v>8658</v>
      </c>
      <c r="B1956" s="2" t="s">
        <v>8659</v>
      </c>
      <c r="C1956" s="2" t="s">
        <v>1517</v>
      </c>
      <c r="D1956" s="2" t="s">
        <v>8660</v>
      </c>
      <c r="E1956" s="2" t="s">
        <v>33</v>
      </c>
      <c r="F1956" s="2" t="s">
        <v>879</v>
      </c>
      <c r="G1956" s="2" t="s">
        <v>702</v>
      </c>
      <c r="H1956" s="2" t="s">
        <v>331</v>
      </c>
      <c r="I1956" s="2">
        <v>4</v>
      </c>
      <c r="J1956" s="2" t="s">
        <v>29</v>
      </c>
      <c r="K1956" s="2" t="s">
        <v>427</v>
      </c>
      <c r="L1956" s="2" t="s">
        <v>428</v>
      </c>
      <c r="M1956" s="2" t="s">
        <v>8661</v>
      </c>
      <c r="N1956" s="2" t="s">
        <v>195</v>
      </c>
      <c r="O1956" s="2" t="s">
        <v>21</v>
      </c>
      <c r="P1956" s="2" t="s">
        <v>196</v>
      </c>
      <c r="Q1956" s="2" t="s">
        <v>207</v>
      </c>
      <c r="R1956" s="2">
        <v>4</v>
      </c>
      <c r="S1956" s="2">
        <v>16024.9</v>
      </c>
      <c r="T1956" s="2">
        <v>5</v>
      </c>
      <c r="U1956" s="2">
        <v>60894.62</v>
      </c>
      <c r="V1956" s="2">
        <v>28824.34</v>
      </c>
      <c r="W1956" s="2">
        <v>32070.28</v>
      </c>
      <c r="X1956" s="2">
        <v>52.67</v>
      </c>
      <c r="Y1956" s="2">
        <v>29</v>
      </c>
      <c r="Z1956" s="2" t="s">
        <v>30</v>
      </c>
      <c r="AA1956" s="2" t="s">
        <v>100</v>
      </c>
      <c r="AB1956" s="2" t="s">
        <v>101</v>
      </c>
      <c r="AC1956" s="2">
        <v>2</v>
      </c>
    </row>
    <row r="1957" spans="1:29" x14ac:dyDescent="0.3">
      <c r="A1957" s="3" t="s">
        <v>8662</v>
      </c>
      <c r="B1957" s="3" t="s">
        <v>8663</v>
      </c>
      <c r="C1957" s="3" t="s">
        <v>1544</v>
      </c>
      <c r="D1957" s="3" t="s">
        <v>8664</v>
      </c>
      <c r="E1957" s="3" t="s">
        <v>18</v>
      </c>
      <c r="F1957" s="3" t="s">
        <v>480</v>
      </c>
      <c r="G1957" s="3" t="s">
        <v>491</v>
      </c>
      <c r="H1957" s="3" t="s">
        <v>982</v>
      </c>
      <c r="I1957" s="3">
        <v>8</v>
      </c>
      <c r="J1957" s="3" t="s">
        <v>39</v>
      </c>
      <c r="K1957" s="3" t="s">
        <v>324</v>
      </c>
      <c r="L1957" s="3" t="s">
        <v>1422</v>
      </c>
      <c r="M1957" s="3" t="s">
        <v>8665</v>
      </c>
      <c r="N1957" s="3" t="s">
        <v>438</v>
      </c>
      <c r="O1957" s="3" t="s">
        <v>13</v>
      </c>
      <c r="P1957" s="3" t="s">
        <v>228</v>
      </c>
      <c r="Q1957" s="3" t="s">
        <v>197</v>
      </c>
      <c r="R1957" s="3">
        <v>4</v>
      </c>
      <c r="S1957" s="3">
        <v>31783.08</v>
      </c>
      <c r="T1957" s="3">
        <v>20</v>
      </c>
      <c r="U1957" s="3">
        <v>101705.86</v>
      </c>
      <c r="V1957" s="3">
        <v>57675.23</v>
      </c>
      <c r="W1957" s="3">
        <v>44030.63</v>
      </c>
      <c r="X1957" s="3">
        <v>43.29</v>
      </c>
      <c r="Y1957" s="3">
        <v>99</v>
      </c>
      <c r="Z1957" s="3" t="s">
        <v>40</v>
      </c>
      <c r="AA1957" s="3" t="s">
        <v>100</v>
      </c>
      <c r="AB1957" s="3" t="s">
        <v>101</v>
      </c>
      <c r="AC1957" s="3">
        <v>5</v>
      </c>
    </row>
    <row r="1958" spans="1:29" x14ac:dyDescent="0.3">
      <c r="A1958" s="2" t="s">
        <v>8666</v>
      </c>
      <c r="B1958" s="2" t="s">
        <v>8667</v>
      </c>
      <c r="C1958" s="2" t="s">
        <v>1911</v>
      </c>
      <c r="D1958" s="2" t="s">
        <v>8011</v>
      </c>
      <c r="E1958" s="2" t="s">
        <v>33</v>
      </c>
      <c r="F1958" s="2" t="s">
        <v>2408</v>
      </c>
      <c r="G1958" s="2" t="s">
        <v>2294</v>
      </c>
      <c r="H1958" s="2" t="s">
        <v>1257</v>
      </c>
      <c r="I1958" s="2">
        <v>6</v>
      </c>
      <c r="J1958" s="2" t="s">
        <v>29</v>
      </c>
      <c r="K1958" s="2" t="s">
        <v>148</v>
      </c>
      <c r="L1958" s="2" t="s">
        <v>148</v>
      </c>
      <c r="M1958" s="2" t="s">
        <v>8668</v>
      </c>
      <c r="N1958" s="2" t="s">
        <v>316</v>
      </c>
      <c r="O1958" s="2" t="s">
        <v>28</v>
      </c>
      <c r="P1958" s="2" t="s">
        <v>137</v>
      </c>
      <c r="Q1958" s="2" t="s">
        <v>287</v>
      </c>
      <c r="R1958" s="2">
        <v>2</v>
      </c>
      <c r="S1958" s="2">
        <v>26463.87</v>
      </c>
      <c r="T1958" s="2">
        <v>10</v>
      </c>
      <c r="U1958" s="2">
        <v>47634.97</v>
      </c>
      <c r="V1958" s="2">
        <v>30557.54</v>
      </c>
      <c r="W1958" s="2">
        <v>17077.43</v>
      </c>
      <c r="X1958" s="2">
        <v>35.85</v>
      </c>
      <c r="Y1958" s="2">
        <v>199</v>
      </c>
      <c r="Z1958" s="2" t="s">
        <v>30</v>
      </c>
      <c r="AA1958" s="2" t="s">
        <v>100</v>
      </c>
      <c r="AB1958" s="2" t="s">
        <v>101</v>
      </c>
      <c r="AC1958" s="2">
        <v>2</v>
      </c>
    </row>
    <row r="1959" spans="1:29" x14ac:dyDescent="0.3">
      <c r="A1959" s="3" t="s">
        <v>8669</v>
      </c>
      <c r="B1959" s="3" t="s">
        <v>8670</v>
      </c>
      <c r="C1959" s="3" t="s">
        <v>1177</v>
      </c>
      <c r="D1959" s="3" t="s">
        <v>8671</v>
      </c>
      <c r="E1959" s="3" t="s">
        <v>42</v>
      </c>
      <c r="F1959" s="3" t="s">
        <v>2712</v>
      </c>
      <c r="G1959" s="3" t="s">
        <v>7080</v>
      </c>
      <c r="H1959" s="3" t="s">
        <v>1040</v>
      </c>
      <c r="I1959" s="3">
        <v>5</v>
      </c>
      <c r="J1959" s="3" t="s">
        <v>39</v>
      </c>
      <c r="K1959" s="3" t="s">
        <v>314</v>
      </c>
      <c r="L1959" s="3" t="s">
        <v>314</v>
      </c>
      <c r="M1959" s="3" t="s">
        <v>5833</v>
      </c>
      <c r="N1959" s="3" t="s">
        <v>518</v>
      </c>
      <c r="O1959" s="3" t="s">
        <v>19</v>
      </c>
      <c r="P1959" s="3" t="s">
        <v>365</v>
      </c>
      <c r="Q1959" s="3" t="s">
        <v>466</v>
      </c>
      <c r="R1959" s="3">
        <v>1</v>
      </c>
      <c r="S1959" s="3">
        <v>22754.959999999999</v>
      </c>
      <c r="T1959" s="3">
        <v>5</v>
      </c>
      <c r="U1959" s="3">
        <v>21617.21</v>
      </c>
      <c r="V1959" s="3">
        <v>14004.7</v>
      </c>
      <c r="W1959" s="3">
        <v>7612.51</v>
      </c>
      <c r="X1959" s="3">
        <v>35.22</v>
      </c>
      <c r="Y1959" s="3">
        <v>99</v>
      </c>
      <c r="Z1959" s="3" t="s">
        <v>30</v>
      </c>
      <c r="AA1959" s="3" t="s">
        <v>100</v>
      </c>
      <c r="AB1959" s="3" t="s">
        <v>101</v>
      </c>
      <c r="AC1959" s="3">
        <v>1</v>
      </c>
    </row>
    <row r="1960" spans="1:29" x14ac:dyDescent="0.3">
      <c r="A1960" s="2" t="s">
        <v>8672</v>
      </c>
      <c r="B1960" s="2" t="s">
        <v>8673</v>
      </c>
      <c r="C1960" s="2" t="s">
        <v>586</v>
      </c>
      <c r="D1960" s="2" t="s">
        <v>8674</v>
      </c>
      <c r="E1960" s="2" t="s">
        <v>18</v>
      </c>
      <c r="F1960" s="2" t="s">
        <v>3614</v>
      </c>
      <c r="G1960" s="2" t="s">
        <v>1906</v>
      </c>
      <c r="H1960" s="2" t="s">
        <v>1907</v>
      </c>
      <c r="I1960" s="2">
        <v>8</v>
      </c>
      <c r="J1960" s="2" t="s">
        <v>39</v>
      </c>
      <c r="K1960" s="2" t="s">
        <v>109</v>
      </c>
      <c r="L1960" s="2" t="s">
        <v>134</v>
      </c>
      <c r="M1960" s="2" t="s">
        <v>8675</v>
      </c>
      <c r="N1960" s="2" t="s">
        <v>205</v>
      </c>
      <c r="O1960" s="2" t="s">
        <v>21</v>
      </c>
      <c r="P1960" s="2" t="s">
        <v>206</v>
      </c>
      <c r="Q1960" s="2" t="s">
        <v>466</v>
      </c>
      <c r="R1960" s="2">
        <v>5</v>
      </c>
      <c r="S1960" s="2">
        <v>6881.77</v>
      </c>
      <c r="T1960" s="2">
        <v>0</v>
      </c>
      <c r="U1960" s="2">
        <v>34408.85</v>
      </c>
      <c r="V1960" s="2">
        <v>21676.34</v>
      </c>
      <c r="W1960" s="2">
        <v>12732.51</v>
      </c>
      <c r="X1960" s="2">
        <v>37</v>
      </c>
      <c r="Y1960" s="2">
        <v>49</v>
      </c>
      <c r="Z1960" s="2" t="s">
        <v>23</v>
      </c>
      <c r="AA1960" s="2" t="s">
        <v>100</v>
      </c>
      <c r="AB1960" s="2" t="s">
        <v>101</v>
      </c>
      <c r="AC1960" s="2"/>
    </row>
    <row r="1961" spans="1:29" x14ac:dyDescent="0.3">
      <c r="A1961" s="3" t="s">
        <v>8676</v>
      </c>
      <c r="B1961" s="3" t="s">
        <v>8677</v>
      </c>
      <c r="C1961" s="3" t="s">
        <v>1261</v>
      </c>
      <c r="D1961" s="3" t="s">
        <v>8678</v>
      </c>
      <c r="E1961" s="3" t="s">
        <v>26</v>
      </c>
      <c r="F1961" s="3" t="s">
        <v>1950</v>
      </c>
      <c r="G1961" s="3" t="s">
        <v>4813</v>
      </c>
      <c r="H1961" s="3" t="s">
        <v>1966</v>
      </c>
      <c r="I1961" s="3">
        <v>3</v>
      </c>
      <c r="J1961" s="3" t="s">
        <v>14</v>
      </c>
      <c r="K1961" s="3" t="s">
        <v>183</v>
      </c>
      <c r="L1961" s="3" t="s">
        <v>183</v>
      </c>
      <c r="M1961" s="3" t="s">
        <v>353</v>
      </c>
      <c r="N1961" s="3" t="s">
        <v>518</v>
      </c>
      <c r="O1961" s="3" t="s">
        <v>19</v>
      </c>
      <c r="P1961" s="3" t="s">
        <v>365</v>
      </c>
      <c r="Q1961" s="3" t="s">
        <v>218</v>
      </c>
      <c r="R1961" s="3">
        <v>3</v>
      </c>
      <c r="S1961" s="3">
        <v>21792.32</v>
      </c>
      <c r="T1961" s="3">
        <v>25</v>
      </c>
      <c r="U1961" s="3">
        <v>49032.72</v>
      </c>
      <c r="V1961" s="3">
        <v>33247.980000000003</v>
      </c>
      <c r="W1961" s="3">
        <v>15784.74</v>
      </c>
      <c r="X1961" s="3">
        <v>32.19</v>
      </c>
      <c r="Y1961" s="3">
        <v>29</v>
      </c>
      <c r="Z1961" s="3" t="s">
        <v>48</v>
      </c>
      <c r="AA1961" s="3" t="s">
        <v>100</v>
      </c>
      <c r="AB1961" s="3" t="s">
        <v>101</v>
      </c>
      <c r="AC1961" s="3">
        <v>1</v>
      </c>
    </row>
    <row r="1962" spans="1:29" x14ac:dyDescent="0.3">
      <c r="A1962" s="2" t="s">
        <v>8679</v>
      </c>
      <c r="B1962" s="2" t="s">
        <v>8680</v>
      </c>
      <c r="C1962" s="2" t="s">
        <v>155</v>
      </c>
      <c r="D1962" s="2" t="s">
        <v>8681</v>
      </c>
      <c r="E1962" s="2" t="s">
        <v>26</v>
      </c>
      <c r="F1962" s="2" t="s">
        <v>2300</v>
      </c>
      <c r="G1962" s="2" t="s">
        <v>1678</v>
      </c>
      <c r="H1962" s="2" t="s">
        <v>3172</v>
      </c>
      <c r="I1962" s="2">
        <v>4</v>
      </c>
      <c r="J1962" s="2" t="s">
        <v>29</v>
      </c>
      <c r="K1962" s="2" t="s">
        <v>334</v>
      </c>
      <c r="L1962" s="2" t="s">
        <v>1073</v>
      </c>
      <c r="M1962" s="2" t="s">
        <v>8682</v>
      </c>
      <c r="N1962" s="2" t="s">
        <v>788</v>
      </c>
      <c r="O1962" s="2" t="s">
        <v>27</v>
      </c>
      <c r="P1962" s="2" t="s">
        <v>113</v>
      </c>
      <c r="Q1962" s="2" t="s">
        <v>509</v>
      </c>
      <c r="R1962" s="2">
        <v>1</v>
      </c>
      <c r="S1962" s="2">
        <v>15087.59</v>
      </c>
      <c r="T1962" s="2">
        <v>20</v>
      </c>
      <c r="U1962" s="2">
        <v>12070.07</v>
      </c>
      <c r="V1962" s="2">
        <v>6302.26</v>
      </c>
      <c r="W1962" s="2">
        <v>5767.81</v>
      </c>
      <c r="X1962" s="2">
        <v>47.79</v>
      </c>
      <c r="Y1962" s="2">
        <v>199</v>
      </c>
      <c r="Z1962" s="2" t="s">
        <v>48</v>
      </c>
      <c r="AA1962" s="2" t="s">
        <v>100</v>
      </c>
      <c r="AB1962" s="2" t="s">
        <v>101</v>
      </c>
      <c r="AC1962" s="2">
        <v>1</v>
      </c>
    </row>
    <row r="1963" spans="1:29" x14ac:dyDescent="0.3">
      <c r="A1963" s="3" t="s">
        <v>8683</v>
      </c>
      <c r="B1963" s="3" t="s">
        <v>8684</v>
      </c>
      <c r="C1963" s="3" t="s">
        <v>2534</v>
      </c>
      <c r="D1963" s="3" t="s">
        <v>8685</v>
      </c>
      <c r="E1963" s="3" t="s">
        <v>33</v>
      </c>
      <c r="F1963" s="3" t="s">
        <v>4191</v>
      </c>
      <c r="G1963" s="3" t="s">
        <v>4966</v>
      </c>
      <c r="H1963" s="3" t="s">
        <v>4192</v>
      </c>
      <c r="I1963" s="3">
        <v>4</v>
      </c>
      <c r="J1963" s="3" t="s">
        <v>39</v>
      </c>
      <c r="K1963" s="3" t="s">
        <v>324</v>
      </c>
      <c r="L1963" s="3" t="s">
        <v>1028</v>
      </c>
      <c r="M1963" s="3" t="s">
        <v>8686</v>
      </c>
      <c r="N1963" s="3" t="s">
        <v>1611</v>
      </c>
      <c r="O1963" s="3" t="s">
        <v>19</v>
      </c>
      <c r="P1963" s="3" t="s">
        <v>365</v>
      </c>
      <c r="Q1963" s="3" t="s">
        <v>138</v>
      </c>
      <c r="R1963" s="3">
        <v>3</v>
      </c>
      <c r="S1963" s="3">
        <v>23409.77</v>
      </c>
      <c r="T1963" s="3">
        <v>5</v>
      </c>
      <c r="U1963" s="3">
        <v>66717.84</v>
      </c>
      <c r="V1963" s="3">
        <v>41415.71</v>
      </c>
      <c r="W1963" s="3">
        <v>25302.13</v>
      </c>
      <c r="X1963" s="3">
        <v>37.92</v>
      </c>
      <c r="Y1963" s="3">
        <v>49</v>
      </c>
      <c r="Z1963" s="3" t="s">
        <v>15</v>
      </c>
      <c r="AA1963" s="3" t="s">
        <v>100</v>
      </c>
      <c r="AB1963" s="3" t="s">
        <v>101</v>
      </c>
      <c r="AC1963" s="3">
        <v>1</v>
      </c>
    </row>
    <row r="1964" spans="1:29" x14ac:dyDescent="0.3">
      <c r="A1964" s="2" t="s">
        <v>8687</v>
      </c>
      <c r="B1964" s="2" t="s">
        <v>2799</v>
      </c>
      <c r="C1964" s="2" t="s">
        <v>2772</v>
      </c>
      <c r="D1964" s="2" t="s">
        <v>1855</v>
      </c>
      <c r="E1964" s="2" t="s">
        <v>26</v>
      </c>
      <c r="F1964" s="2" t="s">
        <v>711</v>
      </c>
      <c r="G1964" s="2" t="s">
        <v>1428</v>
      </c>
      <c r="H1964" s="2" t="s">
        <v>4543</v>
      </c>
      <c r="I1964" s="2">
        <v>7</v>
      </c>
      <c r="J1964" s="2" t="s">
        <v>14</v>
      </c>
      <c r="K1964" s="2" t="s">
        <v>215</v>
      </c>
      <c r="L1964" s="2" t="s">
        <v>215</v>
      </c>
      <c r="M1964" s="2" t="s">
        <v>8688</v>
      </c>
      <c r="N1964" s="2" t="s">
        <v>316</v>
      </c>
      <c r="O1964" s="2" t="s">
        <v>28</v>
      </c>
      <c r="P1964" s="2" t="s">
        <v>137</v>
      </c>
      <c r="Q1964" s="2" t="s">
        <v>197</v>
      </c>
      <c r="R1964" s="2">
        <v>5</v>
      </c>
      <c r="S1964" s="2">
        <v>19386.439999999999</v>
      </c>
      <c r="T1964" s="2">
        <v>10</v>
      </c>
      <c r="U1964" s="2">
        <v>87238.98</v>
      </c>
      <c r="V1964" s="2">
        <v>52242.29</v>
      </c>
      <c r="W1964" s="2">
        <v>34996.69</v>
      </c>
      <c r="X1964" s="2">
        <v>40.119999999999997</v>
      </c>
      <c r="Y1964" s="2">
        <v>99</v>
      </c>
      <c r="Z1964" s="2" t="s">
        <v>48</v>
      </c>
      <c r="AA1964" s="2" t="s">
        <v>275</v>
      </c>
      <c r="AB1964" s="2" t="s">
        <v>101</v>
      </c>
      <c r="AC1964" s="2"/>
    </row>
    <row r="1965" spans="1:29" x14ac:dyDescent="0.3">
      <c r="A1965" s="3" t="s">
        <v>8689</v>
      </c>
      <c r="B1965" s="3" t="s">
        <v>3386</v>
      </c>
      <c r="C1965" s="3" t="s">
        <v>459</v>
      </c>
      <c r="D1965" s="3" t="s">
        <v>8690</v>
      </c>
      <c r="E1965" s="3" t="s">
        <v>33</v>
      </c>
      <c r="F1965" s="3" t="s">
        <v>415</v>
      </c>
      <c r="G1965" s="3" t="s">
        <v>1480</v>
      </c>
      <c r="H1965" s="3" t="s">
        <v>416</v>
      </c>
      <c r="I1965" s="3">
        <v>3</v>
      </c>
      <c r="J1965" s="3" t="s">
        <v>22</v>
      </c>
      <c r="K1965" s="3" t="s">
        <v>122</v>
      </c>
      <c r="L1965" s="3" t="s">
        <v>812</v>
      </c>
      <c r="M1965" s="3" t="s">
        <v>245</v>
      </c>
      <c r="N1965" s="3" t="s">
        <v>648</v>
      </c>
      <c r="O1965" s="3" t="s">
        <v>27</v>
      </c>
      <c r="P1965" s="3" t="s">
        <v>113</v>
      </c>
      <c r="Q1965" s="3" t="s">
        <v>246</v>
      </c>
      <c r="R1965" s="3">
        <v>2</v>
      </c>
      <c r="S1965" s="3">
        <v>11027.57</v>
      </c>
      <c r="T1965" s="3">
        <v>30</v>
      </c>
      <c r="U1965" s="3">
        <v>15438.6</v>
      </c>
      <c r="V1965" s="3">
        <v>9294.7800000000007</v>
      </c>
      <c r="W1965" s="3">
        <v>6143.82</v>
      </c>
      <c r="X1965" s="3">
        <v>39.799999999999997</v>
      </c>
      <c r="Y1965" s="3">
        <v>0</v>
      </c>
      <c r="Z1965" s="3" t="s">
        <v>30</v>
      </c>
      <c r="AA1965" s="3" t="s">
        <v>186</v>
      </c>
      <c r="AB1965" s="3" t="s">
        <v>101</v>
      </c>
      <c r="AC1965" s="3"/>
    </row>
    <row r="1966" spans="1:29" x14ac:dyDescent="0.3">
      <c r="A1966" s="2" t="s">
        <v>8691</v>
      </c>
      <c r="B1966" s="2" t="s">
        <v>8692</v>
      </c>
      <c r="C1966" s="2" t="s">
        <v>1517</v>
      </c>
      <c r="D1966" s="2" t="s">
        <v>681</v>
      </c>
      <c r="E1966" s="2" t="s">
        <v>26</v>
      </c>
      <c r="F1966" s="2" t="s">
        <v>4614</v>
      </c>
      <c r="G1966" s="2" t="s">
        <v>2514</v>
      </c>
      <c r="H1966" s="2" t="s">
        <v>4961</v>
      </c>
      <c r="I1966" s="2">
        <v>4</v>
      </c>
      <c r="J1966" s="2" t="s">
        <v>39</v>
      </c>
      <c r="K1966" s="2" t="s">
        <v>314</v>
      </c>
      <c r="L1966" s="2" t="s">
        <v>314</v>
      </c>
      <c r="M1966" s="2" t="s">
        <v>8693</v>
      </c>
      <c r="N1966" s="2" t="s">
        <v>889</v>
      </c>
      <c r="O1966" s="2" t="s">
        <v>27</v>
      </c>
      <c r="P1966" s="2" t="s">
        <v>257</v>
      </c>
      <c r="Q1966" s="2" t="s">
        <v>400</v>
      </c>
      <c r="R1966" s="2">
        <v>2</v>
      </c>
      <c r="S1966" s="2">
        <v>33229.910000000003</v>
      </c>
      <c r="T1966" s="2">
        <v>15</v>
      </c>
      <c r="U1966" s="2">
        <v>56490.85</v>
      </c>
      <c r="V1966" s="2">
        <v>31443.63</v>
      </c>
      <c r="W1966" s="2">
        <v>25047.22</v>
      </c>
      <c r="X1966" s="2">
        <v>44.34</v>
      </c>
      <c r="Y1966" s="2">
        <v>29</v>
      </c>
      <c r="Z1966" s="2" t="s">
        <v>43</v>
      </c>
      <c r="AA1966" s="2" t="s">
        <v>100</v>
      </c>
      <c r="AB1966" s="2" t="s">
        <v>101</v>
      </c>
      <c r="AC1966" s="2">
        <v>3</v>
      </c>
    </row>
    <row r="1967" spans="1:29" x14ac:dyDescent="0.3">
      <c r="A1967" s="3" t="s">
        <v>8694</v>
      </c>
      <c r="B1967" s="3" t="s">
        <v>8695</v>
      </c>
      <c r="C1967" s="3" t="s">
        <v>1166</v>
      </c>
      <c r="D1967" s="3" t="s">
        <v>8696</v>
      </c>
      <c r="E1967" s="3" t="s">
        <v>42</v>
      </c>
      <c r="F1967" s="3" t="s">
        <v>1390</v>
      </c>
      <c r="G1967" s="3" t="s">
        <v>2774</v>
      </c>
      <c r="H1967" s="3" t="s">
        <v>4503</v>
      </c>
      <c r="I1967" s="3">
        <v>4</v>
      </c>
      <c r="J1967" s="3" t="s">
        <v>29</v>
      </c>
      <c r="K1967" s="3" t="s">
        <v>834</v>
      </c>
      <c r="L1967" s="3" t="s">
        <v>835</v>
      </c>
      <c r="M1967" s="3" t="s">
        <v>3278</v>
      </c>
      <c r="N1967" s="3" t="s">
        <v>150</v>
      </c>
      <c r="O1967" s="3" t="s">
        <v>28</v>
      </c>
      <c r="P1967" s="3" t="s">
        <v>151</v>
      </c>
      <c r="Q1967" s="3" t="s">
        <v>355</v>
      </c>
      <c r="R1967" s="3">
        <v>5</v>
      </c>
      <c r="S1967" s="3">
        <v>38405.910000000003</v>
      </c>
      <c r="T1967" s="3">
        <v>10</v>
      </c>
      <c r="U1967" s="3">
        <v>172826.6</v>
      </c>
      <c r="V1967" s="3">
        <v>120569.82</v>
      </c>
      <c r="W1967" s="3">
        <v>52256.78</v>
      </c>
      <c r="X1967" s="3">
        <v>30.24</v>
      </c>
      <c r="Y1967" s="3">
        <v>49</v>
      </c>
      <c r="Z1967" s="3" t="s">
        <v>48</v>
      </c>
      <c r="AA1967" s="3" t="s">
        <v>100</v>
      </c>
      <c r="AB1967" s="3" t="s">
        <v>101</v>
      </c>
      <c r="AC1967" s="3">
        <v>4</v>
      </c>
    </row>
    <row r="1968" spans="1:29" x14ac:dyDescent="0.3">
      <c r="A1968" s="2" t="s">
        <v>8697</v>
      </c>
      <c r="B1968" s="2" t="s">
        <v>8698</v>
      </c>
      <c r="C1968" s="2" t="s">
        <v>249</v>
      </c>
      <c r="D1968" s="2" t="s">
        <v>8699</v>
      </c>
      <c r="E1968" s="2" t="s">
        <v>33</v>
      </c>
      <c r="F1968" s="2" t="s">
        <v>2979</v>
      </c>
      <c r="G1968" s="2" t="s">
        <v>1887</v>
      </c>
      <c r="H1968" s="2" t="s">
        <v>1888</v>
      </c>
      <c r="I1968" s="2">
        <v>2</v>
      </c>
      <c r="J1968" s="2" t="s">
        <v>14</v>
      </c>
      <c r="K1968" s="2" t="s">
        <v>712</v>
      </c>
      <c r="L1968" s="2" t="s">
        <v>712</v>
      </c>
      <c r="M1968" s="2" t="s">
        <v>8700</v>
      </c>
      <c r="N1968" s="2" t="s">
        <v>964</v>
      </c>
      <c r="O1968" s="2" t="s">
        <v>13</v>
      </c>
      <c r="P1968" s="2" t="s">
        <v>98</v>
      </c>
      <c r="Q1968" s="2" t="s">
        <v>466</v>
      </c>
      <c r="R1968" s="2">
        <v>3</v>
      </c>
      <c r="S1968" s="2">
        <v>25636.61</v>
      </c>
      <c r="T1968" s="2">
        <v>10</v>
      </c>
      <c r="U1968" s="2">
        <v>69218.850000000006</v>
      </c>
      <c r="V1968" s="2">
        <v>35846.04</v>
      </c>
      <c r="W1968" s="2">
        <v>33372.81</v>
      </c>
      <c r="X1968" s="2">
        <v>48.21</v>
      </c>
      <c r="Y1968" s="2">
        <v>0</v>
      </c>
      <c r="Z1968" s="2" t="s">
        <v>15</v>
      </c>
      <c r="AA1968" s="2" t="s">
        <v>100</v>
      </c>
      <c r="AB1968" s="2" t="s">
        <v>101</v>
      </c>
      <c r="AC1968" s="2"/>
    </row>
    <row r="1969" spans="1:29" x14ac:dyDescent="0.3">
      <c r="A1969" s="3" t="s">
        <v>8701</v>
      </c>
      <c r="B1969" s="3" t="s">
        <v>8702</v>
      </c>
      <c r="C1969" s="3" t="s">
        <v>1505</v>
      </c>
      <c r="D1969" s="3" t="s">
        <v>8703</v>
      </c>
      <c r="E1969" s="3" t="s">
        <v>33</v>
      </c>
      <c r="F1969" s="3" t="s">
        <v>928</v>
      </c>
      <c r="G1969" s="3" t="s">
        <v>557</v>
      </c>
      <c r="H1969" s="3" t="s">
        <v>1126</v>
      </c>
      <c r="I1969" s="3">
        <v>2</v>
      </c>
      <c r="J1969" s="3" t="s">
        <v>39</v>
      </c>
      <c r="K1969" s="3" t="s">
        <v>314</v>
      </c>
      <c r="L1969" s="3" t="s">
        <v>314</v>
      </c>
      <c r="M1969" s="3" t="s">
        <v>5959</v>
      </c>
      <c r="N1969" s="3" t="s">
        <v>409</v>
      </c>
      <c r="O1969" s="3" t="s">
        <v>21</v>
      </c>
      <c r="P1969" s="3" t="s">
        <v>196</v>
      </c>
      <c r="Q1969" s="3" t="s">
        <v>197</v>
      </c>
      <c r="R1969" s="3">
        <v>1</v>
      </c>
      <c r="S1969" s="3">
        <v>41473</v>
      </c>
      <c r="T1969" s="3">
        <v>25</v>
      </c>
      <c r="U1969" s="3">
        <v>31104.75</v>
      </c>
      <c r="V1969" s="3">
        <v>18056.27</v>
      </c>
      <c r="W1969" s="3">
        <v>13048.48</v>
      </c>
      <c r="X1969" s="3">
        <v>41.95</v>
      </c>
      <c r="Y1969" s="3">
        <v>0</v>
      </c>
      <c r="Z1969" s="3" t="s">
        <v>30</v>
      </c>
      <c r="AA1969" s="3" t="s">
        <v>672</v>
      </c>
      <c r="AB1969" s="3" t="s">
        <v>101</v>
      </c>
      <c r="AC1969" s="3"/>
    </row>
    <row r="1970" spans="1:29" x14ac:dyDescent="0.3">
      <c r="A1970" s="2" t="s">
        <v>8704</v>
      </c>
      <c r="B1970" s="2" t="s">
        <v>8705</v>
      </c>
      <c r="C1970" s="2" t="s">
        <v>840</v>
      </c>
      <c r="D1970" s="2" t="s">
        <v>8706</v>
      </c>
      <c r="E1970" s="2" t="s">
        <v>42</v>
      </c>
      <c r="F1970" s="2" t="s">
        <v>566</v>
      </c>
      <c r="G1970" s="2" t="s">
        <v>908</v>
      </c>
      <c r="H1970" s="2" t="s">
        <v>434</v>
      </c>
      <c r="I1970" s="2">
        <v>6</v>
      </c>
      <c r="J1970" s="2" t="s">
        <v>22</v>
      </c>
      <c r="K1970" s="2" t="s">
        <v>283</v>
      </c>
      <c r="L1970" s="2" t="s">
        <v>284</v>
      </c>
      <c r="M1970" s="2" t="s">
        <v>8560</v>
      </c>
      <c r="N1970" s="2" t="s">
        <v>185</v>
      </c>
      <c r="O1970" s="2" t="s">
        <v>28</v>
      </c>
      <c r="P1970" s="2" t="s">
        <v>151</v>
      </c>
      <c r="Q1970" s="2" t="s">
        <v>400</v>
      </c>
      <c r="R1970" s="2">
        <v>5</v>
      </c>
      <c r="S1970" s="2">
        <v>33209.120000000003</v>
      </c>
      <c r="T1970" s="2">
        <v>30</v>
      </c>
      <c r="U1970" s="2">
        <v>116231.92</v>
      </c>
      <c r="V1970" s="2">
        <v>73043.44</v>
      </c>
      <c r="W1970" s="2">
        <v>43188.480000000003</v>
      </c>
      <c r="X1970" s="2">
        <v>37.159999999999997</v>
      </c>
      <c r="Y1970" s="2">
        <v>99</v>
      </c>
      <c r="Z1970" s="2" t="s">
        <v>15</v>
      </c>
      <c r="AA1970" s="2" t="s">
        <v>100</v>
      </c>
      <c r="AB1970" s="2" t="s">
        <v>101</v>
      </c>
      <c r="AC1970" s="2">
        <v>1</v>
      </c>
    </row>
    <row r="1971" spans="1:29" x14ac:dyDescent="0.3">
      <c r="A1971" s="3" t="s">
        <v>8707</v>
      </c>
      <c r="B1971" s="3" t="s">
        <v>8708</v>
      </c>
      <c r="C1971" s="3" t="s">
        <v>3903</v>
      </c>
      <c r="D1971" s="3" t="s">
        <v>8709</v>
      </c>
      <c r="E1971" s="3" t="s">
        <v>26</v>
      </c>
      <c r="F1971" s="3" t="s">
        <v>3877</v>
      </c>
      <c r="G1971" s="3" t="s">
        <v>1306</v>
      </c>
      <c r="H1971" s="3" t="s">
        <v>190</v>
      </c>
      <c r="I1971" s="3">
        <v>8</v>
      </c>
      <c r="J1971" s="3" t="s">
        <v>39</v>
      </c>
      <c r="K1971" s="3" t="s">
        <v>193</v>
      </c>
      <c r="L1971" s="3" t="s">
        <v>193</v>
      </c>
      <c r="M1971" s="3" t="s">
        <v>8710</v>
      </c>
      <c r="N1971" s="3" t="s">
        <v>639</v>
      </c>
      <c r="O1971" s="3" t="s">
        <v>27</v>
      </c>
      <c r="P1971" s="3" t="s">
        <v>175</v>
      </c>
      <c r="Q1971" s="3" t="s">
        <v>509</v>
      </c>
      <c r="R1971" s="3">
        <v>5</v>
      </c>
      <c r="S1971" s="3">
        <v>39500.129999999997</v>
      </c>
      <c r="T1971" s="3">
        <v>10</v>
      </c>
      <c r="U1971" s="3">
        <v>177750.58</v>
      </c>
      <c r="V1971" s="3">
        <v>94985.04</v>
      </c>
      <c r="W1971" s="3">
        <v>82765.539999999994</v>
      </c>
      <c r="X1971" s="3">
        <v>46.56</v>
      </c>
      <c r="Y1971" s="3">
        <v>49</v>
      </c>
      <c r="Z1971" s="3" t="s">
        <v>30</v>
      </c>
      <c r="AA1971" s="3" t="s">
        <v>100</v>
      </c>
      <c r="AB1971" s="3" t="s">
        <v>101</v>
      </c>
      <c r="AC1971" s="3">
        <v>1</v>
      </c>
    </row>
    <row r="1972" spans="1:29" x14ac:dyDescent="0.3">
      <c r="A1972" s="2" t="s">
        <v>8711</v>
      </c>
      <c r="B1972" s="2" t="s">
        <v>8712</v>
      </c>
      <c r="C1972" s="2" t="s">
        <v>1426</v>
      </c>
      <c r="D1972" s="2" t="s">
        <v>5622</v>
      </c>
      <c r="E1972" s="2" t="s">
        <v>33</v>
      </c>
      <c r="F1972" s="2" t="s">
        <v>263</v>
      </c>
      <c r="G1972" s="2" t="s">
        <v>133</v>
      </c>
      <c r="H1972" s="2" t="s">
        <v>2712</v>
      </c>
      <c r="I1972" s="2">
        <v>7</v>
      </c>
      <c r="J1972" s="2" t="s">
        <v>29</v>
      </c>
      <c r="K1972" s="2" t="s">
        <v>334</v>
      </c>
      <c r="L1972" s="2" t="s">
        <v>1073</v>
      </c>
      <c r="M1972" s="2" t="s">
        <v>4367</v>
      </c>
      <c r="N1972" s="2" t="s">
        <v>112</v>
      </c>
      <c r="O1972" s="2" t="s">
        <v>27</v>
      </c>
      <c r="P1972" s="2" t="s">
        <v>113</v>
      </c>
      <c r="Q1972" s="2" t="s">
        <v>509</v>
      </c>
      <c r="R1972" s="2">
        <v>4</v>
      </c>
      <c r="S1972" s="2">
        <v>42883.33</v>
      </c>
      <c r="T1972" s="2">
        <v>25</v>
      </c>
      <c r="U1972" s="2">
        <v>128649.99</v>
      </c>
      <c r="V1972" s="2">
        <v>85615.26</v>
      </c>
      <c r="W1972" s="2">
        <v>43034.73</v>
      </c>
      <c r="X1972" s="2">
        <v>33.450000000000003</v>
      </c>
      <c r="Y1972" s="2">
        <v>49</v>
      </c>
      <c r="Z1972" s="2" t="s">
        <v>40</v>
      </c>
      <c r="AA1972" s="2" t="s">
        <v>100</v>
      </c>
      <c r="AB1972" s="2" t="s">
        <v>101</v>
      </c>
      <c r="AC1972" s="2">
        <v>3</v>
      </c>
    </row>
    <row r="1973" spans="1:29" x14ac:dyDescent="0.3">
      <c r="A1973" s="3" t="s">
        <v>8713</v>
      </c>
      <c r="B1973" s="3" t="s">
        <v>4816</v>
      </c>
      <c r="C1973" s="3" t="s">
        <v>1899</v>
      </c>
      <c r="D1973" s="3" t="s">
        <v>8714</v>
      </c>
      <c r="E1973" s="3" t="s">
        <v>18</v>
      </c>
      <c r="F1973" s="3" t="s">
        <v>3561</v>
      </c>
      <c r="G1973" s="3" t="s">
        <v>5295</v>
      </c>
      <c r="H1973" s="3" t="s">
        <v>1945</v>
      </c>
      <c r="I1973" s="3">
        <v>7</v>
      </c>
      <c r="J1973" s="3" t="s">
        <v>14</v>
      </c>
      <c r="K1973" s="3" t="s">
        <v>712</v>
      </c>
      <c r="L1973" s="3" t="s">
        <v>712</v>
      </c>
      <c r="M1973" s="3" t="s">
        <v>8715</v>
      </c>
      <c r="N1973" s="3" t="s">
        <v>354</v>
      </c>
      <c r="O1973" s="3" t="s">
        <v>21</v>
      </c>
      <c r="P1973" s="3" t="s">
        <v>196</v>
      </c>
      <c r="Q1973" s="3" t="s">
        <v>608</v>
      </c>
      <c r="R1973" s="3">
        <v>3</v>
      </c>
      <c r="S1973" s="3">
        <v>23534.67</v>
      </c>
      <c r="T1973" s="3">
        <v>20</v>
      </c>
      <c r="U1973" s="3">
        <v>56483.21</v>
      </c>
      <c r="V1973" s="3">
        <v>36178.49</v>
      </c>
      <c r="W1973" s="3">
        <v>20304.72</v>
      </c>
      <c r="X1973" s="3">
        <v>35.950000000000003</v>
      </c>
      <c r="Y1973" s="3">
        <v>149</v>
      </c>
      <c r="Z1973" s="3" t="s">
        <v>30</v>
      </c>
      <c r="AA1973" s="3" t="s">
        <v>100</v>
      </c>
      <c r="AB1973" s="3" t="s">
        <v>101</v>
      </c>
      <c r="AC1973" s="3">
        <v>5</v>
      </c>
    </row>
    <row r="1974" spans="1:29" x14ac:dyDescent="0.3">
      <c r="A1974" s="2" t="s">
        <v>8716</v>
      </c>
      <c r="B1974" s="2" t="s">
        <v>8717</v>
      </c>
      <c r="C1974" s="2" t="s">
        <v>2779</v>
      </c>
      <c r="D1974" s="2" t="s">
        <v>8718</v>
      </c>
      <c r="E1974" s="2" t="s">
        <v>26</v>
      </c>
      <c r="F1974" s="2" t="s">
        <v>6543</v>
      </c>
      <c r="G1974" s="2" t="s">
        <v>4192</v>
      </c>
      <c r="H1974" s="2" t="s">
        <v>6545</v>
      </c>
      <c r="I1974" s="2">
        <v>3</v>
      </c>
      <c r="J1974" s="2" t="s">
        <v>22</v>
      </c>
      <c r="K1974" s="2" t="s">
        <v>738</v>
      </c>
      <c r="L1974" s="2" t="s">
        <v>738</v>
      </c>
      <c r="M1974" s="2" t="s">
        <v>2281</v>
      </c>
      <c r="N1974" s="2" t="s">
        <v>150</v>
      </c>
      <c r="O1974" s="2" t="s">
        <v>28</v>
      </c>
      <c r="P1974" s="2" t="s">
        <v>151</v>
      </c>
      <c r="Q1974" s="2" t="s">
        <v>99</v>
      </c>
      <c r="R1974" s="2">
        <v>3</v>
      </c>
      <c r="S1974" s="2">
        <v>45973.279999999999</v>
      </c>
      <c r="T1974" s="2">
        <v>20</v>
      </c>
      <c r="U1974" s="2">
        <v>110335.87</v>
      </c>
      <c r="V1974" s="2">
        <v>75188.97</v>
      </c>
      <c r="W1974" s="2">
        <v>35146.9</v>
      </c>
      <c r="X1974" s="2">
        <v>31.85</v>
      </c>
      <c r="Y1974" s="2">
        <v>199</v>
      </c>
      <c r="Z1974" s="2" t="s">
        <v>40</v>
      </c>
      <c r="AA1974" s="2" t="s">
        <v>100</v>
      </c>
      <c r="AB1974" s="2" t="s">
        <v>101</v>
      </c>
      <c r="AC1974" s="2"/>
    </row>
    <row r="1975" spans="1:29" x14ac:dyDescent="0.3">
      <c r="A1975" s="3" t="s">
        <v>8719</v>
      </c>
      <c r="B1975" s="3" t="s">
        <v>2390</v>
      </c>
      <c r="C1975" s="3" t="s">
        <v>725</v>
      </c>
      <c r="D1975" s="3" t="s">
        <v>8720</v>
      </c>
      <c r="E1975" s="3" t="s">
        <v>33</v>
      </c>
      <c r="F1975" s="3" t="s">
        <v>2120</v>
      </c>
      <c r="G1975" s="3" t="s">
        <v>3369</v>
      </c>
      <c r="H1975" s="3" t="s">
        <v>2143</v>
      </c>
      <c r="I1975" s="3">
        <v>4</v>
      </c>
      <c r="J1975" s="3" t="s">
        <v>22</v>
      </c>
      <c r="K1975" s="3" t="s">
        <v>738</v>
      </c>
      <c r="L1975" s="3" t="s">
        <v>738</v>
      </c>
      <c r="M1975" s="3" t="s">
        <v>8721</v>
      </c>
      <c r="N1975" s="3" t="s">
        <v>508</v>
      </c>
      <c r="O1975" s="3" t="s">
        <v>19</v>
      </c>
      <c r="P1975" s="3" t="s">
        <v>365</v>
      </c>
      <c r="Q1975" s="3" t="s">
        <v>509</v>
      </c>
      <c r="R1975" s="3">
        <v>3</v>
      </c>
      <c r="S1975" s="3">
        <v>13816.36</v>
      </c>
      <c r="T1975" s="3">
        <v>25</v>
      </c>
      <c r="U1975" s="3">
        <v>31086.81</v>
      </c>
      <c r="V1975" s="3">
        <v>14926.61</v>
      </c>
      <c r="W1975" s="3">
        <v>16160.2</v>
      </c>
      <c r="X1975" s="3">
        <v>51.98</v>
      </c>
      <c r="Y1975" s="3">
        <v>99</v>
      </c>
      <c r="Z1975" s="3" t="s">
        <v>30</v>
      </c>
      <c r="AA1975" s="3" t="s">
        <v>100</v>
      </c>
      <c r="AB1975" s="3" t="s">
        <v>101</v>
      </c>
      <c r="AC1975" s="3">
        <v>1</v>
      </c>
    </row>
    <row r="1976" spans="1:29" x14ac:dyDescent="0.3">
      <c r="A1976" s="2" t="s">
        <v>8722</v>
      </c>
      <c r="B1976" s="2" t="s">
        <v>8723</v>
      </c>
      <c r="C1976" s="2" t="s">
        <v>117</v>
      </c>
      <c r="D1976" s="2" t="s">
        <v>8724</v>
      </c>
      <c r="E1976" s="2" t="s">
        <v>18</v>
      </c>
      <c r="F1976" s="2" t="s">
        <v>3792</v>
      </c>
      <c r="G1976" s="2" t="s">
        <v>461</v>
      </c>
      <c r="H1976" s="2" t="s">
        <v>2514</v>
      </c>
      <c r="I1976" s="2">
        <v>7</v>
      </c>
      <c r="J1976" s="2" t="s">
        <v>22</v>
      </c>
      <c r="K1976" s="2" t="s">
        <v>254</v>
      </c>
      <c r="L1976" s="2" t="s">
        <v>254</v>
      </c>
      <c r="M1976" s="2" t="s">
        <v>8725</v>
      </c>
      <c r="N1976" s="2" t="s">
        <v>616</v>
      </c>
      <c r="O1976" s="2" t="s">
        <v>21</v>
      </c>
      <c r="P1976" s="2" t="s">
        <v>206</v>
      </c>
      <c r="Q1976" s="2" t="s">
        <v>509</v>
      </c>
      <c r="R1976" s="2">
        <v>2</v>
      </c>
      <c r="S1976" s="2">
        <v>11429.09</v>
      </c>
      <c r="T1976" s="2">
        <v>25</v>
      </c>
      <c r="U1976" s="2">
        <v>17143.64</v>
      </c>
      <c r="V1976" s="2">
        <v>9072.91</v>
      </c>
      <c r="W1976" s="2">
        <v>8070.73</v>
      </c>
      <c r="X1976" s="2">
        <v>47.08</v>
      </c>
      <c r="Y1976" s="2">
        <v>0</v>
      </c>
      <c r="Z1976" s="2" t="s">
        <v>43</v>
      </c>
      <c r="AA1976" s="2" t="s">
        <v>186</v>
      </c>
      <c r="AB1976" s="2" t="s">
        <v>101</v>
      </c>
      <c r="AC1976" s="2"/>
    </row>
    <row r="1977" spans="1:29" x14ac:dyDescent="0.3">
      <c r="A1977" s="3" t="s">
        <v>8726</v>
      </c>
      <c r="B1977" s="3" t="s">
        <v>8727</v>
      </c>
      <c r="C1977" s="3" t="s">
        <v>707</v>
      </c>
      <c r="D1977" s="3" t="s">
        <v>8728</v>
      </c>
      <c r="E1977" s="3" t="s">
        <v>18</v>
      </c>
      <c r="F1977" s="3" t="s">
        <v>4241</v>
      </c>
      <c r="G1977" s="3" t="s">
        <v>2582</v>
      </c>
      <c r="H1977" s="3" t="s">
        <v>4757</v>
      </c>
      <c r="I1977" s="3">
        <v>7</v>
      </c>
      <c r="J1977" s="3" t="s">
        <v>22</v>
      </c>
      <c r="K1977" s="3" t="s">
        <v>443</v>
      </c>
      <c r="L1977" s="3" t="s">
        <v>444</v>
      </c>
      <c r="M1977" s="3" t="s">
        <v>8715</v>
      </c>
      <c r="N1977" s="3" t="s">
        <v>274</v>
      </c>
      <c r="O1977" s="3" t="s">
        <v>21</v>
      </c>
      <c r="P1977" s="3" t="s">
        <v>126</v>
      </c>
      <c r="Q1977" s="3" t="s">
        <v>218</v>
      </c>
      <c r="R1977" s="3">
        <v>1</v>
      </c>
      <c r="S1977" s="3">
        <v>12872.76</v>
      </c>
      <c r="T1977" s="3">
        <v>5</v>
      </c>
      <c r="U1977" s="3">
        <v>12229.12</v>
      </c>
      <c r="V1977" s="3">
        <v>8423.61</v>
      </c>
      <c r="W1977" s="3">
        <v>3805.51</v>
      </c>
      <c r="X1977" s="3">
        <v>31.12</v>
      </c>
      <c r="Y1977" s="3">
        <v>149</v>
      </c>
      <c r="Z1977" s="3" t="s">
        <v>23</v>
      </c>
      <c r="AA1977" s="3" t="s">
        <v>100</v>
      </c>
      <c r="AB1977" s="3" t="s">
        <v>101</v>
      </c>
      <c r="AC1977" s="3">
        <v>1</v>
      </c>
    </row>
    <row r="1978" spans="1:29" x14ac:dyDescent="0.3">
      <c r="A1978" s="2" t="s">
        <v>8729</v>
      </c>
      <c r="B1978" s="2" t="s">
        <v>8730</v>
      </c>
      <c r="C1978" s="2" t="s">
        <v>3250</v>
      </c>
      <c r="D1978" s="2" t="s">
        <v>4582</v>
      </c>
      <c r="E1978" s="2" t="s">
        <v>42</v>
      </c>
      <c r="F1978" s="2" t="s">
        <v>497</v>
      </c>
      <c r="G1978" s="2" t="s">
        <v>3227</v>
      </c>
      <c r="H1978" s="2" t="s">
        <v>7059</v>
      </c>
      <c r="I1978" s="2">
        <v>2</v>
      </c>
      <c r="J1978" s="2" t="s">
        <v>22</v>
      </c>
      <c r="K1978" s="2" t="s">
        <v>283</v>
      </c>
      <c r="L1978" s="2" t="s">
        <v>1346</v>
      </c>
      <c r="M1978" s="2" t="s">
        <v>8731</v>
      </c>
      <c r="N1978" s="2" t="s">
        <v>1051</v>
      </c>
      <c r="O1978" s="2" t="s">
        <v>28</v>
      </c>
      <c r="P1978" s="2" t="s">
        <v>151</v>
      </c>
      <c r="Q1978" s="2" t="s">
        <v>509</v>
      </c>
      <c r="R1978" s="2">
        <v>4</v>
      </c>
      <c r="S1978" s="2">
        <v>4297.93</v>
      </c>
      <c r="T1978" s="2">
        <v>5</v>
      </c>
      <c r="U1978" s="2">
        <v>16332.13</v>
      </c>
      <c r="V1978" s="2">
        <v>9457.64</v>
      </c>
      <c r="W1978" s="2">
        <v>6874.49</v>
      </c>
      <c r="X1978" s="2">
        <v>42.09</v>
      </c>
      <c r="Y1978" s="2">
        <v>199</v>
      </c>
      <c r="Z1978" s="2" t="s">
        <v>47</v>
      </c>
      <c r="AA1978" s="2" t="s">
        <v>100</v>
      </c>
      <c r="AB1978" s="2" t="s">
        <v>101</v>
      </c>
      <c r="AC1978" s="2">
        <v>2</v>
      </c>
    </row>
    <row r="1979" spans="1:29" x14ac:dyDescent="0.3">
      <c r="A1979" s="3" t="s">
        <v>8732</v>
      </c>
      <c r="B1979" s="3" t="s">
        <v>4315</v>
      </c>
      <c r="C1979" s="3" t="s">
        <v>967</v>
      </c>
      <c r="D1979" s="3" t="s">
        <v>8733</v>
      </c>
      <c r="E1979" s="3" t="s">
        <v>33</v>
      </c>
      <c r="F1979" s="3" t="s">
        <v>5402</v>
      </c>
      <c r="G1979" s="3" t="s">
        <v>1733</v>
      </c>
      <c r="H1979" s="3" t="s">
        <v>4168</v>
      </c>
      <c r="I1979" s="3">
        <v>6</v>
      </c>
      <c r="J1979" s="3" t="s">
        <v>39</v>
      </c>
      <c r="K1979" s="3" t="s">
        <v>109</v>
      </c>
      <c r="L1979" s="3" t="s">
        <v>134</v>
      </c>
      <c r="M1979" s="3" t="s">
        <v>8734</v>
      </c>
      <c r="N1979" s="3" t="s">
        <v>456</v>
      </c>
      <c r="O1979" s="3" t="s">
        <v>21</v>
      </c>
      <c r="P1979" s="3" t="s">
        <v>206</v>
      </c>
      <c r="Q1979" s="3" t="s">
        <v>466</v>
      </c>
      <c r="R1979" s="3">
        <v>5</v>
      </c>
      <c r="S1979" s="3">
        <v>43288.06</v>
      </c>
      <c r="T1979" s="3">
        <v>5</v>
      </c>
      <c r="U1979" s="3">
        <v>205618.28</v>
      </c>
      <c r="V1979" s="3">
        <v>132561.09</v>
      </c>
      <c r="W1979" s="3">
        <v>73057.19</v>
      </c>
      <c r="X1979" s="3">
        <v>35.53</v>
      </c>
      <c r="Y1979" s="3">
        <v>0</v>
      </c>
      <c r="Z1979" s="3" t="s">
        <v>40</v>
      </c>
      <c r="AA1979" s="3" t="s">
        <v>100</v>
      </c>
      <c r="AB1979" s="3" t="s">
        <v>101</v>
      </c>
      <c r="AC1979" s="3">
        <v>1</v>
      </c>
    </row>
    <row r="1980" spans="1:29" x14ac:dyDescent="0.3">
      <c r="A1980" s="2" t="s">
        <v>8735</v>
      </c>
      <c r="B1980" s="2" t="s">
        <v>8736</v>
      </c>
      <c r="C1980" s="2" t="s">
        <v>1451</v>
      </c>
      <c r="D1980" s="2" t="s">
        <v>8737</v>
      </c>
      <c r="E1980" s="2" t="s">
        <v>18</v>
      </c>
      <c r="F1980" s="2" t="s">
        <v>1385</v>
      </c>
      <c r="G1980" s="2" t="s">
        <v>1950</v>
      </c>
      <c r="H1980" s="2" t="s">
        <v>5791</v>
      </c>
      <c r="I1980" s="2">
        <v>4</v>
      </c>
      <c r="J1980" s="2" t="s">
        <v>22</v>
      </c>
      <c r="K1980" s="2" t="s">
        <v>443</v>
      </c>
      <c r="L1980" s="2" t="s">
        <v>567</v>
      </c>
      <c r="M1980" s="2" t="s">
        <v>3516</v>
      </c>
      <c r="N1980" s="2" t="s">
        <v>125</v>
      </c>
      <c r="O1980" s="2" t="s">
        <v>21</v>
      </c>
      <c r="P1980" s="2" t="s">
        <v>126</v>
      </c>
      <c r="Q1980" s="2" t="s">
        <v>207</v>
      </c>
      <c r="R1980" s="2">
        <v>5</v>
      </c>
      <c r="S1980" s="2">
        <v>10638.28</v>
      </c>
      <c r="T1980" s="2">
        <v>25</v>
      </c>
      <c r="U1980" s="2">
        <v>39893.550000000003</v>
      </c>
      <c r="V1980" s="2">
        <v>21106.16</v>
      </c>
      <c r="W1980" s="2">
        <v>18787.39</v>
      </c>
      <c r="X1980" s="2">
        <v>47.09</v>
      </c>
      <c r="Y1980" s="2">
        <v>99</v>
      </c>
      <c r="Z1980" s="2" t="s">
        <v>47</v>
      </c>
      <c r="AA1980" s="2" t="s">
        <v>100</v>
      </c>
      <c r="AB1980" s="2" t="s">
        <v>101</v>
      </c>
      <c r="AC1980" s="2">
        <v>1</v>
      </c>
    </row>
    <row r="1981" spans="1:29" x14ac:dyDescent="0.3">
      <c r="A1981" s="3" t="s">
        <v>8738</v>
      </c>
      <c r="B1981" s="3" t="s">
        <v>8739</v>
      </c>
      <c r="C1981" s="3" t="s">
        <v>2298</v>
      </c>
      <c r="D1981" s="3" t="s">
        <v>8740</v>
      </c>
      <c r="E1981" s="3" t="s">
        <v>26</v>
      </c>
      <c r="F1981" s="3" t="s">
        <v>1756</v>
      </c>
      <c r="G1981" s="3" t="s">
        <v>1840</v>
      </c>
      <c r="H1981" s="3" t="s">
        <v>1868</v>
      </c>
      <c r="I1981" s="3">
        <v>6</v>
      </c>
      <c r="J1981" s="3" t="s">
        <v>22</v>
      </c>
      <c r="K1981" s="3" t="s">
        <v>254</v>
      </c>
      <c r="L1981" s="3" t="s">
        <v>254</v>
      </c>
      <c r="M1981" s="3" t="s">
        <v>888</v>
      </c>
      <c r="N1981" s="3" t="s">
        <v>722</v>
      </c>
      <c r="O1981" s="3" t="s">
        <v>27</v>
      </c>
      <c r="P1981" s="3" t="s">
        <v>175</v>
      </c>
      <c r="Q1981" s="3" t="s">
        <v>608</v>
      </c>
      <c r="R1981" s="3">
        <v>2</v>
      </c>
      <c r="S1981" s="3">
        <v>9251.91</v>
      </c>
      <c r="T1981" s="3">
        <v>15</v>
      </c>
      <c r="U1981" s="3">
        <v>15728.25</v>
      </c>
      <c r="V1981" s="3">
        <v>7955.38</v>
      </c>
      <c r="W1981" s="3">
        <v>7772.87</v>
      </c>
      <c r="X1981" s="3">
        <v>49.42</v>
      </c>
      <c r="Y1981" s="3">
        <v>199</v>
      </c>
      <c r="Z1981" s="3" t="s">
        <v>30</v>
      </c>
      <c r="AA1981" s="3" t="s">
        <v>100</v>
      </c>
      <c r="AB1981" s="3" t="s">
        <v>101</v>
      </c>
      <c r="AC1981" s="3">
        <v>3</v>
      </c>
    </row>
    <row r="1982" spans="1:29" x14ac:dyDescent="0.3">
      <c r="A1982" s="2" t="s">
        <v>8741</v>
      </c>
      <c r="B1982" s="2" t="s">
        <v>8742</v>
      </c>
      <c r="C1982" s="2" t="s">
        <v>478</v>
      </c>
      <c r="D1982" s="2" t="s">
        <v>8743</v>
      </c>
      <c r="E1982" s="2" t="s">
        <v>18</v>
      </c>
      <c r="F1982" s="2" t="s">
        <v>1984</v>
      </c>
      <c r="G1982" s="2" t="s">
        <v>3181</v>
      </c>
      <c r="H1982" s="2" t="s">
        <v>3373</v>
      </c>
      <c r="I1982" s="2">
        <v>7</v>
      </c>
      <c r="J1982" s="2" t="s">
        <v>14</v>
      </c>
      <c r="K1982" s="2" t="s">
        <v>215</v>
      </c>
      <c r="L1982" s="2" t="s">
        <v>215</v>
      </c>
      <c r="M1982" s="2" t="s">
        <v>8744</v>
      </c>
      <c r="N1982" s="2" t="s">
        <v>399</v>
      </c>
      <c r="O1982" s="2" t="s">
        <v>21</v>
      </c>
      <c r="P1982" s="2" t="s">
        <v>196</v>
      </c>
      <c r="Q1982" s="2" t="s">
        <v>218</v>
      </c>
      <c r="R1982" s="2">
        <v>2</v>
      </c>
      <c r="S1982" s="2">
        <v>46821.88</v>
      </c>
      <c r="T1982" s="2">
        <v>15</v>
      </c>
      <c r="U1982" s="2">
        <v>79597.2</v>
      </c>
      <c r="V1982" s="2">
        <v>40254.93</v>
      </c>
      <c r="W1982" s="2">
        <v>39342.269999999997</v>
      </c>
      <c r="X1982" s="2">
        <v>49.43</v>
      </c>
      <c r="Y1982" s="2">
        <v>99</v>
      </c>
      <c r="Z1982" s="2" t="s">
        <v>15</v>
      </c>
      <c r="AA1982" s="2" t="s">
        <v>100</v>
      </c>
      <c r="AB1982" s="2" t="s">
        <v>101</v>
      </c>
      <c r="AC1982" s="2"/>
    </row>
    <row r="1983" spans="1:29" x14ac:dyDescent="0.3">
      <c r="A1983" s="3" t="s">
        <v>8745</v>
      </c>
      <c r="B1983" s="3" t="s">
        <v>8746</v>
      </c>
      <c r="C1983" s="3" t="s">
        <v>1166</v>
      </c>
      <c r="D1983" s="3" t="s">
        <v>8747</v>
      </c>
      <c r="E1983" s="3" t="s">
        <v>42</v>
      </c>
      <c r="F1983" s="3" t="s">
        <v>4305</v>
      </c>
      <c r="G1983" s="3" t="s">
        <v>2920</v>
      </c>
      <c r="H1983" s="3" t="s">
        <v>1654</v>
      </c>
      <c r="I1983" s="3">
        <v>3</v>
      </c>
      <c r="J1983" s="3" t="s">
        <v>29</v>
      </c>
      <c r="K1983" s="3" t="s">
        <v>427</v>
      </c>
      <c r="L1983" s="3" t="s">
        <v>1871</v>
      </c>
      <c r="M1983" s="3" t="s">
        <v>2599</v>
      </c>
      <c r="N1983" s="3" t="s">
        <v>686</v>
      </c>
      <c r="O1983" s="3" t="s">
        <v>13</v>
      </c>
      <c r="P1983" s="3" t="s">
        <v>228</v>
      </c>
      <c r="Q1983" s="3" t="s">
        <v>608</v>
      </c>
      <c r="R1983" s="3">
        <v>3</v>
      </c>
      <c r="S1983" s="3">
        <v>23396.98</v>
      </c>
      <c r="T1983" s="3">
        <v>25</v>
      </c>
      <c r="U1983" s="3">
        <v>52643.21</v>
      </c>
      <c r="V1983" s="3">
        <v>26813.48</v>
      </c>
      <c r="W1983" s="3">
        <v>25829.73</v>
      </c>
      <c r="X1983" s="3">
        <v>49.07</v>
      </c>
      <c r="Y1983" s="3">
        <v>149</v>
      </c>
      <c r="Z1983" s="3" t="s">
        <v>30</v>
      </c>
      <c r="AA1983" s="3" t="s">
        <v>100</v>
      </c>
      <c r="AB1983" s="3" t="s">
        <v>101</v>
      </c>
      <c r="AC1983" s="3">
        <v>2</v>
      </c>
    </row>
    <row r="1984" spans="1:29" x14ac:dyDescent="0.3">
      <c r="A1984" s="2" t="s">
        <v>8748</v>
      </c>
      <c r="B1984" s="2" t="s">
        <v>8749</v>
      </c>
      <c r="C1984" s="2" t="s">
        <v>1311</v>
      </c>
      <c r="D1984" s="2" t="s">
        <v>8750</v>
      </c>
      <c r="E1984" s="2" t="s">
        <v>26</v>
      </c>
      <c r="F1984" s="2" t="s">
        <v>131</v>
      </c>
      <c r="G1984" s="2" t="s">
        <v>132</v>
      </c>
      <c r="H1984" s="2" t="s">
        <v>2327</v>
      </c>
      <c r="I1984" s="2">
        <v>8</v>
      </c>
      <c r="J1984" s="2" t="s">
        <v>22</v>
      </c>
      <c r="K1984" s="2" t="s">
        <v>443</v>
      </c>
      <c r="L1984" s="2" t="s">
        <v>567</v>
      </c>
      <c r="M1984" s="2" t="s">
        <v>8751</v>
      </c>
      <c r="N1984" s="2" t="s">
        <v>631</v>
      </c>
      <c r="O1984" s="2" t="s">
        <v>19</v>
      </c>
      <c r="P1984" s="2" t="s">
        <v>297</v>
      </c>
      <c r="Q1984" s="2" t="s">
        <v>127</v>
      </c>
      <c r="R1984" s="2">
        <v>3</v>
      </c>
      <c r="S1984" s="2">
        <v>26455.06</v>
      </c>
      <c r="T1984" s="2">
        <v>25</v>
      </c>
      <c r="U1984" s="2">
        <v>59523.89</v>
      </c>
      <c r="V1984" s="2">
        <v>29155.65</v>
      </c>
      <c r="W1984" s="2">
        <v>30368.240000000002</v>
      </c>
      <c r="X1984" s="2">
        <v>51.02</v>
      </c>
      <c r="Y1984" s="2">
        <v>199</v>
      </c>
      <c r="Z1984" s="2" t="s">
        <v>43</v>
      </c>
      <c r="AA1984" s="2" t="s">
        <v>100</v>
      </c>
      <c r="AB1984" s="2" t="s">
        <v>101</v>
      </c>
      <c r="AC1984" s="2">
        <v>5</v>
      </c>
    </row>
    <row r="1985" spans="1:29" x14ac:dyDescent="0.3">
      <c r="A1985" s="3" t="s">
        <v>8752</v>
      </c>
      <c r="B1985" s="3" t="s">
        <v>8753</v>
      </c>
      <c r="C1985" s="3" t="s">
        <v>847</v>
      </c>
      <c r="D1985" s="3" t="s">
        <v>8754</v>
      </c>
      <c r="E1985" s="3" t="s">
        <v>26</v>
      </c>
      <c r="F1985" s="3" t="s">
        <v>558</v>
      </c>
      <c r="G1985" s="3" t="s">
        <v>879</v>
      </c>
      <c r="H1985" s="3" t="s">
        <v>682</v>
      </c>
      <c r="I1985" s="3">
        <v>2</v>
      </c>
      <c r="J1985" s="3" t="s">
        <v>39</v>
      </c>
      <c r="K1985" s="3" t="s">
        <v>314</v>
      </c>
      <c r="L1985" s="3" t="s">
        <v>314</v>
      </c>
      <c r="M1985" s="3" t="s">
        <v>8755</v>
      </c>
      <c r="N1985" s="3" t="s">
        <v>484</v>
      </c>
      <c r="O1985" s="3" t="s">
        <v>13</v>
      </c>
      <c r="P1985" s="3" t="s">
        <v>98</v>
      </c>
      <c r="Q1985" s="3" t="s">
        <v>197</v>
      </c>
      <c r="R1985" s="3">
        <v>2</v>
      </c>
      <c r="S1985" s="3">
        <v>44270.62</v>
      </c>
      <c r="T1985" s="3">
        <v>10</v>
      </c>
      <c r="U1985" s="3">
        <v>79687.12</v>
      </c>
      <c r="V1985" s="3">
        <v>49486.43</v>
      </c>
      <c r="W1985" s="3">
        <v>30200.69</v>
      </c>
      <c r="X1985" s="3">
        <v>37.9</v>
      </c>
      <c r="Y1985" s="3">
        <v>29</v>
      </c>
      <c r="Z1985" s="3" t="s">
        <v>47</v>
      </c>
      <c r="AA1985" s="3" t="s">
        <v>100</v>
      </c>
      <c r="AB1985" s="3" t="s">
        <v>101</v>
      </c>
      <c r="AC1985" s="3"/>
    </row>
    <row r="1986" spans="1:29" x14ac:dyDescent="0.3">
      <c r="A1986" s="2" t="s">
        <v>8756</v>
      </c>
      <c r="B1986" s="2" t="s">
        <v>8757</v>
      </c>
      <c r="C1986" s="2" t="s">
        <v>1433</v>
      </c>
      <c r="D1986" s="2" t="s">
        <v>8758</v>
      </c>
      <c r="E1986" s="2" t="s">
        <v>26</v>
      </c>
      <c r="F1986" s="2" t="s">
        <v>2046</v>
      </c>
      <c r="G1986" s="2" t="s">
        <v>2047</v>
      </c>
      <c r="H1986" s="2" t="s">
        <v>3383</v>
      </c>
      <c r="I1986" s="2">
        <v>3</v>
      </c>
      <c r="J1986" s="2" t="s">
        <v>39</v>
      </c>
      <c r="K1986" s="2" t="s">
        <v>193</v>
      </c>
      <c r="L1986" s="2" t="s">
        <v>193</v>
      </c>
      <c r="M1986" s="2" t="s">
        <v>3680</v>
      </c>
      <c r="N1986" s="2" t="s">
        <v>97</v>
      </c>
      <c r="O1986" s="2" t="s">
        <v>13</v>
      </c>
      <c r="P1986" s="2" t="s">
        <v>98</v>
      </c>
      <c r="Q1986" s="2" t="s">
        <v>197</v>
      </c>
      <c r="R1986" s="2">
        <v>2</v>
      </c>
      <c r="S1986" s="2">
        <v>3906.71</v>
      </c>
      <c r="T1986" s="2">
        <v>0</v>
      </c>
      <c r="U1986" s="2">
        <v>7813.42</v>
      </c>
      <c r="V1986" s="2">
        <v>4446.33</v>
      </c>
      <c r="W1986" s="2">
        <v>3367.09</v>
      </c>
      <c r="X1986" s="2">
        <v>43.09</v>
      </c>
      <c r="Y1986" s="2">
        <v>99</v>
      </c>
      <c r="Z1986" s="2" t="s">
        <v>47</v>
      </c>
      <c r="AA1986" s="2" t="s">
        <v>100</v>
      </c>
      <c r="AB1986" s="2" t="s">
        <v>101</v>
      </c>
      <c r="AC1986" s="2">
        <v>1</v>
      </c>
    </row>
    <row r="1987" spans="1:29" x14ac:dyDescent="0.3">
      <c r="A1987" s="3" t="s">
        <v>8759</v>
      </c>
      <c r="B1987" s="3" t="s">
        <v>6662</v>
      </c>
      <c r="C1987" s="3" t="s">
        <v>117</v>
      </c>
      <c r="D1987" s="3" t="s">
        <v>8760</v>
      </c>
      <c r="E1987" s="3" t="s">
        <v>26</v>
      </c>
      <c r="F1987" s="3" t="s">
        <v>3069</v>
      </c>
      <c r="G1987" s="3" t="s">
        <v>1147</v>
      </c>
      <c r="H1987" s="3" t="s">
        <v>3905</v>
      </c>
      <c r="I1987" s="3">
        <v>6</v>
      </c>
      <c r="J1987" s="3" t="s">
        <v>14</v>
      </c>
      <c r="K1987" s="3" t="s">
        <v>171</v>
      </c>
      <c r="L1987" s="3" t="s">
        <v>172</v>
      </c>
      <c r="M1987" s="3" t="s">
        <v>8761</v>
      </c>
      <c r="N1987" s="3" t="s">
        <v>1188</v>
      </c>
      <c r="O1987" s="3" t="s">
        <v>27</v>
      </c>
      <c r="P1987" s="3" t="s">
        <v>257</v>
      </c>
      <c r="Q1987" s="3" t="s">
        <v>509</v>
      </c>
      <c r="R1987" s="3">
        <v>1</v>
      </c>
      <c r="S1987" s="3">
        <v>15110.39</v>
      </c>
      <c r="T1987" s="3">
        <v>5</v>
      </c>
      <c r="U1987" s="3">
        <v>14354.87</v>
      </c>
      <c r="V1987" s="3">
        <v>9346.52</v>
      </c>
      <c r="W1987" s="3">
        <v>5008.3500000000004</v>
      </c>
      <c r="X1987" s="3">
        <v>34.89</v>
      </c>
      <c r="Y1987" s="3">
        <v>199</v>
      </c>
      <c r="Z1987" s="3" t="s">
        <v>43</v>
      </c>
      <c r="AA1987" s="3" t="s">
        <v>275</v>
      </c>
      <c r="AB1987" s="3" t="s">
        <v>101</v>
      </c>
      <c r="AC1987" s="3"/>
    </row>
    <row r="1988" spans="1:29" x14ac:dyDescent="0.3">
      <c r="A1988" s="2" t="s">
        <v>8762</v>
      </c>
      <c r="B1988" s="2" t="s">
        <v>8763</v>
      </c>
      <c r="C1988" s="2" t="s">
        <v>1038</v>
      </c>
      <c r="D1988" s="2" t="s">
        <v>8764</v>
      </c>
      <c r="E1988" s="2" t="s">
        <v>26</v>
      </c>
      <c r="F1988" s="2" t="s">
        <v>3036</v>
      </c>
      <c r="G1988" s="2" t="s">
        <v>4334</v>
      </c>
      <c r="H1988" s="2" t="s">
        <v>343</v>
      </c>
      <c r="I1988" s="2">
        <v>4</v>
      </c>
      <c r="J1988" s="2" t="s">
        <v>22</v>
      </c>
      <c r="K1988" s="2" t="s">
        <v>443</v>
      </c>
      <c r="L1988" s="2" t="s">
        <v>444</v>
      </c>
      <c r="M1988" s="2" t="s">
        <v>8765</v>
      </c>
      <c r="N1988" s="2" t="s">
        <v>125</v>
      </c>
      <c r="O1988" s="2" t="s">
        <v>21</v>
      </c>
      <c r="P1988" s="2" t="s">
        <v>126</v>
      </c>
      <c r="Q1988" s="2" t="s">
        <v>218</v>
      </c>
      <c r="R1988" s="2">
        <v>3</v>
      </c>
      <c r="S1988" s="2">
        <v>29210.6</v>
      </c>
      <c r="T1988" s="2">
        <v>0</v>
      </c>
      <c r="U1988" s="2">
        <v>87631.8</v>
      </c>
      <c r="V1988" s="2">
        <v>53319.06</v>
      </c>
      <c r="W1988" s="2">
        <v>34312.74</v>
      </c>
      <c r="X1988" s="2">
        <v>39.159999999999997</v>
      </c>
      <c r="Y1988" s="2">
        <v>199</v>
      </c>
      <c r="Z1988" s="2" t="s">
        <v>15</v>
      </c>
      <c r="AA1988" s="2" t="s">
        <v>100</v>
      </c>
      <c r="AB1988" s="2" t="s">
        <v>101</v>
      </c>
      <c r="AC1988" s="2">
        <v>1</v>
      </c>
    </row>
    <row r="1989" spans="1:29" x14ac:dyDescent="0.3">
      <c r="A1989" s="3" t="s">
        <v>8766</v>
      </c>
      <c r="B1989" s="3" t="s">
        <v>8767</v>
      </c>
      <c r="C1989" s="3" t="s">
        <v>1226</v>
      </c>
      <c r="D1989" s="3" t="s">
        <v>8454</v>
      </c>
      <c r="E1989" s="3" t="s">
        <v>42</v>
      </c>
      <c r="F1989" s="3" t="s">
        <v>1609</v>
      </c>
      <c r="G1989" s="3" t="s">
        <v>7023</v>
      </c>
      <c r="H1989" s="3" t="s">
        <v>3560</v>
      </c>
      <c r="I1989" s="3">
        <v>5</v>
      </c>
      <c r="J1989" s="3" t="s">
        <v>14</v>
      </c>
      <c r="K1989" s="3" t="s">
        <v>171</v>
      </c>
      <c r="L1989" s="3" t="s">
        <v>541</v>
      </c>
      <c r="M1989" s="3" t="s">
        <v>8768</v>
      </c>
      <c r="N1989" s="3" t="s">
        <v>306</v>
      </c>
      <c r="O1989" s="3" t="s">
        <v>21</v>
      </c>
      <c r="P1989" s="3" t="s">
        <v>126</v>
      </c>
      <c r="Q1989" s="3" t="s">
        <v>509</v>
      </c>
      <c r="R1989" s="3">
        <v>4</v>
      </c>
      <c r="S1989" s="3">
        <v>13615.76</v>
      </c>
      <c r="T1989" s="3">
        <v>20</v>
      </c>
      <c r="U1989" s="3">
        <v>43570.43</v>
      </c>
      <c r="V1989" s="3">
        <v>21717.27</v>
      </c>
      <c r="W1989" s="3">
        <v>21853.16</v>
      </c>
      <c r="X1989" s="3">
        <v>50.16</v>
      </c>
      <c r="Y1989" s="3">
        <v>0</v>
      </c>
      <c r="Z1989" s="3" t="s">
        <v>15</v>
      </c>
      <c r="AA1989" s="3" t="s">
        <v>672</v>
      </c>
      <c r="AB1989" s="3" t="s">
        <v>101</v>
      </c>
      <c r="AC1989" s="3"/>
    </row>
    <row r="1990" spans="1:29" x14ac:dyDescent="0.3">
      <c r="A1990" s="2" t="s">
        <v>8769</v>
      </c>
      <c r="B1990" s="2" t="s">
        <v>8770</v>
      </c>
      <c r="C1990" s="2" t="s">
        <v>4964</v>
      </c>
      <c r="D1990" s="2" t="s">
        <v>8771</v>
      </c>
      <c r="E1990" s="2" t="s">
        <v>42</v>
      </c>
      <c r="F1990" s="2" t="s">
        <v>4209</v>
      </c>
      <c r="G1990" s="2" t="s">
        <v>214</v>
      </c>
      <c r="H1990" s="2" t="s">
        <v>565</v>
      </c>
      <c r="I1990" s="2">
        <v>3</v>
      </c>
      <c r="J1990" s="2" t="s">
        <v>14</v>
      </c>
      <c r="K1990" s="2" t="s">
        <v>183</v>
      </c>
      <c r="L1990" s="2" t="s">
        <v>183</v>
      </c>
      <c r="M1990" s="2" t="s">
        <v>2187</v>
      </c>
      <c r="N1990" s="2" t="s">
        <v>316</v>
      </c>
      <c r="O1990" s="2" t="s">
        <v>28</v>
      </c>
      <c r="P1990" s="2" t="s">
        <v>137</v>
      </c>
      <c r="Q1990" s="2" t="s">
        <v>207</v>
      </c>
      <c r="R1990" s="2">
        <v>1</v>
      </c>
      <c r="S1990" s="2">
        <v>47449.89</v>
      </c>
      <c r="T1990" s="2">
        <v>20</v>
      </c>
      <c r="U1990" s="2">
        <v>37959.910000000003</v>
      </c>
      <c r="V1990" s="2">
        <v>20331.38</v>
      </c>
      <c r="W1990" s="2">
        <v>17628.53</v>
      </c>
      <c r="X1990" s="2">
        <v>46.44</v>
      </c>
      <c r="Y1990" s="2">
        <v>49</v>
      </c>
      <c r="Z1990" s="2" t="s">
        <v>48</v>
      </c>
      <c r="AA1990" s="2" t="s">
        <v>100</v>
      </c>
      <c r="AB1990" s="2" t="s">
        <v>101</v>
      </c>
      <c r="AC1990" s="2">
        <v>2</v>
      </c>
    </row>
    <row r="1991" spans="1:29" x14ac:dyDescent="0.3">
      <c r="A1991" s="3" t="s">
        <v>8772</v>
      </c>
      <c r="B1991" s="3" t="s">
        <v>4125</v>
      </c>
      <c r="C1991" s="3" t="s">
        <v>1989</v>
      </c>
      <c r="D1991" s="3" t="s">
        <v>8773</v>
      </c>
      <c r="E1991" s="3" t="s">
        <v>42</v>
      </c>
      <c r="F1991" s="3" t="s">
        <v>3708</v>
      </c>
      <c r="G1991" s="3" t="s">
        <v>4498</v>
      </c>
      <c r="H1991" s="3" t="s">
        <v>3802</v>
      </c>
      <c r="I1991" s="3">
        <v>2</v>
      </c>
      <c r="J1991" s="3" t="s">
        <v>29</v>
      </c>
      <c r="K1991" s="3" t="s">
        <v>427</v>
      </c>
      <c r="L1991" s="3" t="s">
        <v>428</v>
      </c>
      <c r="M1991" s="3" t="s">
        <v>8774</v>
      </c>
      <c r="N1991" s="3" t="s">
        <v>465</v>
      </c>
      <c r="O1991" s="3" t="s">
        <v>19</v>
      </c>
      <c r="P1991" s="3" t="s">
        <v>447</v>
      </c>
      <c r="Q1991" s="3" t="s">
        <v>218</v>
      </c>
      <c r="R1991" s="3">
        <v>1</v>
      </c>
      <c r="S1991" s="3">
        <v>36005.370000000003</v>
      </c>
      <c r="T1991" s="3">
        <v>10</v>
      </c>
      <c r="U1991" s="3">
        <v>32404.83</v>
      </c>
      <c r="V1991" s="3">
        <v>20361.59</v>
      </c>
      <c r="W1991" s="3">
        <v>12043.24</v>
      </c>
      <c r="X1991" s="3">
        <v>37.159999999999997</v>
      </c>
      <c r="Y1991" s="3">
        <v>199</v>
      </c>
      <c r="Z1991" s="3" t="s">
        <v>15</v>
      </c>
      <c r="AA1991" s="3" t="s">
        <v>100</v>
      </c>
      <c r="AB1991" s="3" t="s">
        <v>101</v>
      </c>
      <c r="AC1991" s="3"/>
    </row>
    <row r="1992" spans="1:29" x14ac:dyDescent="0.3">
      <c r="A1992" s="2" t="s">
        <v>8775</v>
      </c>
      <c r="B1992" s="2" t="s">
        <v>8776</v>
      </c>
      <c r="C1992" s="2" t="s">
        <v>934</v>
      </c>
      <c r="D1992" s="2" t="s">
        <v>8777</v>
      </c>
      <c r="E1992" s="2" t="s">
        <v>26</v>
      </c>
      <c r="F1992" s="2" t="s">
        <v>362</v>
      </c>
      <c r="G1992" s="2" t="s">
        <v>2860</v>
      </c>
      <c r="H1992" s="2" t="s">
        <v>3566</v>
      </c>
      <c r="I1992" s="2">
        <v>8</v>
      </c>
      <c r="J1992" s="2" t="s">
        <v>22</v>
      </c>
      <c r="K1992" s="2" t="s">
        <v>738</v>
      </c>
      <c r="L1992" s="2" t="s">
        <v>738</v>
      </c>
      <c r="M1992" s="2" t="s">
        <v>8778</v>
      </c>
      <c r="N1992" s="2" t="s">
        <v>1611</v>
      </c>
      <c r="O1992" s="2" t="s">
        <v>19</v>
      </c>
      <c r="P1992" s="2" t="s">
        <v>365</v>
      </c>
      <c r="Q1992" s="2" t="s">
        <v>466</v>
      </c>
      <c r="R1992" s="2">
        <v>4</v>
      </c>
      <c r="S1992" s="2">
        <v>31819.040000000001</v>
      </c>
      <c r="T1992" s="2">
        <v>5</v>
      </c>
      <c r="U1992" s="2">
        <v>120912.35</v>
      </c>
      <c r="V1992" s="2">
        <v>69324.37</v>
      </c>
      <c r="W1992" s="2">
        <v>51587.98</v>
      </c>
      <c r="X1992" s="2">
        <v>42.67</v>
      </c>
      <c r="Y1992" s="2">
        <v>99</v>
      </c>
      <c r="Z1992" s="2" t="s">
        <v>40</v>
      </c>
      <c r="AA1992" s="2" t="s">
        <v>100</v>
      </c>
      <c r="AB1992" s="2" t="s">
        <v>101</v>
      </c>
      <c r="AC1992" s="2">
        <v>4</v>
      </c>
    </row>
    <row r="1993" spans="1:29" x14ac:dyDescent="0.3">
      <c r="A1993" s="3" t="s">
        <v>8779</v>
      </c>
      <c r="B1993" s="3" t="s">
        <v>154</v>
      </c>
      <c r="C1993" s="3" t="s">
        <v>240</v>
      </c>
      <c r="D1993" s="3" t="s">
        <v>8780</v>
      </c>
      <c r="E1993" s="3" t="s">
        <v>26</v>
      </c>
      <c r="F1993" s="3" t="s">
        <v>1533</v>
      </c>
      <c r="G1993" s="3" t="s">
        <v>1007</v>
      </c>
      <c r="H1993" s="3" t="s">
        <v>3927</v>
      </c>
      <c r="I1993" s="3">
        <v>7</v>
      </c>
      <c r="J1993" s="3" t="s">
        <v>39</v>
      </c>
      <c r="K1993" s="3" t="s">
        <v>193</v>
      </c>
      <c r="L1993" s="3" t="s">
        <v>193</v>
      </c>
      <c r="M1993" s="3" t="s">
        <v>6233</v>
      </c>
      <c r="N1993" s="3" t="s">
        <v>174</v>
      </c>
      <c r="O1993" s="3" t="s">
        <v>27</v>
      </c>
      <c r="P1993" s="3" t="s">
        <v>175</v>
      </c>
      <c r="Q1993" s="3" t="s">
        <v>400</v>
      </c>
      <c r="R1993" s="3">
        <v>2</v>
      </c>
      <c r="S1993" s="3">
        <v>3983.45</v>
      </c>
      <c r="T1993" s="3">
        <v>5</v>
      </c>
      <c r="U1993" s="3">
        <v>7568.55</v>
      </c>
      <c r="V1993" s="3">
        <v>5170.7</v>
      </c>
      <c r="W1993" s="3">
        <v>2397.85</v>
      </c>
      <c r="X1993" s="3">
        <v>31.68</v>
      </c>
      <c r="Y1993" s="3">
        <v>49</v>
      </c>
      <c r="Z1993" s="3" t="s">
        <v>47</v>
      </c>
      <c r="AA1993" s="3" t="s">
        <v>139</v>
      </c>
      <c r="AB1993" s="3" t="s">
        <v>140</v>
      </c>
      <c r="AC1993" s="3"/>
    </row>
    <row r="1994" spans="1:29" x14ac:dyDescent="0.3">
      <c r="A1994" s="2" t="s">
        <v>8781</v>
      </c>
      <c r="B1994" s="2" t="s">
        <v>199</v>
      </c>
      <c r="C1994" s="2" t="s">
        <v>278</v>
      </c>
      <c r="D1994" s="2" t="s">
        <v>7804</v>
      </c>
      <c r="E1994" s="2" t="s">
        <v>18</v>
      </c>
      <c r="F1994" s="2" t="s">
        <v>654</v>
      </c>
      <c r="G1994" s="2" t="s">
        <v>1816</v>
      </c>
      <c r="H1994" s="2" t="s">
        <v>2041</v>
      </c>
      <c r="I1994" s="2">
        <v>3</v>
      </c>
      <c r="J1994" s="2" t="s">
        <v>39</v>
      </c>
      <c r="K1994" s="2" t="s">
        <v>109</v>
      </c>
      <c r="L1994" s="2" t="s">
        <v>344</v>
      </c>
      <c r="M1994" s="2" t="s">
        <v>3592</v>
      </c>
      <c r="N1994" s="2" t="s">
        <v>533</v>
      </c>
      <c r="O1994" s="2" t="s">
        <v>19</v>
      </c>
      <c r="P1994" s="2" t="s">
        <v>297</v>
      </c>
      <c r="Q1994" s="2" t="s">
        <v>114</v>
      </c>
      <c r="R1994" s="2">
        <v>3</v>
      </c>
      <c r="S1994" s="2">
        <v>9909.94</v>
      </c>
      <c r="T1994" s="2">
        <v>5</v>
      </c>
      <c r="U1994" s="2">
        <v>28243.33</v>
      </c>
      <c r="V1994" s="2">
        <v>13208.54</v>
      </c>
      <c r="W1994" s="2">
        <v>15034.79</v>
      </c>
      <c r="X1994" s="2">
        <v>53.23</v>
      </c>
      <c r="Y1994" s="2">
        <v>49</v>
      </c>
      <c r="Z1994" s="2" t="s">
        <v>48</v>
      </c>
      <c r="AA1994" s="2" t="s">
        <v>100</v>
      </c>
      <c r="AB1994" s="2" t="s">
        <v>101</v>
      </c>
      <c r="AC1994" s="2"/>
    </row>
    <row r="1995" spans="1:29" x14ac:dyDescent="0.3">
      <c r="A1995" s="3" t="s">
        <v>8782</v>
      </c>
      <c r="B1995" s="3" t="s">
        <v>8783</v>
      </c>
      <c r="C1995" s="3" t="s">
        <v>2298</v>
      </c>
      <c r="D1995" s="3" t="s">
        <v>8784</v>
      </c>
      <c r="E1995" s="3" t="s">
        <v>33</v>
      </c>
      <c r="F1995" s="3" t="s">
        <v>3727</v>
      </c>
      <c r="G1995" s="3" t="s">
        <v>3068</v>
      </c>
      <c r="H1995" s="3" t="s">
        <v>1415</v>
      </c>
      <c r="I1995" s="3">
        <v>6</v>
      </c>
      <c r="J1995" s="3" t="s">
        <v>14</v>
      </c>
      <c r="K1995" s="3" t="s">
        <v>171</v>
      </c>
      <c r="L1995" s="3" t="s">
        <v>541</v>
      </c>
      <c r="M1995" s="3" t="s">
        <v>8785</v>
      </c>
      <c r="N1995" s="3" t="s">
        <v>475</v>
      </c>
      <c r="O1995" s="3" t="s">
        <v>13</v>
      </c>
      <c r="P1995" s="3" t="s">
        <v>228</v>
      </c>
      <c r="Q1995" s="3" t="s">
        <v>355</v>
      </c>
      <c r="R1995" s="3">
        <v>5</v>
      </c>
      <c r="S1995" s="3">
        <v>24146.65</v>
      </c>
      <c r="T1995" s="3">
        <v>5</v>
      </c>
      <c r="U1995" s="3">
        <v>114696.59</v>
      </c>
      <c r="V1995" s="3">
        <v>56314.12</v>
      </c>
      <c r="W1995" s="3">
        <v>58382.47</v>
      </c>
      <c r="X1995" s="3">
        <v>50.9</v>
      </c>
      <c r="Y1995" s="3">
        <v>0</v>
      </c>
      <c r="Z1995" s="3" t="s">
        <v>48</v>
      </c>
      <c r="AA1995" s="3" t="s">
        <v>100</v>
      </c>
      <c r="AB1995" s="3" t="s">
        <v>101</v>
      </c>
      <c r="AC1995" s="3"/>
    </row>
    <row r="1996" spans="1:29" x14ac:dyDescent="0.3">
      <c r="A1996" s="2" t="s">
        <v>8786</v>
      </c>
      <c r="B1996" s="2" t="s">
        <v>8787</v>
      </c>
      <c r="C1996" s="2" t="s">
        <v>1159</v>
      </c>
      <c r="D1996" s="2" t="s">
        <v>8788</v>
      </c>
      <c r="E1996" s="2" t="s">
        <v>18</v>
      </c>
      <c r="F1996" s="2" t="s">
        <v>5884</v>
      </c>
      <c r="G1996" s="2" t="s">
        <v>1480</v>
      </c>
      <c r="H1996" s="2" t="s">
        <v>416</v>
      </c>
      <c r="I1996" s="2">
        <v>3</v>
      </c>
      <c r="J1996" s="2" t="s">
        <v>22</v>
      </c>
      <c r="K1996" s="2" t="s">
        <v>443</v>
      </c>
      <c r="L1996" s="2" t="s">
        <v>498</v>
      </c>
      <c r="M1996" s="2" t="s">
        <v>8789</v>
      </c>
      <c r="N1996" s="2" t="s">
        <v>136</v>
      </c>
      <c r="O1996" s="2" t="s">
        <v>28</v>
      </c>
      <c r="P1996" s="2" t="s">
        <v>137</v>
      </c>
      <c r="Q1996" s="2" t="s">
        <v>99</v>
      </c>
      <c r="R1996" s="2">
        <v>2</v>
      </c>
      <c r="S1996" s="2">
        <v>6470.61</v>
      </c>
      <c r="T1996" s="2">
        <v>0</v>
      </c>
      <c r="U1996" s="2">
        <v>12941.22</v>
      </c>
      <c r="V1996" s="2">
        <v>6572.7</v>
      </c>
      <c r="W1996" s="2">
        <v>6368.52</v>
      </c>
      <c r="X1996" s="2">
        <v>49.21</v>
      </c>
      <c r="Y1996" s="2">
        <v>0</v>
      </c>
      <c r="Z1996" s="2" t="s">
        <v>23</v>
      </c>
      <c r="AA1996" s="2" t="s">
        <v>100</v>
      </c>
      <c r="AB1996" s="2" t="s">
        <v>101</v>
      </c>
      <c r="AC1996" s="2">
        <v>1</v>
      </c>
    </row>
    <row r="1997" spans="1:29" x14ac:dyDescent="0.3">
      <c r="A1997" s="3" t="s">
        <v>8790</v>
      </c>
      <c r="B1997" s="3" t="s">
        <v>8791</v>
      </c>
      <c r="C1997" s="3" t="s">
        <v>432</v>
      </c>
      <c r="D1997" s="3" t="s">
        <v>8792</v>
      </c>
      <c r="E1997" s="3" t="s">
        <v>42</v>
      </c>
      <c r="F1997" s="3" t="s">
        <v>737</v>
      </c>
      <c r="G1997" s="3" t="s">
        <v>523</v>
      </c>
      <c r="H1997" s="3" t="s">
        <v>2393</v>
      </c>
      <c r="I1997" s="3">
        <v>2</v>
      </c>
      <c r="J1997" s="3" t="s">
        <v>22</v>
      </c>
      <c r="K1997" s="3" t="s">
        <v>254</v>
      </c>
      <c r="L1997" s="3" t="s">
        <v>254</v>
      </c>
      <c r="M1997" s="3" t="s">
        <v>8793</v>
      </c>
      <c r="N1997" s="3" t="s">
        <v>3017</v>
      </c>
      <c r="O1997" s="3" t="s">
        <v>13</v>
      </c>
      <c r="P1997" s="3" t="s">
        <v>419</v>
      </c>
      <c r="Q1997" s="3" t="s">
        <v>114</v>
      </c>
      <c r="R1997" s="3">
        <v>4</v>
      </c>
      <c r="S1997" s="3">
        <v>30370.79</v>
      </c>
      <c r="T1997" s="3">
        <v>25</v>
      </c>
      <c r="U1997" s="3">
        <v>91112.37</v>
      </c>
      <c r="V1997" s="3">
        <v>54186.42</v>
      </c>
      <c r="W1997" s="3">
        <v>36925.949999999997</v>
      </c>
      <c r="X1997" s="3">
        <v>40.53</v>
      </c>
      <c r="Y1997" s="3">
        <v>0</v>
      </c>
      <c r="Z1997" s="3" t="s">
        <v>48</v>
      </c>
      <c r="AA1997" s="3" t="s">
        <v>100</v>
      </c>
      <c r="AB1997" s="3" t="s">
        <v>101</v>
      </c>
      <c r="AC1997" s="3"/>
    </row>
    <row r="1998" spans="1:29" x14ac:dyDescent="0.3">
      <c r="A1998" s="2" t="s">
        <v>8794</v>
      </c>
      <c r="B1998" s="2" t="s">
        <v>8795</v>
      </c>
      <c r="C1998" s="2" t="s">
        <v>1590</v>
      </c>
      <c r="D1998" s="2" t="s">
        <v>8796</v>
      </c>
      <c r="E1998" s="2" t="s">
        <v>18</v>
      </c>
      <c r="F1998" s="2" t="s">
        <v>1640</v>
      </c>
      <c r="G1998" s="2" t="s">
        <v>5286</v>
      </c>
      <c r="H1998" s="2" t="s">
        <v>120</v>
      </c>
      <c r="I1998" s="2">
        <v>5</v>
      </c>
      <c r="J1998" s="2" t="s">
        <v>39</v>
      </c>
      <c r="K1998" s="2" t="s">
        <v>193</v>
      </c>
      <c r="L1998" s="2" t="s">
        <v>193</v>
      </c>
      <c r="M1998" s="2" t="s">
        <v>8180</v>
      </c>
      <c r="N1998" s="2" t="s">
        <v>185</v>
      </c>
      <c r="O1998" s="2" t="s">
        <v>28</v>
      </c>
      <c r="P1998" s="2" t="s">
        <v>151</v>
      </c>
      <c r="Q1998" s="2" t="s">
        <v>509</v>
      </c>
      <c r="R1998" s="2">
        <v>2</v>
      </c>
      <c r="S1998" s="2">
        <v>16550.71</v>
      </c>
      <c r="T1998" s="2">
        <v>25</v>
      </c>
      <c r="U1998" s="2">
        <v>24826.06</v>
      </c>
      <c r="V1998" s="2">
        <v>15628.42</v>
      </c>
      <c r="W1998" s="2">
        <v>9197.64</v>
      </c>
      <c r="X1998" s="2">
        <v>37.049999999999997</v>
      </c>
      <c r="Y1998" s="2">
        <v>29</v>
      </c>
      <c r="Z1998" s="2" t="s">
        <v>30</v>
      </c>
      <c r="AA1998" s="2" t="s">
        <v>275</v>
      </c>
      <c r="AB1998" s="2" t="s">
        <v>101</v>
      </c>
      <c r="AC1998" s="2"/>
    </row>
    <row r="1999" spans="1:29" x14ac:dyDescent="0.3">
      <c r="A1999" s="3" t="s">
        <v>8797</v>
      </c>
      <c r="B1999" s="3" t="s">
        <v>8798</v>
      </c>
      <c r="C1999" s="3" t="s">
        <v>1371</v>
      </c>
      <c r="D1999" s="3" t="s">
        <v>8799</v>
      </c>
      <c r="E1999" s="3" t="s">
        <v>33</v>
      </c>
      <c r="F1999" s="3" t="s">
        <v>746</v>
      </c>
      <c r="G1999" s="3" t="s">
        <v>2301</v>
      </c>
      <c r="H1999" s="3" t="s">
        <v>1652</v>
      </c>
      <c r="I1999" s="3">
        <v>2</v>
      </c>
      <c r="J1999" s="3" t="s">
        <v>22</v>
      </c>
      <c r="K1999" s="3" t="s">
        <v>283</v>
      </c>
      <c r="L1999" s="3" t="s">
        <v>284</v>
      </c>
      <c r="M1999" s="3" t="s">
        <v>8800</v>
      </c>
      <c r="N1999" s="3" t="s">
        <v>686</v>
      </c>
      <c r="O1999" s="3" t="s">
        <v>13</v>
      </c>
      <c r="P1999" s="3" t="s">
        <v>228</v>
      </c>
      <c r="Q1999" s="3" t="s">
        <v>466</v>
      </c>
      <c r="R1999" s="3">
        <v>1</v>
      </c>
      <c r="S1999" s="3">
        <v>44933.83</v>
      </c>
      <c r="T1999" s="3">
        <v>25</v>
      </c>
      <c r="U1999" s="3">
        <v>33700.370000000003</v>
      </c>
      <c r="V1999" s="3">
        <v>22558.28</v>
      </c>
      <c r="W1999" s="3">
        <v>11142.09</v>
      </c>
      <c r="X1999" s="3">
        <v>33.06</v>
      </c>
      <c r="Y1999" s="3">
        <v>99</v>
      </c>
      <c r="Z1999" s="3" t="s">
        <v>43</v>
      </c>
      <c r="AA1999" s="3" t="s">
        <v>100</v>
      </c>
      <c r="AB1999" s="3" t="s">
        <v>101</v>
      </c>
      <c r="AC1999" s="3">
        <v>1</v>
      </c>
    </row>
    <row r="2000" spans="1:29" x14ac:dyDescent="0.3">
      <c r="A2000" s="2" t="s">
        <v>8801</v>
      </c>
      <c r="B2000" s="2" t="s">
        <v>941</v>
      </c>
      <c r="C2000" s="2" t="s">
        <v>1019</v>
      </c>
      <c r="D2000" s="2" t="s">
        <v>8802</v>
      </c>
      <c r="E2000" s="2" t="s">
        <v>33</v>
      </c>
      <c r="F2000" s="2" t="s">
        <v>2032</v>
      </c>
      <c r="G2000" s="2" t="s">
        <v>1408</v>
      </c>
      <c r="H2000" s="2" t="s">
        <v>158</v>
      </c>
      <c r="I2000" s="2">
        <v>6</v>
      </c>
      <c r="J2000" s="2" t="s">
        <v>14</v>
      </c>
      <c r="K2000" s="2" t="s">
        <v>95</v>
      </c>
      <c r="L2000" s="2" t="s">
        <v>95</v>
      </c>
      <c r="M2000" s="2" t="s">
        <v>8803</v>
      </c>
      <c r="N2000" s="2" t="s">
        <v>639</v>
      </c>
      <c r="O2000" s="2" t="s">
        <v>27</v>
      </c>
      <c r="P2000" s="2" t="s">
        <v>175</v>
      </c>
      <c r="Q2000" s="2" t="s">
        <v>218</v>
      </c>
      <c r="R2000" s="2">
        <v>4</v>
      </c>
      <c r="S2000" s="2">
        <v>17424.02</v>
      </c>
      <c r="T2000" s="2">
        <v>20</v>
      </c>
      <c r="U2000" s="2">
        <v>55756.86</v>
      </c>
      <c r="V2000" s="2">
        <v>28782.31</v>
      </c>
      <c r="W2000" s="2">
        <v>26974.55</v>
      </c>
      <c r="X2000" s="2">
        <v>48.38</v>
      </c>
      <c r="Y2000" s="2">
        <v>0</v>
      </c>
      <c r="Z2000" s="2" t="s">
        <v>15</v>
      </c>
      <c r="AA2000" s="2" t="s">
        <v>100</v>
      </c>
      <c r="AB2000" s="2" t="s">
        <v>101</v>
      </c>
      <c r="AC2000" s="2">
        <v>2</v>
      </c>
    </row>
    <row r="2001" spans="1:29" x14ac:dyDescent="0.3">
      <c r="A2001" s="3" t="s">
        <v>8804</v>
      </c>
      <c r="B2001" s="3" t="s">
        <v>8402</v>
      </c>
      <c r="C2001" s="3" t="s">
        <v>1792</v>
      </c>
      <c r="D2001" s="3" t="s">
        <v>8805</v>
      </c>
      <c r="E2001" s="3" t="s">
        <v>26</v>
      </c>
      <c r="F2001" s="3" t="s">
        <v>920</v>
      </c>
      <c r="G2001" s="3" t="s">
        <v>6327</v>
      </c>
      <c r="H2001" s="3" t="s">
        <v>4127</v>
      </c>
      <c r="I2001" s="3">
        <v>2</v>
      </c>
      <c r="J2001" s="3" t="s">
        <v>39</v>
      </c>
      <c r="K2001" s="3" t="s">
        <v>109</v>
      </c>
      <c r="L2001" s="3" t="s">
        <v>344</v>
      </c>
      <c r="M2001" s="3" t="s">
        <v>2295</v>
      </c>
      <c r="N2001" s="3" t="s">
        <v>150</v>
      </c>
      <c r="O2001" s="3" t="s">
        <v>28</v>
      </c>
      <c r="P2001" s="3" t="s">
        <v>151</v>
      </c>
      <c r="Q2001" s="3" t="s">
        <v>197</v>
      </c>
      <c r="R2001" s="3">
        <v>5</v>
      </c>
      <c r="S2001" s="3">
        <v>16948.63</v>
      </c>
      <c r="T2001" s="3">
        <v>25</v>
      </c>
      <c r="U2001" s="3">
        <v>63557.36</v>
      </c>
      <c r="V2001" s="3">
        <v>35594.82</v>
      </c>
      <c r="W2001" s="3">
        <v>27962.54</v>
      </c>
      <c r="X2001" s="3">
        <v>44</v>
      </c>
      <c r="Y2001" s="3">
        <v>29</v>
      </c>
      <c r="Z2001" s="3" t="s">
        <v>23</v>
      </c>
      <c r="AA2001" s="3" t="s">
        <v>100</v>
      </c>
      <c r="AB2001" s="3" t="s">
        <v>101</v>
      </c>
      <c r="AC2001" s="3">
        <v>4</v>
      </c>
    </row>
  </sheetData>
  <autoFilter ref="A1:AC200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9A"/>
  </sheetPr>
  <dimension ref="A1:L71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5" customWidth="1"/>
    <col min="3" max="3" width="12" customWidth="1"/>
    <col min="4" max="4" width="15" customWidth="1"/>
    <col min="5" max="6" width="12" customWidth="1"/>
    <col min="7" max="7" width="17" customWidth="1"/>
    <col min="8" max="8" width="14" customWidth="1"/>
    <col min="9" max="9" width="13" customWidth="1"/>
    <col min="10" max="10" width="16" customWidth="1"/>
    <col min="11" max="11" width="14" customWidth="1"/>
    <col min="12" max="12" width="13" customWidth="1"/>
  </cols>
  <sheetData>
    <row r="1" spans="1:12" x14ac:dyDescent="0.3">
      <c r="A1" s="4" t="s">
        <v>72</v>
      </c>
      <c r="B1" s="4" t="s">
        <v>73</v>
      </c>
      <c r="C1" s="4" t="s">
        <v>1</v>
      </c>
      <c r="D1" s="4" t="s">
        <v>74</v>
      </c>
      <c r="E1" s="4" t="s">
        <v>75</v>
      </c>
      <c r="F1" s="4" t="s">
        <v>8806</v>
      </c>
      <c r="G1" s="4" t="s">
        <v>8807</v>
      </c>
      <c r="H1" s="4" t="s">
        <v>8808</v>
      </c>
      <c r="I1" s="4" t="s">
        <v>8809</v>
      </c>
      <c r="J1" s="4" t="s">
        <v>8810</v>
      </c>
      <c r="K1" s="4" t="s">
        <v>8811</v>
      </c>
      <c r="L1" s="4" t="s">
        <v>8812</v>
      </c>
    </row>
    <row r="2" spans="1:12" x14ac:dyDescent="0.3">
      <c r="A2" s="2" t="s">
        <v>8813</v>
      </c>
      <c r="B2" s="2" t="s">
        <v>205</v>
      </c>
      <c r="C2" s="2" t="s">
        <v>21</v>
      </c>
      <c r="D2" s="2" t="s">
        <v>206</v>
      </c>
      <c r="E2" s="2" t="s">
        <v>466</v>
      </c>
      <c r="F2" s="2">
        <v>45664.21</v>
      </c>
      <c r="G2" s="2">
        <v>27979.279999999999</v>
      </c>
      <c r="H2" s="2">
        <v>422</v>
      </c>
      <c r="I2" s="2">
        <v>3.6</v>
      </c>
      <c r="J2" s="2">
        <v>170</v>
      </c>
      <c r="K2" s="2" t="s">
        <v>8814</v>
      </c>
      <c r="L2" s="2" t="s">
        <v>140</v>
      </c>
    </row>
    <row r="3" spans="1:12" x14ac:dyDescent="0.3">
      <c r="A3" s="3" t="s">
        <v>8377</v>
      </c>
      <c r="B3" s="3" t="s">
        <v>592</v>
      </c>
      <c r="C3" s="3" t="s">
        <v>21</v>
      </c>
      <c r="D3" s="3" t="s">
        <v>206</v>
      </c>
      <c r="E3" s="3" t="s">
        <v>509</v>
      </c>
      <c r="F3" s="3">
        <v>21029</v>
      </c>
      <c r="G3" s="3">
        <v>11392.32</v>
      </c>
      <c r="H3" s="3">
        <v>491</v>
      </c>
      <c r="I3" s="3">
        <v>3.4</v>
      </c>
      <c r="J3" s="3">
        <v>976</v>
      </c>
      <c r="K3" s="3" t="s">
        <v>3575</v>
      </c>
      <c r="L3" s="3" t="s">
        <v>101</v>
      </c>
    </row>
    <row r="4" spans="1:12" x14ac:dyDescent="0.3">
      <c r="A4" s="2" t="s">
        <v>8815</v>
      </c>
      <c r="B4" s="2" t="s">
        <v>616</v>
      </c>
      <c r="C4" s="2" t="s">
        <v>21</v>
      </c>
      <c r="D4" s="2" t="s">
        <v>206</v>
      </c>
      <c r="E4" s="2" t="s">
        <v>218</v>
      </c>
      <c r="F4" s="2">
        <v>5633.99</v>
      </c>
      <c r="G4" s="2">
        <v>2646.66</v>
      </c>
      <c r="H4" s="2">
        <v>237</v>
      </c>
      <c r="I4" s="2">
        <v>5</v>
      </c>
      <c r="J4" s="2">
        <v>1725</v>
      </c>
      <c r="K4" s="2" t="s">
        <v>2974</v>
      </c>
      <c r="L4" s="2" t="s">
        <v>140</v>
      </c>
    </row>
    <row r="5" spans="1:12" x14ac:dyDescent="0.3">
      <c r="A5" s="3" t="s">
        <v>8816</v>
      </c>
      <c r="B5" s="3" t="s">
        <v>456</v>
      </c>
      <c r="C5" s="3" t="s">
        <v>21</v>
      </c>
      <c r="D5" s="3" t="s">
        <v>206</v>
      </c>
      <c r="E5" s="3" t="s">
        <v>152</v>
      </c>
      <c r="F5" s="3">
        <v>4608.4799999999996</v>
      </c>
      <c r="G5" s="3">
        <v>2205.84</v>
      </c>
      <c r="H5" s="3">
        <v>29</v>
      </c>
      <c r="I5" s="3">
        <v>3.7</v>
      </c>
      <c r="J5" s="3">
        <v>3681</v>
      </c>
      <c r="K5" s="3" t="s">
        <v>1540</v>
      </c>
      <c r="L5" s="3" t="s">
        <v>140</v>
      </c>
    </row>
    <row r="6" spans="1:12" x14ac:dyDescent="0.3">
      <c r="A6" s="2" t="s">
        <v>4146</v>
      </c>
      <c r="B6" s="2" t="s">
        <v>217</v>
      </c>
      <c r="C6" s="2" t="s">
        <v>21</v>
      </c>
      <c r="D6" s="2" t="s">
        <v>206</v>
      </c>
      <c r="E6" s="2" t="s">
        <v>127</v>
      </c>
      <c r="F6" s="2">
        <v>42162.28</v>
      </c>
      <c r="G6" s="2">
        <v>19766.669999999998</v>
      </c>
      <c r="H6" s="2">
        <v>337</v>
      </c>
      <c r="I6" s="2">
        <v>4.7</v>
      </c>
      <c r="J6" s="2">
        <v>1206</v>
      </c>
      <c r="K6" s="2" t="s">
        <v>1414</v>
      </c>
      <c r="L6" s="2" t="s">
        <v>101</v>
      </c>
    </row>
    <row r="7" spans="1:12" x14ac:dyDescent="0.3">
      <c r="A7" s="3" t="s">
        <v>8817</v>
      </c>
      <c r="B7" s="3" t="s">
        <v>354</v>
      </c>
      <c r="C7" s="3" t="s">
        <v>21</v>
      </c>
      <c r="D7" s="3" t="s">
        <v>196</v>
      </c>
      <c r="E7" s="3" t="s">
        <v>608</v>
      </c>
      <c r="F7" s="3">
        <v>41704.04</v>
      </c>
      <c r="G7" s="3">
        <v>20761.419999999998</v>
      </c>
      <c r="H7" s="3">
        <v>317</v>
      </c>
      <c r="I7" s="3">
        <v>4.3</v>
      </c>
      <c r="J7" s="3">
        <v>4685</v>
      </c>
      <c r="K7" s="3" t="s">
        <v>8818</v>
      </c>
      <c r="L7" s="3" t="s">
        <v>140</v>
      </c>
    </row>
    <row r="8" spans="1:12" x14ac:dyDescent="0.3">
      <c r="A8" s="2" t="s">
        <v>2776</v>
      </c>
      <c r="B8" s="2" t="s">
        <v>195</v>
      </c>
      <c r="C8" s="2" t="s">
        <v>21</v>
      </c>
      <c r="D8" s="2" t="s">
        <v>196</v>
      </c>
      <c r="E8" s="2" t="s">
        <v>400</v>
      </c>
      <c r="F8" s="2">
        <v>13750.78</v>
      </c>
      <c r="G8" s="2">
        <v>8691.5499999999993</v>
      </c>
      <c r="H8" s="2">
        <v>143</v>
      </c>
      <c r="I8" s="2">
        <v>4.9000000000000004</v>
      </c>
      <c r="J8" s="2">
        <v>1168</v>
      </c>
      <c r="K8" s="2" t="s">
        <v>8819</v>
      </c>
      <c r="L8" s="2" t="s">
        <v>140</v>
      </c>
    </row>
    <row r="9" spans="1:12" x14ac:dyDescent="0.3">
      <c r="A9" s="3" t="s">
        <v>8793</v>
      </c>
      <c r="B9" s="3" t="s">
        <v>409</v>
      </c>
      <c r="C9" s="3" t="s">
        <v>21</v>
      </c>
      <c r="D9" s="3" t="s">
        <v>196</v>
      </c>
      <c r="E9" s="3" t="s">
        <v>400</v>
      </c>
      <c r="F9" s="3">
        <v>6469.24</v>
      </c>
      <c r="G9" s="3">
        <v>2861.15</v>
      </c>
      <c r="H9" s="3">
        <v>21</v>
      </c>
      <c r="I9" s="3">
        <v>4.2</v>
      </c>
      <c r="J9" s="3">
        <v>2189</v>
      </c>
      <c r="K9" s="3" t="s">
        <v>8820</v>
      </c>
      <c r="L9" s="3" t="s">
        <v>140</v>
      </c>
    </row>
    <row r="10" spans="1:12" x14ac:dyDescent="0.3">
      <c r="A10" s="2" t="s">
        <v>483</v>
      </c>
      <c r="B10" s="2" t="s">
        <v>399</v>
      </c>
      <c r="C10" s="2" t="s">
        <v>21</v>
      </c>
      <c r="D10" s="2" t="s">
        <v>196</v>
      </c>
      <c r="E10" s="2" t="s">
        <v>287</v>
      </c>
      <c r="F10" s="2">
        <v>46462.44</v>
      </c>
      <c r="G10" s="2">
        <v>27897.759999999998</v>
      </c>
      <c r="H10" s="2">
        <v>64</v>
      </c>
      <c r="I10" s="2">
        <v>4.5999999999999996</v>
      </c>
      <c r="J10" s="2">
        <v>4913</v>
      </c>
      <c r="K10" s="2" t="s">
        <v>8821</v>
      </c>
      <c r="L10" s="2" t="s">
        <v>101</v>
      </c>
    </row>
    <row r="11" spans="1:12" x14ac:dyDescent="0.3">
      <c r="A11" s="3" t="s">
        <v>8822</v>
      </c>
      <c r="B11" s="3" t="s">
        <v>374</v>
      </c>
      <c r="C11" s="3" t="s">
        <v>21</v>
      </c>
      <c r="D11" s="3" t="s">
        <v>196</v>
      </c>
      <c r="E11" s="3" t="s">
        <v>246</v>
      </c>
      <c r="F11" s="3">
        <v>23718.11</v>
      </c>
      <c r="G11" s="3">
        <v>11243.58</v>
      </c>
      <c r="H11" s="3">
        <v>127</v>
      </c>
      <c r="I11" s="3">
        <v>4.4000000000000004</v>
      </c>
      <c r="J11" s="3">
        <v>1725</v>
      </c>
      <c r="K11" s="3" t="s">
        <v>2076</v>
      </c>
      <c r="L11" s="3" t="s">
        <v>140</v>
      </c>
    </row>
    <row r="12" spans="1:12" x14ac:dyDescent="0.3">
      <c r="A12" s="2" t="s">
        <v>2350</v>
      </c>
      <c r="B12" s="2" t="s">
        <v>274</v>
      </c>
      <c r="C12" s="2" t="s">
        <v>21</v>
      </c>
      <c r="D12" s="2" t="s">
        <v>126</v>
      </c>
      <c r="E12" s="2" t="s">
        <v>127</v>
      </c>
      <c r="F12" s="2">
        <v>10158.950000000001</v>
      </c>
      <c r="G12" s="2">
        <v>4969.6099999999997</v>
      </c>
      <c r="H12" s="2">
        <v>92</v>
      </c>
      <c r="I12" s="2">
        <v>3.2</v>
      </c>
      <c r="J12" s="2">
        <v>1429</v>
      </c>
      <c r="K12" s="2" t="s">
        <v>8823</v>
      </c>
      <c r="L12" s="2" t="s">
        <v>101</v>
      </c>
    </row>
    <row r="13" spans="1:12" x14ac:dyDescent="0.3">
      <c r="A13" s="3" t="s">
        <v>8824</v>
      </c>
      <c r="B13" s="3" t="s">
        <v>163</v>
      </c>
      <c r="C13" s="3" t="s">
        <v>21</v>
      </c>
      <c r="D13" s="3" t="s">
        <v>126</v>
      </c>
      <c r="E13" s="3" t="s">
        <v>99</v>
      </c>
      <c r="F13" s="3">
        <v>13767.52</v>
      </c>
      <c r="G13" s="3">
        <v>8584.41</v>
      </c>
      <c r="H13" s="3">
        <v>352</v>
      </c>
      <c r="I13" s="3">
        <v>3.6</v>
      </c>
      <c r="J13" s="3">
        <v>2733</v>
      </c>
      <c r="K13" s="3" t="s">
        <v>8825</v>
      </c>
      <c r="L13" s="3" t="s">
        <v>140</v>
      </c>
    </row>
    <row r="14" spans="1:12" x14ac:dyDescent="0.3">
      <c r="A14" s="2" t="s">
        <v>7201</v>
      </c>
      <c r="B14" s="2" t="s">
        <v>740</v>
      </c>
      <c r="C14" s="2" t="s">
        <v>21</v>
      </c>
      <c r="D14" s="2" t="s">
        <v>126</v>
      </c>
      <c r="E14" s="2" t="s">
        <v>509</v>
      </c>
      <c r="F14" s="2">
        <v>21731</v>
      </c>
      <c r="G14" s="2">
        <v>12325.64</v>
      </c>
      <c r="H14" s="2">
        <v>382</v>
      </c>
      <c r="I14" s="2">
        <v>4.2</v>
      </c>
      <c r="J14" s="2">
        <v>3837</v>
      </c>
      <c r="K14" s="2" t="s">
        <v>3088</v>
      </c>
      <c r="L14" s="2" t="s">
        <v>140</v>
      </c>
    </row>
    <row r="15" spans="1:12" x14ac:dyDescent="0.3">
      <c r="A15" s="3" t="s">
        <v>8826</v>
      </c>
      <c r="B15" s="3" t="s">
        <v>306</v>
      </c>
      <c r="C15" s="3" t="s">
        <v>21</v>
      </c>
      <c r="D15" s="3" t="s">
        <v>126</v>
      </c>
      <c r="E15" s="3" t="s">
        <v>608</v>
      </c>
      <c r="F15" s="3">
        <v>30662.94</v>
      </c>
      <c r="G15" s="3">
        <v>15367.73</v>
      </c>
      <c r="H15" s="3">
        <v>390</v>
      </c>
      <c r="I15" s="3">
        <v>4.9000000000000004</v>
      </c>
      <c r="J15" s="3">
        <v>3456</v>
      </c>
      <c r="K15" s="3" t="s">
        <v>8827</v>
      </c>
      <c r="L15" s="3" t="s">
        <v>140</v>
      </c>
    </row>
    <row r="16" spans="1:12" x14ac:dyDescent="0.3">
      <c r="A16" s="2" t="s">
        <v>8828</v>
      </c>
      <c r="B16" s="2" t="s">
        <v>125</v>
      </c>
      <c r="C16" s="2" t="s">
        <v>21</v>
      </c>
      <c r="D16" s="2" t="s">
        <v>126</v>
      </c>
      <c r="E16" s="2" t="s">
        <v>127</v>
      </c>
      <c r="F16" s="2">
        <v>46494.080000000002</v>
      </c>
      <c r="G16" s="2">
        <v>21839.68</v>
      </c>
      <c r="H16" s="2">
        <v>213</v>
      </c>
      <c r="I16" s="2">
        <v>3.2</v>
      </c>
      <c r="J16" s="2">
        <v>2538</v>
      </c>
      <c r="K16" s="2" t="s">
        <v>8829</v>
      </c>
      <c r="L16" s="2" t="s">
        <v>101</v>
      </c>
    </row>
    <row r="17" spans="1:12" x14ac:dyDescent="0.3">
      <c r="A17" s="3" t="s">
        <v>4348</v>
      </c>
      <c r="B17" s="3" t="s">
        <v>631</v>
      </c>
      <c r="C17" s="3" t="s">
        <v>19</v>
      </c>
      <c r="D17" s="3" t="s">
        <v>297</v>
      </c>
      <c r="E17" s="3" t="s">
        <v>127</v>
      </c>
      <c r="F17" s="3">
        <v>27400.89</v>
      </c>
      <c r="G17" s="3">
        <v>15246.18</v>
      </c>
      <c r="H17" s="3">
        <v>257</v>
      </c>
      <c r="I17" s="3">
        <v>3.4</v>
      </c>
      <c r="J17" s="3">
        <v>3881</v>
      </c>
      <c r="K17" s="3" t="s">
        <v>1421</v>
      </c>
      <c r="L17" s="3" t="s">
        <v>101</v>
      </c>
    </row>
    <row r="18" spans="1:12" x14ac:dyDescent="0.3">
      <c r="A18" s="2" t="s">
        <v>8830</v>
      </c>
      <c r="B18" s="2" t="s">
        <v>533</v>
      </c>
      <c r="C18" s="2" t="s">
        <v>19</v>
      </c>
      <c r="D18" s="2" t="s">
        <v>297</v>
      </c>
      <c r="E18" s="2" t="s">
        <v>400</v>
      </c>
      <c r="F18" s="2">
        <v>36400.019999999997</v>
      </c>
      <c r="G18" s="2">
        <v>22306.74</v>
      </c>
      <c r="H18" s="2">
        <v>255</v>
      </c>
      <c r="I18" s="2">
        <v>3.7</v>
      </c>
      <c r="J18" s="2">
        <v>163</v>
      </c>
      <c r="K18" s="2" t="s">
        <v>8831</v>
      </c>
      <c r="L18" s="2" t="s">
        <v>101</v>
      </c>
    </row>
    <row r="19" spans="1:12" x14ac:dyDescent="0.3">
      <c r="A19" s="3" t="s">
        <v>8832</v>
      </c>
      <c r="B19" s="3" t="s">
        <v>390</v>
      </c>
      <c r="C19" s="3" t="s">
        <v>19</v>
      </c>
      <c r="D19" s="3" t="s">
        <v>297</v>
      </c>
      <c r="E19" s="3" t="s">
        <v>218</v>
      </c>
      <c r="F19" s="3">
        <v>13787.56</v>
      </c>
      <c r="G19" s="3">
        <v>7848.79</v>
      </c>
      <c r="H19" s="3">
        <v>453</v>
      </c>
      <c r="I19" s="3">
        <v>4.8</v>
      </c>
      <c r="J19" s="3">
        <v>3794</v>
      </c>
      <c r="K19" s="3" t="s">
        <v>8833</v>
      </c>
      <c r="L19" s="3" t="s">
        <v>101</v>
      </c>
    </row>
    <row r="20" spans="1:12" x14ac:dyDescent="0.3">
      <c r="A20" s="2" t="s">
        <v>8834</v>
      </c>
      <c r="B20" s="2" t="s">
        <v>623</v>
      </c>
      <c r="C20" s="2" t="s">
        <v>19</v>
      </c>
      <c r="D20" s="2" t="s">
        <v>297</v>
      </c>
      <c r="E20" s="2" t="s">
        <v>152</v>
      </c>
      <c r="F20" s="2">
        <v>10550.83</v>
      </c>
      <c r="G20" s="2">
        <v>4379.97</v>
      </c>
      <c r="H20" s="2">
        <v>213</v>
      </c>
      <c r="I20" s="2">
        <v>3.4</v>
      </c>
      <c r="J20" s="2">
        <v>929</v>
      </c>
      <c r="K20" s="2" t="s">
        <v>8835</v>
      </c>
      <c r="L20" s="2" t="s">
        <v>101</v>
      </c>
    </row>
    <row r="21" spans="1:12" x14ac:dyDescent="0.3">
      <c r="A21" s="3" t="s">
        <v>4201</v>
      </c>
      <c r="B21" s="3" t="s">
        <v>296</v>
      </c>
      <c r="C21" s="3" t="s">
        <v>19</v>
      </c>
      <c r="D21" s="3" t="s">
        <v>297</v>
      </c>
      <c r="E21" s="3" t="s">
        <v>99</v>
      </c>
      <c r="F21" s="3">
        <v>40452.21</v>
      </c>
      <c r="G21" s="3">
        <v>17239.11</v>
      </c>
      <c r="H21" s="3">
        <v>492</v>
      </c>
      <c r="I21" s="3">
        <v>3.8</v>
      </c>
      <c r="J21" s="3">
        <v>2078</v>
      </c>
      <c r="K21" s="3" t="s">
        <v>8836</v>
      </c>
      <c r="L21" s="3" t="s">
        <v>140</v>
      </c>
    </row>
    <row r="22" spans="1:12" x14ac:dyDescent="0.3">
      <c r="A22" s="2" t="s">
        <v>8837</v>
      </c>
      <c r="B22" s="2" t="s">
        <v>508</v>
      </c>
      <c r="C22" s="2" t="s">
        <v>19</v>
      </c>
      <c r="D22" s="2" t="s">
        <v>365</v>
      </c>
      <c r="E22" s="2" t="s">
        <v>466</v>
      </c>
      <c r="F22" s="2">
        <v>39642.31</v>
      </c>
      <c r="G22" s="2">
        <v>25729.27</v>
      </c>
      <c r="H22" s="2">
        <v>376</v>
      </c>
      <c r="I22" s="2">
        <v>4.0999999999999996</v>
      </c>
      <c r="J22" s="2">
        <v>3775</v>
      </c>
      <c r="K22" s="2" t="s">
        <v>8838</v>
      </c>
      <c r="L22" s="2" t="s">
        <v>101</v>
      </c>
    </row>
    <row r="23" spans="1:12" x14ac:dyDescent="0.3">
      <c r="A23" s="3" t="s">
        <v>8839</v>
      </c>
      <c r="B23" s="3" t="s">
        <v>1611</v>
      </c>
      <c r="C23" s="3" t="s">
        <v>19</v>
      </c>
      <c r="D23" s="3" t="s">
        <v>365</v>
      </c>
      <c r="E23" s="3" t="s">
        <v>138</v>
      </c>
      <c r="F23" s="3">
        <v>28242.41</v>
      </c>
      <c r="G23" s="3">
        <v>14250.48</v>
      </c>
      <c r="H23" s="3">
        <v>498</v>
      </c>
      <c r="I23" s="3">
        <v>3.6</v>
      </c>
      <c r="J23" s="3">
        <v>4088</v>
      </c>
      <c r="K23" s="3" t="s">
        <v>8840</v>
      </c>
      <c r="L23" s="3" t="s">
        <v>140</v>
      </c>
    </row>
    <row r="24" spans="1:12" x14ac:dyDescent="0.3">
      <c r="A24" s="2" t="s">
        <v>6496</v>
      </c>
      <c r="B24" s="2" t="s">
        <v>1603</v>
      </c>
      <c r="C24" s="2" t="s">
        <v>19</v>
      </c>
      <c r="D24" s="2" t="s">
        <v>365</v>
      </c>
      <c r="E24" s="2" t="s">
        <v>207</v>
      </c>
      <c r="F24" s="2">
        <v>32278.55</v>
      </c>
      <c r="G24" s="2">
        <v>16777.349999999999</v>
      </c>
      <c r="H24" s="2">
        <v>150</v>
      </c>
      <c r="I24" s="2">
        <v>5</v>
      </c>
      <c r="J24" s="2">
        <v>678</v>
      </c>
      <c r="K24" s="2" t="s">
        <v>547</v>
      </c>
      <c r="L24" s="2" t="s">
        <v>101</v>
      </c>
    </row>
    <row r="25" spans="1:12" x14ac:dyDescent="0.3">
      <c r="A25" s="3" t="s">
        <v>8841</v>
      </c>
      <c r="B25" s="3" t="s">
        <v>518</v>
      </c>
      <c r="C25" s="3" t="s">
        <v>19</v>
      </c>
      <c r="D25" s="3" t="s">
        <v>365</v>
      </c>
      <c r="E25" s="3" t="s">
        <v>218</v>
      </c>
      <c r="F25" s="3">
        <v>32682.68</v>
      </c>
      <c r="G25" s="3">
        <v>15116.18</v>
      </c>
      <c r="H25" s="3">
        <v>374</v>
      </c>
      <c r="I25" s="3">
        <v>3.7</v>
      </c>
      <c r="J25" s="3">
        <v>3092</v>
      </c>
      <c r="K25" s="3" t="s">
        <v>8842</v>
      </c>
      <c r="L25" s="3" t="s">
        <v>140</v>
      </c>
    </row>
    <row r="26" spans="1:12" x14ac:dyDescent="0.3">
      <c r="A26" s="2" t="s">
        <v>7302</v>
      </c>
      <c r="B26" s="2" t="s">
        <v>364</v>
      </c>
      <c r="C26" s="2" t="s">
        <v>19</v>
      </c>
      <c r="D26" s="2" t="s">
        <v>365</v>
      </c>
      <c r="E26" s="2" t="s">
        <v>197</v>
      </c>
      <c r="F26" s="2">
        <v>16556.189999999999</v>
      </c>
      <c r="G26" s="2">
        <v>9640.4</v>
      </c>
      <c r="H26" s="2">
        <v>141</v>
      </c>
      <c r="I26" s="2">
        <v>5</v>
      </c>
      <c r="J26" s="2">
        <v>3068</v>
      </c>
      <c r="K26" s="2" t="s">
        <v>8843</v>
      </c>
      <c r="L26" s="2" t="s">
        <v>101</v>
      </c>
    </row>
    <row r="27" spans="1:12" x14ac:dyDescent="0.3">
      <c r="A27" s="3" t="s">
        <v>8844</v>
      </c>
      <c r="B27" s="3" t="s">
        <v>583</v>
      </c>
      <c r="C27" s="3" t="s">
        <v>19</v>
      </c>
      <c r="D27" s="3" t="s">
        <v>447</v>
      </c>
      <c r="E27" s="3" t="s">
        <v>509</v>
      </c>
      <c r="F27" s="3">
        <v>6047.35</v>
      </c>
      <c r="G27" s="3">
        <v>2813.51</v>
      </c>
      <c r="H27" s="3">
        <v>286</v>
      </c>
      <c r="I27" s="3">
        <v>4.9000000000000004</v>
      </c>
      <c r="J27" s="3">
        <v>1901</v>
      </c>
      <c r="K27" s="3" t="s">
        <v>8845</v>
      </c>
      <c r="L27" s="3" t="s">
        <v>140</v>
      </c>
    </row>
    <row r="28" spans="1:12" x14ac:dyDescent="0.3">
      <c r="A28" s="2" t="s">
        <v>1559</v>
      </c>
      <c r="B28" s="2" t="s">
        <v>465</v>
      </c>
      <c r="C28" s="2" t="s">
        <v>19</v>
      </c>
      <c r="D28" s="2" t="s">
        <v>447</v>
      </c>
      <c r="E28" s="2" t="s">
        <v>114</v>
      </c>
      <c r="F28" s="2">
        <v>34976.639999999999</v>
      </c>
      <c r="G28" s="2">
        <v>15469.94</v>
      </c>
      <c r="H28" s="2">
        <v>224</v>
      </c>
      <c r="I28" s="2">
        <v>4.0999999999999996</v>
      </c>
      <c r="J28" s="2">
        <v>3472</v>
      </c>
      <c r="K28" s="2" t="s">
        <v>8846</v>
      </c>
      <c r="L28" s="2" t="s">
        <v>140</v>
      </c>
    </row>
    <row r="29" spans="1:12" x14ac:dyDescent="0.3">
      <c r="A29" s="3" t="s">
        <v>2233</v>
      </c>
      <c r="B29" s="3" t="s">
        <v>1223</v>
      </c>
      <c r="C29" s="3" t="s">
        <v>19</v>
      </c>
      <c r="D29" s="3" t="s">
        <v>447</v>
      </c>
      <c r="E29" s="3" t="s">
        <v>138</v>
      </c>
      <c r="F29" s="3">
        <v>12474.82</v>
      </c>
      <c r="G29" s="3">
        <v>6005.78</v>
      </c>
      <c r="H29" s="3">
        <v>437</v>
      </c>
      <c r="I29" s="3">
        <v>3.6</v>
      </c>
      <c r="J29" s="3">
        <v>1481</v>
      </c>
      <c r="K29" s="3" t="s">
        <v>8847</v>
      </c>
      <c r="L29" s="3" t="s">
        <v>140</v>
      </c>
    </row>
    <row r="30" spans="1:12" x14ac:dyDescent="0.3">
      <c r="A30" s="2" t="s">
        <v>8848</v>
      </c>
      <c r="B30" s="2" t="s">
        <v>1332</v>
      </c>
      <c r="C30" s="2" t="s">
        <v>19</v>
      </c>
      <c r="D30" s="2" t="s">
        <v>447</v>
      </c>
      <c r="E30" s="2" t="s">
        <v>99</v>
      </c>
      <c r="F30" s="2">
        <v>11178.04</v>
      </c>
      <c r="G30" s="2">
        <v>6270.92</v>
      </c>
      <c r="H30" s="2">
        <v>285</v>
      </c>
      <c r="I30" s="2">
        <v>3.8</v>
      </c>
      <c r="J30" s="2">
        <v>4394</v>
      </c>
      <c r="K30" s="2" t="s">
        <v>8849</v>
      </c>
      <c r="L30" s="2" t="s">
        <v>101</v>
      </c>
    </row>
    <row r="31" spans="1:12" x14ac:dyDescent="0.3">
      <c r="A31" s="3" t="s">
        <v>8850</v>
      </c>
      <c r="B31" s="3" t="s">
        <v>446</v>
      </c>
      <c r="C31" s="3" t="s">
        <v>19</v>
      </c>
      <c r="D31" s="3" t="s">
        <v>447</v>
      </c>
      <c r="E31" s="3" t="s">
        <v>218</v>
      </c>
      <c r="F31" s="3">
        <v>10965</v>
      </c>
      <c r="G31" s="3">
        <v>5284.64</v>
      </c>
      <c r="H31" s="3">
        <v>287</v>
      </c>
      <c r="I31" s="3">
        <v>4.3</v>
      </c>
      <c r="J31" s="3">
        <v>3188</v>
      </c>
      <c r="K31" s="3" t="s">
        <v>8851</v>
      </c>
      <c r="L31" s="3" t="s">
        <v>140</v>
      </c>
    </row>
    <row r="32" spans="1:12" x14ac:dyDescent="0.3">
      <c r="A32" s="2" t="s">
        <v>3499</v>
      </c>
      <c r="B32" s="2" t="s">
        <v>686</v>
      </c>
      <c r="C32" s="2" t="s">
        <v>13</v>
      </c>
      <c r="D32" s="2" t="s">
        <v>228</v>
      </c>
      <c r="E32" s="2" t="s">
        <v>152</v>
      </c>
      <c r="F32" s="2">
        <v>43445.02</v>
      </c>
      <c r="G32" s="2">
        <v>23870.39</v>
      </c>
      <c r="H32" s="2">
        <v>182</v>
      </c>
      <c r="I32" s="2">
        <v>4.0999999999999996</v>
      </c>
      <c r="J32" s="2">
        <v>4161</v>
      </c>
      <c r="K32" s="2" t="s">
        <v>1378</v>
      </c>
      <c r="L32" s="2" t="s">
        <v>140</v>
      </c>
    </row>
    <row r="33" spans="1:12" x14ac:dyDescent="0.3">
      <c r="A33" s="3" t="s">
        <v>6376</v>
      </c>
      <c r="B33" s="3" t="s">
        <v>227</v>
      </c>
      <c r="C33" s="3" t="s">
        <v>13</v>
      </c>
      <c r="D33" s="3" t="s">
        <v>228</v>
      </c>
      <c r="E33" s="3" t="s">
        <v>99</v>
      </c>
      <c r="F33" s="3">
        <v>15146.72</v>
      </c>
      <c r="G33" s="3">
        <v>6962.58</v>
      </c>
      <c r="H33" s="3">
        <v>263</v>
      </c>
      <c r="I33" s="3">
        <v>3.1</v>
      </c>
      <c r="J33" s="3">
        <v>825</v>
      </c>
      <c r="K33" s="3" t="s">
        <v>8852</v>
      </c>
      <c r="L33" s="3" t="s">
        <v>101</v>
      </c>
    </row>
    <row r="34" spans="1:12" x14ac:dyDescent="0.3">
      <c r="A34" s="2" t="s">
        <v>8853</v>
      </c>
      <c r="B34" s="2" t="s">
        <v>438</v>
      </c>
      <c r="C34" s="2" t="s">
        <v>13</v>
      </c>
      <c r="D34" s="2" t="s">
        <v>228</v>
      </c>
      <c r="E34" s="2" t="s">
        <v>197</v>
      </c>
      <c r="F34" s="2">
        <v>33730.120000000003</v>
      </c>
      <c r="G34" s="2">
        <v>18706.53</v>
      </c>
      <c r="H34" s="2">
        <v>37</v>
      </c>
      <c r="I34" s="2">
        <v>3.9</v>
      </c>
      <c r="J34" s="2">
        <v>4858</v>
      </c>
      <c r="K34" s="2" t="s">
        <v>8842</v>
      </c>
      <c r="L34" s="2" t="s">
        <v>140</v>
      </c>
    </row>
    <row r="35" spans="1:12" x14ac:dyDescent="0.3">
      <c r="A35" s="3" t="s">
        <v>8312</v>
      </c>
      <c r="B35" s="3" t="s">
        <v>475</v>
      </c>
      <c r="C35" s="3" t="s">
        <v>13</v>
      </c>
      <c r="D35" s="3" t="s">
        <v>228</v>
      </c>
      <c r="E35" s="3" t="s">
        <v>287</v>
      </c>
      <c r="F35" s="3">
        <v>24490.58</v>
      </c>
      <c r="G35" s="3">
        <v>11921.34</v>
      </c>
      <c r="H35" s="3">
        <v>418</v>
      </c>
      <c r="I35" s="3">
        <v>4</v>
      </c>
      <c r="J35" s="3">
        <v>2155</v>
      </c>
      <c r="K35" s="3" t="s">
        <v>8854</v>
      </c>
      <c r="L35" s="3" t="s">
        <v>101</v>
      </c>
    </row>
    <row r="36" spans="1:12" x14ac:dyDescent="0.3">
      <c r="A36" s="2" t="s">
        <v>8855</v>
      </c>
      <c r="B36" s="2" t="s">
        <v>924</v>
      </c>
      <c r="C36" s="2" t="s">
        <v>13</v>
      </c>
      <c r="D36" s="2" t="s">
        <v>228</v>
      </c>
      <c r="E36" s="2" t="s">
        <v>218</v>
      </c>
      <c r="F36" s="2">
        <v>2751.01</v>
      </c>
      <c r="G36" s="2">
        <v>1272.2</v>
      </c>
      <c r="H36" s="2">
        <v>429</v>
      </c>
      <c r="I36" s="2">
        <v>3.8</v>
      </c>
      <c r="J36" s="2">
        <v>1966</v>
      </c>
      <c r="K36" s="2" t="s">
        <v>8856</v>
      </c>
      <c r="L36" s="2" t="s">
        <v>140</v>
      </c>
    </row>
    <row r="37" spans="1:12" x14ac:dyDescent="0.3">
      <c r="A37" s="3" t="s">
        <v>8857</v>
      </c>
      <c r="B37" s="3" t="s">
        <v>750</v>
      </c>
      <c r="C37" s="3" t="s">
        <v>13</v>
      </c>
      <c r="D37" s="3" t="s">
        <v>419</v>
      </c>
      <c r="E37" s="3" t="s">
        <v>509</v>
      </c>
      <c r="F37" s="3">
        <v>22115.57</v>
      </c>
      <c r="G37" s="3">
        <v>11150.73</v>
      </c>
      <c r="H37" s="3">
        <v>444</v>
      </c>
      <c r="I37" s="3">
        <v>3.9</v>
      </c>
      <c r="J37" s="3">
        <v>3657</v>
      </c>
      <c r="K37" s="3" t="s">
        <v>8858</v>
      </c>
      <c r="L37" s="3" t="s">
        <v>140</v>
      </c>
    </row>
    <row r="38" spans="1:12" x14ac:dyDescent="0.3">
      <c r="A38" s="2" t="s">
        <v>8859</v>
      </c>
      <c r="B38" s="2" t="s">
        <v>704</v>
      </c>
      <c r="C38" s="2" t="s">
        <v>13</v>
      </c>
      <c r="D38" s="2" t="s">
        <v>419</v>
      </c>
      <c r="E38" s="2" t="s">
        <v>127</v>
      </c>
      <c r="F38" s="2">
        <v>19118.080000000002</v>
      </c>
      <c r="G38" s="2">
        <v>11664.86</v>
      </c>
      <c r="H38" s="2">
        <v>166</v>
      </c>
      <c r="I38" s="2">
        <v>4.0999999999999996</v>
      </c>
      <c r="J38" s="2">
        <v>2061</v>
      </c>
      <c r="K38" s="2" t="s">
        <v>8860</v>
      </c>
      <c r="L38" s="2" t="s">
        <v>101</v>
      </c>
    </row>
    <row r="39" spans="1:12" x14ac:dyDescent="0.3">
      <c r="A39" s="3" t="s">
        <v>8861</v>
      </c>
      <c r="B39" s="3" t="s">
        <v>418</v>
      </c>
      <c r="C39" s="3" t="s">
        <v>13</v>
      </c>
      <c r="D39" s="3" t="s">
        <v>419</v>
      </c>
      <c r="E39" s="3" t="s">
        <v>466</v>
      </c>
      <c r="F39" s="3">
        <v>39965.629999999997</v>
      </c>
      <c r="G39" s="3">
        <v>24100.799999999999</v>
      </c>
      <c r="H39" s="3">
        <v>168</v>
      </c>
      <c r="I39" s="3">
        <v>4.7</v>
      </c>
      <c r="J39" s="3">
        <v>1209</v>
      </c>
      <c r="K39" s="3" t="s">
        <v>8862</v>
      </c>
      <c r="L39" s="3" t="s">
        <v>101</v>
      </c>
    </row>
    <row r="40" spans="1:12" x14ac:dyDescent="0.3">
      <c r="A40" s="2" t="s">
        <v>4040</v>
      </c>
      <c r="B40" s="2" t="s">
        <v>3017</v>
      </c>
      <c r="C40" s="2" t="s">
        <v>13</v>
      </c>
      <c r="D40" s="2" t="s">
        <v>419</v>
      </c>
      <c r="E40" s="2" t="s">
        <v>287</v>
      </c>
      <c r="F40" s="2">
        <v>19075.669999999998</v>
      </c>
      <c r="G40" s="2">
        <v>9506.25</v>
      </c>
      <c r="H40" s="2">
        <v>216</v>
      </c>
      <c r="I40" s="2">
        <v>3.6</v>
      </c>
      <c r="J40" s="2">
        <v>4904</v>
      </c>
      <c r="K40" s="2" t="s">
        <v>3525</v>
      </c>
      <c r="L40" s="2" t="s">
        <v>101</v>
      </c>
    </row>
    <row r="41" spans="1:12" x14ac:dyDescent="0.3">
      <c r="A41" s="3" t="s">
        <v>8863</v>
      </c>
      <c r="B41" s="3" t="s">
        <v>931</v>
      </c>
      <c r="C41" s="3" t="s">
        <v>13</v>
      </c>
      <c r="D41" s="3" t="s">
        <v>419</v>
      </c>
      <c r="E41" s="3" t="s">
        <v>99</v>
      </c>
      <c r="F41" s="3">
        <v>34333.74</v>
      </c>
      <c r="G41" s="3">
        <v>15598.08</v>
      </c>
      <c r="H41" s="3">
        <v>225</v>
      </c>
      <c r="I41" s="3">
        <v>4.9000000000000004</v>
      </c>
      <c r="J41" s="3">
        <v>15</v>
      </c>
      <c r="K41" s="3" t="s">
        <v>8864</v>
      </c>
      <c r="L41" s="3" t="s">
        <v>101</v>
      </c>
    </row>
    <row r="42" spans="1:12" x14ac:dyDescent="0.3">
      <c r="A42" s="2" t="s">
        <v>8865</v>
      </c>
      <c r="B42" s="2" t="s">
        <v>1535</v>
      </c>
      <c r="C42" s="2" t="s">
        <v>13</v>
      </c>
      <c r="D42" s="2" t="s">
        <v>98</v>
      </c>
      <c r="E42" s="2" t="s">
        <v>127</v>
      </c>
      <c r="F42" s="2">
        <v>20504.47</v>
      </c>
      <c r="G42" s="2">
        <v>8505.76</v>
      </c>
      <c r="H42" s="2">
        <v>431</v>
      </c>
      <c r="I42" s="2">
        <v>4.8</v>
      </c>
      <c r="J42" s="2">
        <v>2973</v>
      </c>
      <c r="K42" s="2" t="s">
        <v>8866</v>
      </c>
      <c r="L42" s="2" t="s">
        <v>140</v>
      </c>
    </row>
    <row r="43" spans="1:12" x14ac:dyDescent="0.3">
      <c r="A43" s="3" t="s">
        <v>8867</v>
      </c>
      <c r="B43" s="3" t="s">
        <v>551</v>
      </c>
      <c r="C43" s="3" t="s">
        <v>13</v>
      </c>
      <c r="D43" s="3" t="s">
        <v>98</v>
      </c>
      <c r="E43" s="3" t="s">
        <v>99</v>
      </c>
      <c r="F43" s="3">
        <v>6711.98</v>
      </c>
      <c r="G43" s="3">
        <v>4234.12</v>
      </c>
      <c r="H43" s="3">
        <v>52</v>
      </c>
      <c r="I43" s="3">
        <v>4.7</v>
      </c>
      <c r="J43" s="3">
        <v>1129</v>
      </c>
      <c r="K43" s="3" t="s">
        <v>5105</v>
      </c>
      <c r="L43" s="3" t="s">
        <v>101</v>
      </c>
    </row>
    <row r="44" spans="1:12" x14ac:dyDescent="0.3">
      <c r="A44" s="2" t="s">
        <v>8868</v>
      </c>
      <c r="B44" s="2" t="s">
        <v>964</v>
      </c>
      <c r="C44" s="2" t="s">
        <v>13</v>
      </c>
      <c r="D44" s="2" t="s">
        <v>98</v>
      </c>
      <c r="E44" s="2" t="s">
        <v>218</v>
      </c>
      <c r="F44" s="2">
        <v>24283.35</v>
      </c>
      <c r="G44" s="2">
        <v>10900.01</v>
      </c>
      <c r="H44" s="2">
        <v>11</v>
      </c>
      <c r="I44" s="2">
        <v>3.7</v>
      </c>
      <c r="J44" s="2">
        <v>41</v>
      </c>
      <c r="K44" s="2" t="s">
        <v>8869</v>
      </c>
      <c r="L44" s="2" t="s">
        <v>101</v>
      </c>
    </row>
    <row r="45" spans="1:12" x14ac:dyDescent="0.3">
      <c r="A45" s="3" t="s">
        <v>8870</v>
      </c>
      <c r="B45" s="3" t="s">
        <v>97</v>
      </c>
      <c r="C45" s="3" t="s">
        <v>13</v>
      </c>
      <c r="D45" s="3" t="s">
        <v>98</v>
      </c>
      <c r="E45" s="3" t="s">
        <v>114</v>
      </c>
      <c r="F45" s="3">
        <v>35502.720000000001</v>
      </c>
      <c r="G45" s="3">
        <v>22673.56</v>
      </c>
      <c r="H45" s="3">
        <v>32</v>
      </c>
      <c r="I45" s="3">
        <v>4.2</v>
      </c>
      <c r="J45" s="3">
        <v>659</v>
      </c>
      <c r="K45" s="3" t="s">
        <v>5004</v>
      </c>
      <c r="L45" s="3" t="s">
        <v>101</v>
      </c>
    </row>
    <row r="46" spans="1:12" x14ac:dyDescent="0.3">
      <c r="A46" s="2" t="s">
        <v>867</v>
      </c>
      <c r="B46" s="2" t="s">
        <v>484</v>
      </c>
      <c r="C46" s="2" t="s">
        <v>13</v>
      </c>
      <c r="D46" s="2" t="s">
        <v>98</v>
      </c>
      <c r="E46" s="2" t="s">
        <v>246</v>
      </c>
      <c r="F46" s="2">
        <v>36940.46</v>
      </c>
      <c r="G46" s="2">
        <v>22976.79</v>
      </c>
      <c r="H46" s="2">
        <v>221</v>
      </c>
      <c r="I46" s="2">
        <v>4.0999999999999996</v>
      </c>
      <c r="J46" s="2">
        <v>2613</v>
      </c>
      <c r="K46" s="2" t="s">
        <v>8871</v>
      </c>
      <c r="L46" s="2" t="s">
        <v>140</v>
      </c>
    </row>
    <row r="47" spans="1:12" x14ac:dyDescent="0.3">
      <c r="A47" s="3" t="s">
        <v>7405</v>
      </c>
      <c r="B47" s="3" t="s">
        <v>648</v>
      </c>
      <c r="C47" s="3" t="s">
        <v>27</v>
      </c>
      <c r="D47" s="3" t="s">
        <v>113</v>
      </c>
      <c r="E47" s="3" t="s">
        <v>509</v>
      </c>
      <c r="F47" s="3">
        <v>35244.160000000003</v>
      </c>
      <c r="G47" s="3">
        <v>14301.65</v>
      </c>
      <c r="H47" s="3">
        <v>402</v>
      </c>
      <c r="I47" s="3">
        <v>4.4000000000000004</v>
      </c>
      <c r="J47" s="3">
        <v>1012</v>
      </c>
      <c r="K47" s="3" t="s">
        <v>8872</v>
      </c>
      <c r="L47" s="3" t="s">
        <v>140</v>
      </c>
    </row>
    <row r="48" spans="1:12" x14ac:dyDescent="0.3">
      <c r="A48" s="2" t="s">
        <v>8873</v>
      </c>
      <c r="B48" s="2" t="s">
        <v>788</v>
      </c>
      <c r="C48" s="2" t="s">
        <v>27</v>
      </c>
      <c r="D48" s="2" t="s">
        <v>113</v>
      </c>
      <c r="E48" s="2" t="s">
        <v>197</v>
      </c>
      <c r="F48" s="2">
        <v>43944.74</v>
      </c>
      <c r="G48" s="2">
        <v>18524.7</v>
      </c>
      <c r="H48" s="2">
        <v>406</v>
      </c>
      <c r="I48" s="2">
        <v>4.0999999999999996</v>
      </c>
      <c r="J48" s="2">
        <v>3295</v>
      </c>
      <c r="K48" s="2" t="s">
        <v>8874</v>
      </c>
      <c r="L48" s="2" t="s">
        <v>140</v>
      </c>
    </row>
    <row r="49" spans="1:12" x14ac:dyDescent="0.3">
      <c r="A49" s="3" t="s">
        <v>6011</v>
      </c>
      <c r="B49" s="3" t="s">
        <v>112</v>
      </c>
      <c r="C49" s="3" t="s">
        <v>27</v>
      </c>
      <c r="D49" s="3" t="s">
        <v>113</v>
      </c>
      <c r="E49" s="3" t="s">
        <v>99</v>
      </c>
      <c r="F49" s="3">
        <v>26176.400000000001</v>
      </c>
      <c r="G49" s="3">
        <v>11988.7</v>
      </c>
      <c r="H49" s="3">
        <v>299</v>
      </c>
      <c r="I49" s="3">
        <v>4.8</v>
      </c>
      <c r="J49" s="3">
        <v>25</v>
      </c>
      <c r="K49" s="3" t="s">
        <v>5615</v>
      </c>
      <c r="L49" s="3" t="s">
        <v>101</v>
      </c>
    </row>
    <row r="50" spans="1:12" x14ac:dyDescent="0.3">
      <c r="A50" s="2" t="s">
        <v>7306</v>
      </c>
      <c r="B50" s="2" t="s">
        <v>765</v>
      </c>
      <c r="C50" s="2" t="s">
        <v>27</v>
      </c>
      <c r="D50" s="2" t="s">
        <v>113</v>
      </c>
      <c r="E50" s="2" t="s">
        <v>197</v>
      </c>
      <c r="F50" s="2">
        <v>30685.42</v>
      </c>
      <c r="G50" s="2">
        <v>16243.6</v>
      </c>
      <c r="H50" s="2">
        <v>208</v>
      </c>
      <c r="I50" s="2">
        <v>4.7</v>
      </c>
      <c r="J50" s="2">
        <v>1953</v>
      </c>
      <c r="K50" s="2" t="s">
        <v>8875</v>
      </c>
      <c r="L50" s="2" t="s">
        <v>101</v>
      </c>
    </row>
    <row r="51" spans="1:12" x14ac:dyDescent="0.3">
      <c r="A51" s="3" t="s">
        <v>7015</v>
      </c>
      <c r="B51" s="3" t="s">
        <v>327</v>
      </c>
      <c r="C51" s="3" t="s">
        <v>27</v>
      </c>
      <c r="D51" s="3" t="s">
        <v>113</v>
      </c>
      <c r="E51" s="3" t="s">
        <v>466</v>
      </c>
      <c r="F51" s="3">
        <v>23552.560000000001</v>
      </c>
      <c r="G51" s="3">
        <v>10681.71</v>
      </c>
      <c r="H51" s="3">
        <v>408</v>
      </c>
      <c r="I51" s="3">
        <v>4.5999999999999996</v>
      </c>
      <c r="J51" s="3">
        <v>1816</v>
      </c>
      <c r="K51" s="3" t="s">
        <v>8847</v>
      </c>
      <c r="L51" s="3" t="s">
        <v>101</v>
      </c>
    </row>
    <row r="52" spans="1:12" x14ac:dyDescent="0.3">
      <c r="A52" s="2" t="s">
        <v>6222</v>
      </c>
      <c r="B52" s="2" t="s">
        <v>174</v>
      </c>
      <c r="C52" s="2" t="s">
        <v>27</v>
      </c>
      <c r="D52" s="2" t="s">
        <v>175</v>
      </c>
      <c r="E52" s="2" t="s">
        <v>152</v>
      </c>
      <c r="F52" s="2">
        <v>17110.349999999999</v>
      </c>
      <c r="G52" s="2">
        <v>7430.19</v>
      </c>
      <c r="H52" s="2">
        <v>218</v>
      </c>
      <c r="I52" s="2">
        <v>4.7</v>
      </c>
      <c r="J52" s="2">
        <v>4469</v>
      </c>
      <c r="K52" s="2" t="s">
        <v>1703</v>
      </c>
      <c r="L52" s="2" t="s">
        <v>101</v>
      </c>
    </row>
    <row r="53" spans="1:12" x14ac:dyDescent="0.3">
      <c r="A53" s="3" t="s">
        <v>6079</v>
      </c>
      <c r="B53" s="3" t="s">
        <v>639</v>
      </c>
      <c r="C53" s="3" t="s">
        <v>27</v>
      </c>
      <c r="D53" s="3" t="s">
        <v>175</v>
      </c>
      <c r="E53" s="3" t="s">
        <v>246</v>
      </c>
      <c r="F53" s="3">
        <v>17417.400000000001</v>
      </c>
      <c r="G53" s="3">
        <v>9838.6200000000008</v>
      </c>
      <c r="H53" s="3">
        <v>136</v>
      </c>
      <c r="I53" s="3">
        <v>3.5</v>
      </c>
      <c r="J53" s="3">
        <v>4891</v>
      </c>
      <c r="K53" s="3" t="s">
        <v>8876</v>
      </c>
      <c r="L53" s="3" t="s">
        <v>101</v>
      </c>
    </row>
    <row r="54" spans="1:12" x14ac:dyDescent="0.3">
      <c r="A54" s="2" t="s">
        <v>8877</v>
      </c>
      <c r="B54" s="2" t="s">
        <v>600</v>
      </c>
      <c r="C54" s="2" t="s">
        <v>27</v>
      </c>
      <c r="D54" s="2" t="s">
        <v>175</v>
      </c>
      <c r="E54" s="2" t="s">
        <v>114</v>
      </c>
      <c r="F54" s="2">
        <v>46064.160000000003</v>
      </c>
      <c r="G54" s="2">
        <v>27450.44</v>
      </c>
      <c r="H54" s="2">
        <v>251</v>
      </c>
      <c r="I54" s="2">
        <v>4.5</v>
      </c>
      <c r="J54" s="2">
        <v>1136</v>
      </c>
      <c r="K54" s="2" t="s">
        <v>8878</v>
      </c>
      <c r="L54" s="2" t="s">
        <v>101</v>
      </c>
    </row>
    <row r="55" spans="1:12" x14ac:dyDescent="0.3">
      <c r="A55" s="3" t="s">
        <v>5709</v>
      </c>
      <c r="B55" s="3" t="s">
        <v>722</v>
      </c>
      <c r="C55" s="3" t="s">
        <v>27</v>
      </c>
      <c r="D55" s="3" t="s">
        <v>175</v>
      </c>
      <c r="E55" s="3" t="s">
        <v>466</v>
      </c>
      <c r="F55" s="3">
        <v>6569.89</v>
      </c>
      <c r="G55" s="3">
        <v>4174.37</v>
      </c>
      <c r="H55" s="3">
        <v>391</v>
      </c>
      <c r="I55" s="3">
        <v>4.5999999999999996</v>
      </c>
      <c r="J55" s="3">
        <v>985</v>
      </c>
      <c r="K55" s="3" t="s">
        <v>8879</v>
      </c>
      <c r="L55" s="3" t="s">
        <v>101</v>
      </c>
    </row>
    <row r="56" spans="1:12" x14ac:dyDescent="0.3">
      <c r="A56" s="2" t="s">
        <v>8880</v>
      </c>
      <c r="B56" s="2" t="s">
        <v>852</v>
      </c>
      <c r="C56" s="2" t="s">
        <v>27</v>
      </c>
      <c r="D56" s="2" t="s">
        <v>175</v>
      </c>
      <c r="E56" s="2" t="s">
        <v>197</v>
      </c>
      <c r="F56" s="2">
        <v>35567.449999999997</v>
      </c>
      <c r="G56" s="2">
        <v>21922.83</v>
      </c>
      <c r="H56" s="2">
        <v>291</v>
      </c>
      <c r="I56" s="2">
        <v>4.0999999999999996</v>
      </c>
      <c r="J56" s="2">
        <v>1411</v>
      </c>
      <c r="K56" s="2" t="s">
        <v>1367</v>
      </c>
      <c r="L56" s="2" t="s">
        <v>101</v>
      </c>
    </row>
    <row r="57" spans="1:12" x14ac:dyDescent="0.3">
      <c r="A57" s="3" t="s">
        <v>4620</v>
      </c>
      <c r="B57" s="3" t="s">
        <v>1188</v>
      </c>
      <c r="C57" s="3" t="s">
        <v>27</v>
      </c>
      <c r="D57" s="3" t="s">
        <v>257</v>
      </c>
      <c r="E57" s="3" t="s">
        <v>287</v>
      </c>
      <c r="F57" s="3">
        <v>10932.55</v>
      </c>
      <c r="G57" s="3">
        <v>6929.48</v>
      </c>
      <c r="H57" s="3">
        <v>354</v>
      </c>
      <c r="I57" s="3">
        <v>4.2</v>
      </c>
      <c r="J57" s="3">
        <v>2574</v>
      </c>
      <c r="K57" s="3" t="s">
        <v>3821</v>
      </c>
      <c r="L57" s="3" t="s">
        <v>140</v>
      </c>
    </row>
    <row r="58" spans="1:12" x14ac:dyDescent="0.3">
      <c r="A58" s="2" t="s">
        <v>2223</v>
      </c>
      <c r="B58" s="2" t="s">
        <v>256</v>
      </c>
      <c r="C58" s="2" t="s">
        <v>27</v>
      </c>
      <c r="D58" s="2" t="s">
        <v>257</v>
      </c>
      <c r="E58" s="2" t="s">
        <v>152</v>
      </c>
      <c r="F58" s="2">
        <v>16322.97</v>
      </c>
      <c r="G58" s="2">
        <v>7390.78</v>
      </c>
      <c r="H58" s="2">
        <v>186</v>
      </c>
      <c r="I58" s="2">
        <v>4.5999999999999996</v>
      </c>
      <c r="J58" s="2">
        <v>2226</v>
      </c>
      <c r="K58" s="2" t="s">
        <v>8881</v>
      </c>
      <c r="L58" s="2" t="s">
        <v>140</v>
      </c>
    </row>
    <row r="59" spans="1:12" x14ac:dyDescent="0.3">
      <c r="A59" s="3" t="s">
        <v>8882</v>
      </c>
      <c r="B59" s="3" t="s">
        <v>837</v>
      </c>
      <c r="C59" s="3" t="s">
        <v>27</v>
      </c>
      <c r="D59" s="3" t="s">
        <v>257</v>
      </c>
      <c r="E59" s="3" t="s">
        <v>99</v>
      </c>
      <c r="F59" s="3">
        <v>13813.32</v>
      </c>
      <c r="G59" s="3">
        <v>7708.07</v>
      </c>
      <c r="H59" s="3">
        <v>61</v>
      </c>
      <c r="I59" s="3">
        <v>4.5</v>
      </c>
      <c r="J59" s="3">
        <v>2100</v>
      </c>
      <c r="K59" s="3" t="s">
        <v>8883</v>
      </c>
      <c r="L59" s="3" t="s">
        <v>140</v>
      </c>
    </row>
    <row r="60" spans="1:12" x14ac:dyDescent="0.3">
      <c r="A60" s="2" t="s">
        <v>8884</v>
      </c>
      <c r="B60" s="2" t="s">
        <v>889</v>
      </c>
      <c r="C60" s="2" t="s">
        <v>27</v>
      </c>
      <c r="D60" s="2" t="s">
        <v>257</v>
      </c>
      <c r="E60" s="2" t="s">
        <v>99</v>
      </c>
      <c r="F60" s="2">
        <v>3976.77</v>
      </c>
      <c r="G60" s="2">
        <v>2139.88</v>
      </c>
      <c r="H60" s="2">
        <v>273</v>
      </c>
      <c r="I60" s="2">
        <v>4.9000000000000004</v>
      </c>
      <c r="J60" s="2">
        <v>1383</v>
      </c>
      <c r="K60" s="2" t="s">
        <v>8885</v>
      </c>
      <c r="L60" s="2" t="s">
        <v>140</v>
      </c>
    </row>
    <row r="61" spans="1:12" x14ac:dyDescent="0.3">
      <c r="A61" s="3" t="s">
        <v>3214</v>
      </c>
      <c r="B61" s="3" t="s">
        <v>1122</v>
      </c>
      <c r="C61" s="3" t="s">
        <v>27</v>
      </c>
      <c r="D61" s="3" t="s">
        <v>257</v>
      </c>
      <c r="E61" s="3" t="s">
        <v>287</v>
      </c>
      <c r="F61" s="3">
        <v>17586.89</v>
      </c>
      <c r="G61" s="3">
        <v>9749.56</v>
      </c>
      <c r="H61" s="3">
        <v>230</v>
      </c>
      <c r="I61" s="3">
        <v>3.2</v>
      </c>
      <c r="J61" s="3">
        <v>4052</v>
      </c>
      <c r="K61" s="3" t="s">
        <v>8886</v>
      </c>
      <c r="L61" s="3" t="s">
        <v>140</v>
      </c>
    </row>
    <row r="62" spans="1:12" x14ac:dyDescent="0.3">
      <c r="A62" s="2" t="s">
        <v>8887</v>
      </c>
      <c r="B62" s="2" t="s">
        <v>136</v>
      </c>
      <c r="C62" s="2" t="s">
        <v>28</v>
      </c>
      <c r="D62" s="2" t="s">
        <v>137</v>
      </c>
      <c r="E62" s="2" t="s">
        <v>246</v>
      </c>
      <c r="F62" s="2">
        <v>43507.64</v>
      </c>
      <c r="G62" s="2">
        <v>26376.560000000001</v>
      </c>
      <c r="H62" s="2">
        <v>217</v>
      </c>
      <c r="I62" s="2">
        <v>4.9000000000000004</v>
      </c>
      <c r="J62" s="2">
        <v>3073</v>
      </c>
      <c r="K62" s="2" t="s">
        <v>2002</v>
      </c>
      <c r="L62" s="2" t="s">
        <v>140</v>
      </c>
    </row>
    <row r="63" spans="1:12" x14ac:dyDescent="0.3">
      <c r="A63" s="3" t="s">
        <v>2807</v>
      </c>
      <c r="B63" s="3" t="s">
        <v>1380</v>
      </c>
      <c r="C63" s="3" t="s">
        <v>28</v>
      </c>
      <c r="D63" s="3" t="s">
        <v>137</v>
      </c>
      <c r="E63" s="3" t="s">
        <v>152</v>
      </c>
      <c r="F63" s="3">
        <v>32493.09</v>
      </c>
      <c r="G63" s="3">
        <v>14624.42</v>
      </c>
      <c r="H63" s="3">
        <v>367</v>
      </c>
      <c r="I63" s="3">
        <v>3</v>
      </c>
      <c r="J63" s="3">
        <v>4757</v>
      </c>
      <c r="K63" s="3" t="s">
        <v>8888</v>
      </c>
      <c r="L63" s="3" t="s">
        <v>101</v>
      </c>
    </row>
    <row r="64" spans="1:12" x14ac:dyDescent="0.3">
      <c r="A64" s="2" t="s">
        <v>8889</v>
      </c>
      <c r="B64" s="2" t="s">
        <v>286</v>
      </c>
      <c r="C64" s="2" t="s">
        <v>28</v>
      </c>
      <c r="D64" s="2" t="s">
        <v>137</v>
      </c>
      <c r="E64" s="2" t="s">
        <v>355</v>
      </c>
      <c r="F64" s="2">
        <v>36928.9</v>
      </c>
      <c r="G64" s="2">
        <v>21289.119999999999</v>
      </c>
      <c r="H64" s="2">
        <v>94</v>
      </c>
      <c r="I64" s="2">
        <v>4.5</v>
      </c>
      <c r="J64" s="2">
        <v>2707</v>
      </c>
      <c r="K64" s="2" t="s">
        <v>3399</v>
      </c>
      <c r="L64" s="2" t="s">
        <v>101</v>
      </c>
    </row>
    <row r="65" spans="1:12" x14ac:dyDescent="0.3">
      <c r="A65" s="3" t="s">
        <v>8890</v>
      </c>
      <c r="B65" s="3" t="s">
        <v>316</v>
      </c>
      <c r="C65" s="3" t="s">
        <v>28</v>
      </c>
      <c r="D65" s="3" t="s">
        <v>137</v>
      </c>
      <c r="E65" s="3" t="s">
        <v>152</v>
      </c>
      <c r="F65" s="3">
        <v>31129.95</v>
      </c>
      <c r="G65" s="3">
        <v>16308.48</v>
      </c>
      <c r="H65" s="3">
        <v>179</v>
      </c>
      <c r="I65" s="3">
        <v>3.2</v>
      </c>
      <c r="J65" s="3">
        <v>4641</v>
      </c>
      <c r="K65" s="3" t="s">
        <v>8891</v>
      </c>
      <c r="L65" s="3" t="s">
        <v>101</v>
      </c>
    </row>
    <row r="66" spans="1:12" x14ac:dyDescent="0.3">
      <c r="A66" s="2" t="s">
        <v>8892</v>
      </c>
      <c r="B66" s="2" t="s">
        <v>1802</v>
      </c>
      <c r="C66" s="2" t="s">
        <v>28</v>
      </c>
      <c r="D66" s="2" t="s">
        <v>137</v>
      </c>
      <c r="E66" s="2" t="s">
        <v>400</v>
      </c>
      <c r="F66" s="2">
        <v>21000.69</v>
      </c>
      <c r="G66" s="2">
        <v>10026.68</v>
      </c>
      <c r="H66" s="2">
        <v>485</v>
      </c>
      <c r="I66" s="2">
        <v>3.3</v>
      </c>
      <c r="J66" s="2">
        <v>3331</v>
      </c>
      <c r="K66" s="2" t="s">
        <v>8893</v>
      </c>
      <c r="L66" s="2" t="s">
        <v>101</v>
      </c>
    </row>
    <row r="67" spans="1:12" x14ac:dyDescent="0.3">
      <c r="A67" s="3" t="s">
        <v>8894</v>
      </c>
      <c r="B67" s="3" t="s">
        <v>266</v>
      </c>
      <c r="C67" s="3" t="s">
        <v>28</v>
      </c>
      <c r="D67" s="3" t="s">
        <v>151</v>
      </c>
      <c r="E67" s="3" t="s">
        <v>400</v>
      </c>
      <c r="F67" s="3">
        <v>36573.32</v>
      </c>
      <c r="G67" s="3">
        <v>18425.689999999999</v>
      </c>
      <c r="H67" s="3">
        <v>473</v>
      </c>
      <c r="I67" s="3">
        <v>3.9</v>
      </c>
      <c r="J67" s="3">
        <v>749</v>
      </c>
      <c r="K67" s="3" t="s">
        <v>8895</v>
      </c>
      <c r="L67" s="3" t="s">
        <v>101</v>
      </c>
    </row>
    <row r="68" spans="1:12" x14ac:dyDescent="0.3">
      <c r="A68" s="2" t="s">
        <v>3176</v>
      </c>
      <c r="B68" s="2" t="s">
        <v>805</v>
      </c>
      <c r="C68" s="2" t="s">
        <v>28</v>
      </c>
      <c r="D68" s="2" t="s">
        <v>151</v>
      </c>
      <c r="E68" s="2" t="s">
        <v>218</v>
      </c>
      <c r="F68" s="2">
        <v>2311.84</v>
      </c>
      <c r="G68" s="2">
        <v>1080.52</v>
      </c>
      <c r="H68" s="2">
        <v>243</v>
      </c>
      <c r="I68" s="2">
        <v>4.0999999999999996</v>
      </c>
      <c r="J68" s="2">
        <v>1161</v>
      </c>
      <c r="K68" s="2" t="s">
        <v>540</v>
      </c>
      <c r="L68" s="2" t="s">
        <v>101</v>
      </c>
    </row>
    <row r="69" spans="1:12" x14ac:dyDescent="0.3">
      <c r="A69" s="3" t="s">
        <v>8896</v>
      </c>
      <c r="B69" s="3" t="s">
        <v>1051</v>
      </c>
      <c r="C69" s="3" t="s">
        <v>28</v>
      </c>
      <c r="D69" s="3" t="s">
        <v>151</v>
      </c>
      <c r="E69" s="3" t="s">
        <v>466</v>
      </c>
      <c r="F69" s="3">
        <v>18157.5</v>
      </c>
      <c r="G69" s="3">
        <v>10379.42</v>
      </c>
      <c r="H69" s="3">
        <v>94</v>
      </c>
      <c r="I69" s="3">
        <v>4.8</v>
      </c>
      <c r="J69" s="3">
        <v>1372</v>
      </c>
      <c r="K69" s="3" t="s">
        <v>1071</v>
      </c>
      <c r="L69" s="3" t="s">
        <v>101</v>
      </c>
    </row>
    <row r="70" spans="1:12" x14ac:dyDescent="0.3">
      <c r="A70" s="2" t="s">
        <v>8897</v>
      </c>
      <c r="B70" s="2" t="s">
        <v>150</v>
      </c>
      <c r="C70" s="2" t="s">
        <v>28</v>
      </c>
      <c r="D70" s="2" t="s">
        <v>151</v>
      </c>
      <c r="E70" s="2" t="s">
        <v>207</v>
      </c>
      <c r="F70" s="2">
        <v>2505.67</v>
      </c>
      <c r="G70" s="2">
        <v>1328.26</v>
      </c>
      <c r="H70" s="2">
        <v>406</v>
      </c>
      <c r="I70" s="2">
        <v>4.3</v>
      </c>
      <c r="J70" s="2">
        <v>1097</v>
      </c>
      <c r="K70" s="2" t="s">
        <v>8898</v>
      </c>
      <c r="L70" s="2" t="s">
        <v>101</v>
      </c>
    </row>
    <row r="71" spans="1:12" x14ac:dyDescent="0.3">
      <c r="A71" s="3" t="s">
        <v>8899</v>
      </c>
      <c r="B71" s="3" t="s">
        <v>185</v>
      </c>
      <c r="C71" s="3" t="s">
        <v>28</v>
      </c>
      <c r="D71" s="3" t="s">
        <v>151</v>
      </c>
      <c r="E71" s="3" t="s">
        <v>287</v>
      </c>
      <c r="F71" s="3">
        <v>44164.88</v>
      </c>
      <c r="G71" s="3">
        <v>18083.3</v>
      </c>
      <c r="H71" s="3">
        <v>255</v>
      </c>
      <c r="I71" s="3">
        <v>4.5999999999999996</v>
      </c>
      <c r="J71" s="3">
        <v>389</v>
      </c>
      <c r="K71" s="3" t="s">
        <v>8900</v>
      </c>
      <c r="L71" s="3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96B"/>
  </sheetPr>
  <dimension ref="A1:N1002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6" customWidth="1"/>
    <col min="3" max="5" width="12" customWidth="1"/>
    <col min="6" max="6" width="15" customWidth="1"/>
    <col min="7" max="9" width="18" customWidth="1"/>
    <col min="10" max="10" width="24" customWidth="1"/>
    <col min="11" max="11" width="21" customWidth="1"/>
    <col min="12" max="12" width="20" customWidth="1"/>
    <col min="13" max="13" width="16" customWidth="1"/>
    <col min="14" max="14" width="13" customWidth="1"/>
  </cols>
  <sheetData>
    <row r="1" spans="1:14" x14ac:dyDescent="0.3">
      <c r="A1" s="5" t="s">
        <v>62</v>
      </c>
      <c r="B1" s="5" t="s">
        <v>63</v>
      </c>
      <c r="C1" s="5" t="s">
        <v>11</v>
      </c>
      <c r="D1" s="5" t="s">
        <v>70</v>
      </c>
      <c r="E1" s="5" t="s">
        <v>4</v>
      </c>
      <c r="F1" s="5" t="s">
        <v>8901</v>
      </c>
      <c r="G1" s="5" t="s">
        <v>8902</v>
      </c>
      <c r="H1" s="5" t="s">
        <v>8903</v>
      </c>
      <c r="I1" s="5" t="s">
        <v>8904</v>
      </c>
      <c r="J1" s="5" t="s">
        <v>8905</v>
      </c>
      <c r="K1" s="5" t="s">
        <v>8906</v>
      </c>
      <c r="L1" s="5" t="s">
        <v>8907</v>
      </c>
      <c r="M1" s="5" t="s">
        <v>8908</v>
      </c>
      <c r="N1" s="5" t="s">
        <v>8909</v>
      </c>
    </row>
    <row r="2" spans="1:14" x14ac:dyDescent="0.3">
      <c r="A2" s="2" t="s">
        <v>8910</v>
      </c>
      <c r="B2" s="2" t="s">
        <v>422</v>
      </c>
      <c r="C2" s="2" t="s">
        <v>42</v>
      </c>
      <c r="D2" s="2" t="s">
        <v>183</v>
      </c>
      <c r="E2" s="2" t="s">
        <v>14</v>
      </c>
      <c r="F2" s="2">
        <v>19</v>
      </c>
      <c r="G2" s="2">
        <v>16791.5</v>
      </c>
      <c r="H2" s="2">
        <v>883.76</v>
      </c>
      <c r="I2" s="2" t="s">
        <v>2408</v>
      </c>
      <c r="J2" s="2">
        <v>158</v>
      </c>
      <c r="K2" s="2" t="s">
        <v>19</v>
      </c>
      <c r="L2" s="2" t="s">
        <v>48</v>
      </c>
      <c r="M2" s="2" t="s">
        <v>31</v>
      </c>
      <c r="N2" s="2" t="s">
        <v>32</v>
      </c>
    </row>
    <row r="3" spans="1:14" x14ac:dyDescent="0.3">
      <c r="A3" s="3" t="s">
        <v>5115</v>
      </c>
      <c r="B3" s="3" t="s">
        <v>1217</v>
      </c>
      <c r="C3" s="3" t="s">
        <v>26</v>
      </c>
      <c r="D3" s="3" t="s">
        <v>225</v>
      </c>
      <c r="E3" s="3" t="s">
        <v>39</v>
      </c>
      <c r="F3" s="3">
        <v>21</v>
      </c>
      <c r="G3" s="3">
        <v>106805.35</v>
      </c>
      <c r="H3" s="3">
        <v>5085.97</v>
      </c>
      <c r="I3" s="3" t="s">
        <v>435</v>
      </c>
      <c r="J3" s="3">
        <v>66</v>
      </c>
      <c r="K3" s="3" t="s">
        <v>19</v>
      </c>
      <c r="L3" s="3" t="s">
        <v>43</v>
      </c>
      <c r="M3" s="3" t="s">
        <v>16</v>
      </c>
      <c r="N3" s="3" t="s">
        <v>25</v>
      </c>
    </row>
    <row r="4" spans="1:14" x14ac:dyDescent="0.3">
      <c r="A4" s="2" t="s">
        <v>8911</v>
      </c>
      <c r="B4" s="2" t="s">
        <v>4342</v>
      </c>
      <c r="C4" s="2" t="s">
        <v>26</v>
      </c>
      <c r="D4" s="2" t="s">
        <v>171</v>
      </c>
      <c r="E4" s="2" t="s">
        <v>14</v>
      </c>
      <c r="F4" s="2">
        <v>1</v>
      </c>
      <c r="G4" s="2">
        <v>192592.59</v>
      </c>
      <c r="H4" s="2">
        <v>192592.59</v>
      </c>
      <c r="I4" s="2" t="s">
        <v>3989</v>
      </c>
      <c r="J4" s="2">
        <v>62</v>
      </c>
      <c r="K4" s="2" t="s">
        <v>27</v>
      </c>
      <c r="L4" s="2" t="s">
        <v>30</v>
      </c>
      <c r="M4" s="2" t="s">
        <v>16</v>
      </c>
      <c r="N4" s="2" t="s">
        <v>25</v>
      </c>
    </row>
    <row r="5" spans="1:14" x14ac:dyDescent="0.3">
      <c r="A5" s="3" t="s">
        <v>8912</v>
      </c>
      <c r="B5" s="3" t="s">
        <v>2202</v>
      </c>
      <c r="C5" s="3" t="s">
        <v>33</v>
      </c>
      <c r="D5" s="3" t="s">
        <v>109</v>
      </c>
      <c r="E5" s="3" t="s">
        <v>39</v>
      </c>
      <c r="F5" s="3">
        <v>27</v>
      </c>
      <c r="G5" s="3">
        <v>177088.19</v>
      </c>
      <c r="H5" s="3">
        <v>6558.82</v>
      </c>
      <c r="I5" s="3" t="s">
        <v>893</v>
      </c>
      <c r="J5" s="3">
        <v>194</v>
      </c>
      <c r="K5" s="3" t="s">
        <v>13</v>
      </c>
      <c r="L5" s="3" t="s">
        <v>43</v>
      </c>
      <c r="M5" s="3" t="s">
        <v>16</v>
      </c>
      <c r="N5" s="3" t="s">
        <v>17</v>
      </c>
    </row>
    <row r="6" spans="1:14" x14ac:dyDescent="0.3">
      <c r="A6" s="2" t="s">
        <v>4230</v>
      </c>
      <c r="B6" s="2" t="s">
        <v>973</v>
      </c>
      <c r="C6" s="2" t="s">
        <v>33</v>
      </c>
      <c r="D6" s="2" t="s">
        <v>427</v>
      </c>
      <c r="E6" s="2" t="s">
        <v>29</v>
      </c>
      <c r="F6" s="2">
        <v>7</v>
      </c>
      <c r="G6" s="2">
        <v>172078.73</v>
      </c>
      <c r="H6" s="2">
        <v>24582.68</v>
      </c>
      <c r="I6" s="2" t="s">
        <v>2929</v>
      </c>
      <c r="J6" s="2">
        <v>362</v>
      </c>
      <c r="K6" s="2" t="s">
        <v>19</v>
      </c>
      <c r="L6" s="2" t="s">
        <v>40</v>
      </c>
      <c r="M6" s="2" t="s">
        <v>16</v>
      </c>
      <c r="N6" s="2" t="s">
        <v>17</v>
      </c>
    </row>
    <row r="7" spans="1:14" x14ac:dyDescent="0.3">
      <c r="A7" s="3" t="s">
        <v>8913</v>
      </c>
      <c r="B7" s="3" t="s">
        <v>1326</v>
      </c>
      <c r="C7" s="3" t="s">
        <v>26</v>
      </c>
      <c r="D7" s="3" t="s">
        <v>324</v>
      </c>
      <c r="E7" s="3" t="s">
        <v>39</v>
      </c>
      <c r="F7" s="3">
        <v>19</v>
      </c>
      <c r="G7" s="3">
        <v>135455.74</v>
      </c>
      <c r="H7" s="3">
        <v>7129.25</v>
      </c>
      <c r="I7" s="3" t="s">
        <v>1373</v>
      </c>
      <c r="J7" s="3">
        <v>70</v>
      </c>
      <c r="K7" s="3" t="s">
        <v>21</v>
      </c>
      <c r="L7" s="3" t="s">
        <v>40</v>
      </c>
      <c r="M7" s="3" t="s">
        <v>16</v>
      </c>
      <c r="N7" s="3" t="s">
        <v>25</v>
      </c>
    </row>
    <row r="8" spans="1:14" x14ac:dyDescent="0.3">
      <c r="A8" s="2" t="s">
        <v>8914</v>
      </c>
      <c r="B8" s="2" t="s">
        <v>487</v>
      </c>
      <c r="C8" s="2" t="s">
        <v>18</v>
      </c>
      <c r="D8" s="2" t="s">
        <v>148</v>
      </c>
      <c r="E8" s="2" t="s">
        <v>29</v>
      </c>
      <c r="F8" s="2">
        <v>23</v>
      </c>
      <c r="G8" s="2">
        <v>115921.46</v>
      </c>
      <c r="H8" s="2">
        <v>5040.0600000000004</v>
      </c>
      <c r="I8" s="2" t="s">
        <v>948</v>
      </c>
      <c r="J8" s="2">
        <v>73</v>
      </c>
      <c r="K8" s="2" t="s">
        <v>27</v>
      </c>
      <c r="L8" s="2" t="s">
        <v>43</v>
      </c>
      <c r="M8" s="2" t="s">
        <v>16</v>
      </c>
      <c r="N8" s="2" t="s">
        <v>25</v>
      </c>
    </row>
    <row r="9" spans="1:14" x14ac:dyDescent="0.3">
      <c r="A9" s="3" t="s">
        <v>8915</v>
      </c>
      <c r="B9" s="3" t="s">
        <v>2097</v>
      </c>
      <c r="C9" s="3" t="s">
        <v>26</v>
      </c>
      <c r="D9" s="3" t="s">
        <v>183</v>
      </c>
      <c r="E9" s="3" t="s">
        <v>14</v>
      </c>
      <c r="F9" s="3">
        <v>18</v>
      </c>
      <c r="G9" s="3">
        <v>147221.56</v>
      </c>
      <c r="H9" s="3">
        <v>8178.98</v>
      </c>
      <c r="I9" s="3" t="s">
        <v>3773</v>
      </c>
      <c r="J9" s="3">
        <v>309</v>
      </c>
      <c r="K9" s="3" t="s">
        <v>27</v>
      </c>
      <c r="L9" s="3" t="s">
        <v>30</v>
      </c>
      <c r="M9" s="3" t="s">
        <v>16</v>
      </c>
      <c r="N9" s="3" t="s">
        <v>17</v>
      </c>
    </row>
    <row r="10" spans="1:14" x14ac:dyDescent="0.3">
      <c r="A10" s="2" t="s">
        <v>6265</v>
      </c>
      <c r="B10" s="2" t="s">
        <v>249</v>
      </c>
      <c r="C10" s="2" t="s">
        <v>33</v>
      </c>
      <c r="D10" s="2" t="s">
        <v>122</v>
      </c>
      <c r="E10" s="2" t="s">
        <v>22</v>
      </c>
      <c r="F10" s="2">
        <v>9</v>
      </c>
      <c r="G10" s="2">
        <v>17304.37</v>
      </c>
      <c r="H10" s="2">
        <v>1922.71</v>
      </c>
      <c r="I10" s="2" t="s">
        <v>3317</v>
      </c>
      <c r="J10" s="2">
        <v>273</v>
      </c>
      <c r="K10" s="2" t="s">
        <v>27</v>
      </c>
      <c r="L10" s="2" t="s">
        <v>23</v>
      </c>
      <c r="M10" s="2" t="s">
        <v>31</v>
      </c>
      <c r="N10" s="2" t="s">
        <v>17</v>
      </c>
    </row>
    <row r="11" spans="1:14" x14ac:dyDescent="0.3">
      <c r="A11" s="3" t="s">
        <v>8916</v>
      </c>
      <c r="B11" s="3" t="s">
        <v>912</v>
      </c>
      <c r="C11" s="3" t="s">
        <v>33</v>
      </c>
      <c r="D11" s="3" t="s">
        <v>324</v>
      </c>
      <c r="E11" s="3" t="s">
        <v>39</v>
      </c>
      <c r="F11" s="3">
        <v>7</v>
      </c>
      <c r="G11" s="3">
        <v>7187.22</v>
      </c>
      <c r="H11" s="3">
        <v>1026.75</v>
      </c>
      <c r="I11" s="3" t="s">
        <v>1997</v>
      </c>
      <c r="J11" s="3">
        <v>266</v>
      </c>
      <c r="K11" s="3" t="s">
        <v>28</v>
      </c>
      <c r="L11" s="3" t="s">
        <v>43</v>
      </c>
      <c r="M11" s="3" t="s">
        <v>41</v>
      </c>
      <c r="N11" s="3" t="s">
        <v>17</v>
      </c>
    </row>
    <row r="12" spans="1:14" x14ac:dyDescent="0.3">
      <c r="A12" s="2" t="s">
        <v>4401</v>
      </c>
      <c r="B12" s="2" t="s">
        <v>1326</v>
      </c>
      <c r="C12" s="2" t="s">
        <v>18</v>
      </c>
      <c r="D12" s="2" t="s">
        <v>122</v>
      </c>
      <c r="E12" s="2" t="s">
        <v>22</v>
      </c>
      <c r="F12" s="2">
        <v>22</v>
      </c>
      <c r="G12" s="2">
        <v>147761.76999999999</v>
      </c>
      <c r="H12" s="2">
        <v>6716.44</v>
      </c>
      <c r="I12" s="2" t="s">
        <v>3201</v>
      </c>
      <c r="J12" s="2">
        <v>226</v>
      </c>
      <c r="K12" s="2" t="s">
        <v>28</v>
      </c>
      <c r="L12" s="2" t="s">
        <v>15</v>
      </c>
      <c r="M12" s="2" t="s">
        <v>16</v>
      </c>
      <c r="N12" s="2" t="s">
        <v>17</v>
      </c>
    </row>
    <row r="13" spans="1:14" x14ac:dyDescent="0.3">
      <c r="A13" s="3" t="s">
        <v>8917</v>
      </c>
      <c r="B13" s="3" t="s">
        <v>912</v>
      </c>
      <c r="C13" s="3" t="s">
        <v>42</v>
      </c>
      <c r="D13" s="3" t="s">
        <v>160</v>
      </c>
      <c r="E13" s="3" t="s">
        <v>29</v>
      </c>
      <c r="F13" s="3">
        <v>28</v>
      </c>
      <c r="G13" s="3">
        <v>82495.61</v>
      </c>
      <c r="H13" s="3">
        <v>2946.27</v>
      </c>
      <c r="I13" s="3" t="s">
        <v>4966</v>
      </c>
      <c r="J13" s="3">
        <v>3</v>
      </c>
      <c r="K13" s="3" t="s">
        <v>21</v>
      </c>
      <c r="L13" s="3" t="s">
        <v>30</v>
      </c>
      <c r="M13" s="3" t="s">
        <v>24</v>
      </c>
      <c r="N13" s="3" t="s">
        <v>25</v>
      </c>
    </row>
    <row r="14" spans="1:14" x14ac:dyDescent="0.3">
      <c r="A14" s="2" t="s">
        <v>8918</v>
      </c>
      <c r="B14" s="2" t="s">
        <v>512</v>
      </c>
      <c r="C14" s="2" t="s">
        <v>18</v>
      </c>
      <c r="D14" s="2" t="s">
        <v>109</v>
      </c>
      <c r="E14" s="2" t="s">
        <v>39</v>
      </c>
      <c r="F14" s="2">
        <v>26</v>
      </c>
      <c r="G14" s="2">
        <v>190436.62</v>
      </c>
      <c r="H14" s="2">
        <v>7324.49</v>
      </c>
      <c r="I14" s="2" t="s">
        <v>908</v>
      </c>
      <c r="J14" s="2">
        <v>74</v>
      </c>
      <c r="K14" s="2" t="s">
        <v>19</v>
      </c>
      <c r="L14" s="2" t="s">
        <v>40</v>
      </c>
      <c r="M14" s="2" t="s">
        <v>16</v>
      </c>
      <c r="N14" s="2" t="s">
        <v>25</v>
      </c>
    </row>
    <row r="15" spans="1:14" x14ac:dyDescent="0.3">
      <c r="A15" s="3" t="s">
        <v>8919</v>
      </c>
      <c r="B15" s="3" t="s">
        <v>680</v>
      </c>
      <c r="C15" s="3" t="s">
        <v>18</v>
      </c>
      <c r="D15" s="3" t="s">
        <v>193</v>
      </c>
      <c r="E15" s="3" t="s">
        <v>39</v>
      </c>
      <c r="F15" s="3">
        <v>12</v>
      </c>
      <c r="G15" s="3">
        <v>96425.36</v>
      </c>
      <c r="H15" s="3">
        <v>8035.45</v>
      </c>
      <c r="I15" s="3" t="s">
        <v>636</v>
      </c>
      <c r="J15" s="3">
        <v>340</v>
      </c>
      <c r="K15" s="3" t="s">
        <v>19</v>
      </c>
      <c r="L15" s="3" t="s">
        <v>48</v>
      </c>
      <c r="M15" s="3" t="s">
        <v>24</v>
      </c>
      <c r="N15" s="3" t="s">
        <v>17</v>
      </c>
    </row>
    <row r="16" spans="1:14" x14ac:dyDescent="0.3">
      <c r="A16" s="2" t="s">
        <v>1865</v>
      </c>
      <c r="B16" s="2" t="s">
        <v>4171</v>
      </c>
      <c r="C16" s="2" t="s">
        <v>33</v>
      </c>
      <c r="D16" s="2" t="s">
        <v>443</v>
      </c>
      <c r="E16" s="2" t="s">
        <v>22</v>
      </c>
      <c r="F16" s="2">
        <v>22</v>
      </c>
      <c r="G16" s="2">
        <v>131002.97</v>
      </c>
      <c r="H16" s="2">
        <v>5954.68</v>
      </c>
      <c r="I16" s="2" t="s">
        <v>131</v>
      </c>
      <c r="J16" s="2">
        <v>121</v>
      </c>
      <c r="K16" s="2" t="s">
        <v>19</v>
      </c>
      <c r="L16" s="2" t="s">
        <v>47</v>
      </c>
      <c r="M16" s="2" t="s">
        <v>16</v>
      </c>
      <c r="N16" s="2" t="s">
        <v>32</v>
      </c>
    </row>
    <row r="17" spans="1:14" x14ac:dyDescent="0.3">
      <c r="A17" s="3" t="s">
        <v>8920</v>
      </c>
      <c r="B17" s="3" t="s">
        <v>1152</v>
      </c>
      <c r="C17" s="3" t="s">
        <v>26</v>
      </c>
      <c r="D17" s="3" t="s">
        <v>183</v>
      </c>
      <c r="E17" s="3" t="s">
        <v>14</v>
      </c>
      <c r="F17" s="3">
        <v>1</v>
      </c>
      <c r="G17" s="3">
        <v>168063.95</v>
      </c>
      <c r="H17" s="3">
        <v>168063.95</v>
      </c>
      <c r="I17" s="3" t="s">
        <v>906</v>
      </c>
      <c r="J17" s="3">
        <v>78</v>
      </c>
      <c r="K17" s="3" t="s">
        <v>13</v>
      </c>
      <c r="L17" s="3" t="s">
        <v>43</v>
      </c>
      <c r="M17" s="3" t="s">
        <v>16</v>
      </c>
      <c r="N17" s="3" t="s">
        <v>25</v>
      </c>
    </row>
    <row r="18" spans="1:14" x14ac:dyDescent="0.3">
      <c r="A18" s="2" t="s">
        <v>8921</v>
      </c>
      <c r="B18" s="2" t="s">
        <v>1665</v>
      </c>
      <c r="C18" s="2" t="s">
        <v>26</v>
      </c>
      <c r="D18" s="2" t="s">
        <v>109</v>
      </c>
      <c r="E18" s="2" t="s">
        <v>39</v>
      </c>
      <c r="F18" s="2">
        <v>15</v>
      </c>
      <c r="G18" s="2">
        <v>25372.51</v>
      </c>
      <c r="H18" s="2">
        <v>1691.5</v>
      </c>
      <c r="I18" s="2" t="s">
        <v>1240</v>
      </c>
      <c r="J18" s="2">
        <v>305</v>
      </c>
      <c r="K18" s="2" t="s">
        <v>19</v>
      </c>
      <c r="L18" s="2" t="s">
        <v>48</v>
      </c>
      <c r="M18" s="2" t="s">
        <v>31</v>
      </c>
      <c r="N18" s="2" t="s">
        <v>17</v>
      </c>
    </row>
    <row r="19" spans="1:14" x14ac:dyDescent="0.3">
      <c r="A19" s="3" t="s">
        <v>8922</v>
      </c>
      <c r="B19" s="3" t="s">
        <v>4068</v>
      </c>
      <c r="C19" s="3" t="s">
        <v>26</v>
      </c>
      <c r="D19" s="3" t="s">
        <v>254</v>
      </c>
      <c r="E19" s="3" t="s">
        <v>22</v>
      </c>
      <c r="F19" s="3">
        <v>5</v>
      </c>
      <c r="G19" s="3">
        <v>46686.16</v>
      </c>
      <c r="H19" s="3">
        <v>9337.23</v>
      </c>
      <c r="I19" s="3" t="s">
        <v>1329</v>
      </c>
      <c r="J19" s="3">
        <v>331</v>
      </c>
      <c r="K19" s="3" t="s">
        <v>28</v>
      </c>
      <c r="L19" s="3" t="s">
        <v>40</v>
      </c>
      <c r="M19" s="3" t="s">
        <v>31</v>
      </c>
      <c r="N19" s="3" t="s">
        <v>17</v>
      </c>
    </row>
    <row r="20" spans="1:14" x14ac:dyDescent="0.3">
      <c r="A20" s="2" t="s">
        <v>5240</v>
      </c>
      <c r="B20" s="2" t="s">
        <v>1517</v>
      </c>
      <c r="C20" s="2" t="s">
        <v>33</v>
      </c>
      <c r="D20" s="2" t="s">
        <v>283</v>
      </c>
      <c r="E20" s="2" t="s">
        <v>22</v>
      </c>
      <c r="F20" s="2">
        <v>25</v>
      </c>
      <c r="G20" s="2">
        <v>21424.9</v>
      </c>
      <c r="H20" s="2">
        <v>857</v>
      </c>
      <c r="I20" s="2" t="s">
        <v>2666</v>
      </c>
      <c r="J20" s="2">
        <v>195</v>
      </c>
      <c r="K20" s="2" t="s">
        <v>21</v>
      </c>
      <c r="L20" s="2" t="s">
        <v>15</v>
      </c>
      <c r="M20" s="2" t="s">
        <v>31</v>
      </c>
      <c r="N20" s="2" t="s">
        <v>17</v>
      </c>
    </row>
    <row r="21" spans="1:14" x14ac:dyDescent="0.3">
      <c r="A21" s="3" t="s">
        <v>8923</v>
      </c>
      <c r="B21" s="3" t="s">
        <v>1981</v>
      </c>
      <c r="C21" s="3" t="s">
        <v>42</v>
      </c>
      <c r="D21" s="3" t="s">
        <v>215</v>
      </c>
      <c r="E21" s="3" t="s">
        <v>14</v>
      </c>
      <c r="F21" s="3">
        <v>12</v>
      </c>
      <c r="G21" s="3">
        <v>6596.4</v>
      </c>
      <c r="H21" s="3">
        <v>549.70000000000005</v>
      </c>
      <c r="I21" s="3" t="s">
        <v>1307</v>
      </c>
      <c r="J21" s="3">
        <v>262</v>
      </c>
      <c r="K21" s="3" t="s">
        <v>27</v>
      </c>
      <c r="L21" s="3" t="s">
        <v>48</v>
      </c>
      <c r="M21" s="3" t="s">
        <v>41</v>
      </c>
      <c r="N21" s="3" t="s">
        <v>17</v>
      </c>
    </row>
    <row r="22" spans="1:14" x14ac:dyDescent="0.3">
      <c r="A22" s="2" t="s">
        <v>8924</v>
      </c>
      <c r="B22" s="2" t="s">
        <v>1717</v>
      </c>
      <c r="C22" s="2" t="s">
        <v>33</v>
      </c>
      <c r="D22" s="2" t="s">
        <v>314</v>
      </c>
      <c r="E22" s="2" t="s">
        <v>39</v>
      </c>
      <c r="F22" s="2">
        <v>7</v>
      </c>
      <c r="G22" s="2">
        <v>78913.61</v>
      </c>
      <c r="H22" s="2">
        <v>11273.37</v>
      </c>
      <c r="I22" s="2" t="s">
        <v>938</v>
      </c>
      <c r="J22" s="2">
        <v>230</v>
      </c>
      <c r="K22" s="2" t="s">
        <v>21</v>
      </c>
      <c r="L22" s="2" t="s">
        <v>23</v>
      </c>
      <c r="M22" s="2" t="s">
        <v>24</v>
      </c>
      <c r="N22" s="2" t="s">
        <v>17</v>
      </c>
    </row>
    <row r="23" spans="1:14" x14ac:dyDescent="0.3">
      <c r="A23" s="3" t="s">
        <v>8925</v>
      </c>
      <c r="B23" s="3" t="s">
        <v>2877</v>
      </c>
      <c r="C23" s="3" t="s">
        <v>33</v>
      </c>
      <c r="D23" s="3" t="s">
        <v>193</v>
      </c>
      <c r="E23" s="3" t="s">
        <v>39</v>
      </c>
      <c r="F23" s="3">
        <v>12</v>
      </c>
      <c r="G23" s="3">
        <v>85158.31</v>
      </c>
      <c r="H23" s="3">
        <v>7096.53</v>
      </c>
      <c r="I23" s="3" t="s">
        <v>2899</v>
      </c>
      <c r="J23" s="3">
        <v>277</v>
      </c>
      <c r="K23" s="3" t="s">
        <v>28</v>
      </c>
      <c r="L23" s="3" t="s">
        <v>40</v>
      </c>
      <c r="M23" s="3" t="s">
        <v>24</v>
      </c>
      <c r="N23" s="3" t="s">
        <v>17</v>
      </c>
    </row>
    <row r="24" spans="1:14" x14ac:dyDescent="0.3">
      <c r="A24" s="2" t="s">
        <v>8926</v>
      </c>
      <c r="B24" s="2" t="s">
        <v>1019</v>
      </c>
      <c r="C24" s="2" t="s">
        <v>26</v>
      </c>
      <c r="D24" s="2" t="s">
        <v>109</v>
      </c>
      <c r="E24" s="2" t="s">
        <v>39</v>
      </c>
      <c r="F24" s="2">
        <v>25</v>
      </c>
      <c r="G24" s="2">
        <v>146014.29999999999</v>
      </c>
      <c r="H24" s="2">
        <v>5840.57</v>
      </c>
      <c r="I24" s="2" t="s">
        <v>1198</v>
      </c>
      <c r="J24" s="2">
        <v>338</v>
      </c>
      <c r="K24" s="2" t="s">
        <v>19</v>
      </c>
      <c r="L24" s="2" t="s">
        <v>15</v>
      </c>
      <c r="M24" s="2" t="s">
        <v>16</v>
      </c>
      <c r="N24" s="2" t="s">
        <v>17</v>
      </c>
    </row>
    <row r="25" spans="1:14" x14ac:dyDescent="0.3">
      <c r="A25" s="3" t="s">
        <v>8927</v>
      </c>
      <c r="B25" s="3" t="s">
        <v>563</v>
      </c>
      <c r="C25" s="3" t="s">
        <v>18</v>
      </c>
      <c r="D25" s="3" t="s">
        <v>95</v>
      </c>
      <c r="E25" s="3" t="s">
        <v>14</v>
      </c>
      <c r="F25" s="3">
        <v>16</v>
      </c>
      <c r="G25" s="3">
        <v>94149.36</v>
      </c>
      <c r="H25" s="3">
        <v>5884.34</v>
      </c>
      <c r="I25" s="3" t="s">
        <v>1688</v>
      </c>
      <c r="J25" s="3">
        <v>302</v>
      </c>
      <c r="K25" s="3" t="s">
        <v>28</v>
      </c>
      <c r="L25" s="3" t="s">
        <v>23</v>
      </c>
      <c r="M25" s="3" t="s">
        <v>24</v>
      </c>
      <c r="N25" s="3" t="s">
        <v>17</v>
      </c>
    </row>
    <row r="26" spans="1:14" x14ac:dyDescent="0.3">
      <c r="A26" s="2" t="s">
        <v>7492</v>
      </c>
      <c r="B26" s="2" t="s">
        <v>5584</v>
      </c>
      <c r="C26" s="2" t="s">
        <v>18</v>
      </c>
      <c r="D26" s="2" t="s">
        <v>171</v>
      </c>
      <c r="E26" s="2" t="s">
        <v>14</v>
      </c>
      <c r="F26" s="2">
        <v>23</v>
      </c>
      <c r="G26" s="2">
        <v>96561.27</v>
      </c>
      <c r="H26" s="2">
        <v>4198.32</v>
      </c>
      <c r="I26" s="2" t="s">
        <v>1486</v>
      </c>
      <c r="J26" s="2">
        <v>32</v>
      </c>
      <c r="K26" s="2" t="s">
        <v>28</v>
      </c>
      <c r="L26" s="2" t="s">
        <v>43</v>
      </c>
      <c r="M26" s="2" t="s">
        <v>24</v>
      </c>
      <c r="N26" s="2" t="s">
        <v>25</v>
      </c>
    </row>
    <row r="27" spans="1:14" x14ac:dyDescent="0.3">
      <c r="A27" s="3" t="s">
        <v>8928</v>
      </c>
      <c r="B27" s="3" t="s">
        <v>1304</v>
      </c>
      <c r="C27" s="3" t="s">
        <v>18</v>
      </c>
      <c r="D27" s="3" t="s">
        <v>334</v>
      </c>
      <c r="E27" s="3" t="s">
        <v>29</v>
      </c>
      <c r="F27" s="3">
        <v>9</v>
      </c>
      <c r="G27" s="3">
        <v>100306.67</v>
      </c>
      <c r="H27" s="3">
        <v>11145.19</v>
      </c>
      <c r="I27" s="3" t="s">
        <v>3302</v>
      </c>
      <c r="J27" s="3">
        <v>159</v>
      </c>
      <c r="K27" s="3" t="s">
        <v>28</v>
      </c>
      <c r="L27" s="3" t="s">
        <v>23</v>
      </c>
      <c r="M27" s="3" t="s">
        <v>16</v>
      </c>
      <c r="N27" s="3" t="s">
        <v>32</v>
      </c>
    </row>
    <row r="28" spans="1:14" x14ac:dyDescent="0.3">
      <c r="A28" s="2" t="s">
        <v>2528</v>
      </c>
      <c r="B28" s="2" t="s">
        <v>2345</v>
      </c>
      <c r="C28" s="2" t="s">
        <v>33</v>
      </c>
      <c r="D28" s="2" t="s">
        <v>171</v>
      </c>
      <c r="E28" s="2" t="s">
        <v>14</v>
      </c>
      <c r="F28" s="2">
        <v>5</v>
      </c>
      <c r="G28" s="2">
        <v>193614.6</v>
      </c>
      <c r="H28" s="2">
        <v>38722.92</v>
      </c>
      <c r="I28" s="2" t="s">
        <v>3610</v>
      </c>
      <c r="J28" s="2">
        <v>61</v>
      </c>
      <c r="K28" s="2" t="s">
        <v>21</v>
      </c>
      <c r="L28" s="2" t="s">
        <v>47</v>
      </c>
      <c r="M28" s="2" t="s">
        <v>16</v>
      </c>
      <c r="N28" s="2" t="s">
        <v>25</v>
      </c>
    </row>
    <row r="29" spans="1:14" x14ac:dyDescent="0.3">
      <c r="A29" s="3" t="s">
        <v>4000</v>
      </c>
      <c r="B29" s="3" t="s">
        <v>2772</v>
      </c>
      <c r="C29" s="3" t="s">
        <v>33</v>
      </c>
      <c r="D29" s="3" t="s">
        <v>427</v>
      </c>
      <c r="E29" s="3" t="s">
        <v>29</v>
      </c>
      <c r="F29" s="3">
        <v>3</v>
      </c>
      <c r="G29" s="3">
        <v>184704.69</v>
      </c>
      <c r="H29" s="3">
        <v>61568.23</v>
      </c>
      <c r="I29" s="3" t="s">
        <v>5308</v>
      </c>
      <c r="J29" s="3">
        <v>236</v>
      </c>
      <c r="K29" s="3" t="s">
        <v>27</v>
      </c>
      <c r="L29" s="3" t="s">
        <v>40</v>
      </c>
      <c r="M29" s="3" t="s">
        <v>16</v>
      </c>
      <c r="N29" s="3" t="s">
        <v>17</v>
      </c>
    </row>
    <row r="30" spans="1:14" x14ac:dyDescent="0.3">
      <c r="A30" s="2" t="s">
        <v>8929</v>
      </c>
      <c r="B30" s="2" t="s">
        <v>1730</v>
      </c>
      <c r="C30" s="2" t="s">
        <v>18</v>
      </c>
      <c r="D30" s="2" t="s">
        <v>324</v>
      </c>
      <c r="E30" s="2" t="s">
        <v>39</v>
      </c>
      <c r="F30" s="2">
        <v>3</v>
      </c>
      <c r="G30" s="2">
        <v>62257.53</v>
      </c>
      <c r="H30" s="2">
        <v>20752.509999999998</v>
      </c>
      <c r="I30" s="2" t="s">
        <v>778</v>
      </c>
      <c r="J30" s="2">
        <v>82</v>
      </c>
      <c r="K30" s="2" t="s">
        <v>13</v>
      </c>
      <c r="L30" s="2" t="s">
        <v>43</v>
      </c>
      <c r="M30" s="2" t="s">
        <v>24</v>
      </c>
      <c r="N30" s="2" t="s">
        <v>25</v>
      </c>
    </row>
    <row r="31" spans="1:14" x14ac:dyDescent="0.3">
      <c r="A31" s="3" t="s">
        <v>8930</v>
      </c>
      <c r="B31" s="3" t="s">
        <v>768</v>
      </c>
      <c r="C31" s="3" t="s">
        <v>33</v>
      </c>
      <c r="D31" s="3" t="s">
        <v>738</v>
      </c>
      <c r="E31" s="3" t="s">
        <v>22</v>
      </c>
      <c r="F31" s="3">
        <v>4</v>
      </c>
      <c r="G31" s="3">
        <v>84119.88</v>
      </c>
      <c r="H31" s="3">
        <v>21029.97</v>
      </c>
      <c r="I31" s="3" t="s">
        <v>1608</v>
      </c>
      <c r="J31" s="3">
        <v>152</v>
      </c>
      <c r="K31" s="3" t="s">
        <v>13</v>
      </c>
      <c r="L31" s="3" t="s">
        <v>23</v>
      </c>
      <c r="M31" s="3" t="s">
        <v>24</v>
      </c>
      <c r="N31" s="3" t="s">
        <v>32</v>
      </c>
    </row>
    <row r="32" spans="1:14" x14ac:dyDescent="0.3">
      <c r="A32" s="2" t="s">
        <v>5420</v>
      </c>
      <c r="B32" s="2" t="s">
        <v>1038</v>
      </c>
      <c r="C32" s="2" t="s">
        <v>26</v>
      </c>
      <c r="D32" s="2" t="s">
        <v>334</v>
      </c>
      <c r="E32" s="2" t="s">
        <v>29</v>
      </c>
      <c r="F32" s="2">
        <v>18</v>
      </c>
      <c r="G32" s="2">
        <v>20180.919999999998</v>
      </c>
      <c r="H32" s="2">
        <v>1121.1600000000001</v>
      </c>
      <c r="I32" s="2" t="s">
        <v>1776</v>
      </c>
      <c r="J32" s="2">
        <v>13</v>
      </c>
      <c r="K32" s="2" t="s">
        <v>13</v>
      </c>
      <c r="L32" s="2" t="s">
        <v>40</v>
      </c>
      <c r="M32" s="2" t="s">
        <v>31</v>
      </c>
      <c r="N32" s="2" t="s">
        <v>25</v>
      </c>
    </row>
    <row r="33" spans="1:14" x14ac:dyDescent="0.3">
      <c r="A33" s="3" t="s">
        <v>8931</v>
      </c>
      <c r="B33" s="3" t="s">
        <v>348</v>
      </c>
      <c r="C33" s="3" t="s">
        <v>18</v>
      </c>
      <c r="D33" s="3" t="s">
        <v>215</v>
      </c>
      <c r="E33" s="3" t="s">
        <v>14</v>
      </c>
      <c r="F33" s="3">
        <v>22</v>
      </c>
      <c r="G33" s="3">
        <v>111357.23</v>
      </c>
      <c r="H33" s="3">
        <v>5061.6899999999996</v>
      </c>
      <c r="I33" s="3" t="s">
        <v>718</v>
      </c>
      <c r="J33" s="3">
        <v>136</v>
      </c>
      <c r="K33" s="3" t="s">
        <v>27</v>
      </c>
      <c r="L33" s="3" t="s">
        <v>48</v>
      </c>
      <c r="M33" s="3" t="s">
        <v>16</v>
      </c>
      <c r="N33" s="3" t="s">
        <v>32</v>
      </c>
    </row>
    <row r="34" spans="1:14" x14ac:dyDescent="0.3">
      <c r="A34" s="2" t="s">
        <v>8932</v>
      </c>
      <c r="B34" s="2" t="s">
        <v>1451</v>
      </c>
      <c r="C34" s="2" t="s">
        <v>26</v>
      </c>
      <c r="D34" s="2" t="s">
        <v>324</v>
      </c>
      <c r="E34" s="2" t="s">
        <v>39</v>
      </c>
      <c r="F34" s="2">
        <v>1</v>
      </c>
      <c r="G34" s="2">
        <v>115761.8</v>
      </c>
      <c r="H34" s="2">
        <v>115761.8</v>
      </c>
      <c r="I34" s="2" t="s">
        <v>1221</v>
      </c>
      <c r="J34" s="2">
        <v>245</v>
      </c>
      <c r="K34" s="2" t="s">
        <v>19</v>
      </c>
      <c r="L34" s="2" t="s">
        <v>23</v>
      </c>
      <c r="M34" s="2" t="s">
        <v>16</v>
      </c>
      <c r="N34" s="2" t="s">
        <v>17</v>
      </c>
    </row>
    <row r="35" spans="1:14" x14ac:dyDescent="0.3">
      <c r="A35" s="3" t="s">
        <v>8933</v>
      </c>
      <c r="B35" s="3" t="s">
        <v>4617</v>
      </c>
      <c r="C35" s="3" t="s">
        <v>18</v>
      </c>
      <c r="D35" s="3" t="s">
        <v>334</v>
      </c>
      <c r="E35" s="3" t="s">
        <v>29</v>
      </c>
      <c r="F35" s="3">
        <v>21</v>
      </c>
      <c r="G35" s="3">
        <v>191423.47</v>
      </c>
      <c r="H35" s="3">
        <v>9115.4</v>
      </c>
      <c r="I35" s="3" t="s">
        <v>3474</v>
      </c>
      <c r="J35" s="3">
        <v>363</v>
      </c>
      <c r="K35" s="3" t="s">
        <v>13</v>
      </c>
      <c r="L35" s="3" t="s">
        <v>23</v>
      </c>
      <c r="M35" s="3" t="s">
        <v>16</v>
      </c>
      <c r="N35" s="3" t="s">
        <v>17</v>
      </c>
    </row>
    <row r="36" spans="1:14" x14ac:dyDescent="0.3">
      <c r="A36" s="2" t="s">
        <v>6953</v>
      </c>
      <c r="B36" s="2" t="s">
        <v>1226</v>
      </c>
      <c r="C36" s="2" t="s">
        <v>26</v>
      </c>
      <c r="D36" s="2" t="s">
        <v>215</v>
      </c>
      <c r="E36" s="2" t="s">
        <v>14</v>
      </c>
      <c r="F36" s="2">
        <v>10</v>
      </c>
      <c r="G36" s="2">
        <v>175285.51</v>
      </c>
      <c r="H36" s="2">
        <v>17528.55</v>
      </c>
      <c r="I36" s="2" t="s">
        <v>3534</v>
      </c>
      <c r="J36" s="2">
        <v>132</v>
      </c>
      <c r="K36" s="2" t="s">
        <v>19</v>
      </c>
      <c r="L36" s="2" t="s">
        <v>40</v>
      </c>
      <c r="M36" s="2" t="s">
        <v>16</v>
      </c>
      <c r="N36" s="2" t="s">
        <v>32</v>
      </c>
    </row>
    <row r="37" spans="1:14" x14ac:dyDescent="0.3">
      <c r="A37" s="3" t="s">
        <v>8934</v>
      </c>
      <c r="B37" s="3" t="s">
        <v>1350</v>
      </c>
      <c r="C37" s="3" t="s">
        <v>33</v>
      </c>
      <c r="D37" s="3" t="s">
        <v>712</v>
      </c>
      <c r="E37" s="3" t="s">
        <v>14</v>
      </c>
      <c r="F37" s="3">
        <v>3</v>
      </c>
      <c r="G37" s="3">
        <v>88111.91</v>
      </c>
      <c r="H37" s="3">
        <v>29370.639999999999</v>
      </c>
      <c r="I37" s="3" t="s">
        <v>514</v>
      </c>
      <c r="J37" s="3">
        <v>59</v>
      </c>
      <c r="K37" s="3" t="s">
        <v>21</v>
      </c>
      <c r="L37" s="3" t="s">
        <v>47</v>
      </c>
      <c r="M37" s="3" t="s">
        <v>24</v>
      </c>
      <c r="N37" s="3" t="s">
        <v>25</v>
      </c>
    </row>
    <row r="38" spans="1:14" x14ac:dyDescent="0.3">
      <c r="A38" s="2" t="s">
        <v>8935</v>
      </c>
      <c r="B38" s="2" t="s">
        <v>1019</v>
      </c>
      <c r="C38" s="2" t="s">
        <v>18</v>
      </c>
      <c r="D38" s="2" t="s">
        <v>122</v>
      </c>
      <c r="E38" s="2" t="s">
        <v>22</v>
      </c>
      <c r="F38" s="2">
        <v>15</v>
      </c>
      <c r="G38" s="2">
        <v>139328.4</v>
      </c>
      <c r="H38" s="2">
        <v>9288.56</v>
      </c>
      <c r="I38" s="2" t="s">
        <v>1219</v>
      </c>
      <c r="J38" s="2">
        <v>251</v>
      </c>
      <c r="K38" s="2" t="s">
        <v>19</v>
      </c>
      <c r="L38" s="2" t="s">
        <v>47</v>
      </c>
      <c r="M38" s="2" t="s">
        <v>16</v>
      </c>
      <c r="N38" s="2" t="s">
        <v>17</v>
      </c>
    </row>
    <row r="39" spans="1:14" x14ac:dyDescent="0.3">
      <c r="A39" s="3" t="s">
        <v>752</v>
      </c>
      <c r="B39" s="3" t="s">
        <v>995</v>
      </c>
      <c r="C39" s="3" t="s">
        <v>42</v>
      </c>
      <c r="D39" s="3" t="s">
        <v>109</v>
      </c>
      <c r="E39" s="3" t="s">
        <v>39</v>
      </c>
      <c r="F39" s="3">
        <v>27</v>
      </c>
      <c r="G39" s="3">
        <v>58508.59</v>
      </c>
      <c r="H39" s="3">
        <v>2166.98</v>
      </c>
      <c r="I39" s="3" t="s">
        <v>1778</v>
      </c>
      <c r="J39" s="3">
        <v>4</v>
      </c>
      <c r="K39" s="3" t="s">
        <v>21</v>
      </c>
      <c r="L39" s="3" t="s">
        <v>40</v>
      </c>
      <c r="M39" s="3" t="s">
        <v>24</v>
      </c>
      <c r="N39" s="3" t="s">
        <v>25</v>
      </c>
    </row>
    <row r="40" spans="1:14" x14ac:dyDescent="0.3">
      <c r="A40" s="2" t="s">
        <v>8936</v>
      </c>
      <c r="B40" s="2" t="s">
        <v>759</v>
      </c>
      <c r="C40" s="2" t="s">
        <v>42</v>
      </c>
      <c r="D40" s="2" t="s">
        <v>193</v>
      </c>
      <c r="E40" s="2" t="s">
        <v>39</v>
      </c>
      <c r="F40" s="2">
        <v>23</v>
      </c>
      <c r="G40" s="2">
        <v>53214.96</v>
      </c>
      <c r="H40" s="2">
        <v>2313.69</v>
      </c>
      <c r="I40" s="2" t="s">
        <v>4633</v>
      </c>
      <c r="J40" s="2">
        <v>224</v>
      </c>
      <c r="K40" s="2" t="s">
        <v>27</v>
      </c>
      <c r="L40" s="2" t="s">
        <v>43</v>
      </c>
      <c r="M40" s="2" t="s">
        <v>24</v>
      </c>
      <c r="N40" s="2" t="s">
        <v>17</v>
      </c>
    </row>
    <row r="41" spans="1:14" x14ac:dyDescent="0.3">
      <c r="A41" s="3" t="s">
        <v>7524</v>
      </c>
      <c r="B41" s="3" t="s">
        <v>1293</v>
      </c>
      <c r="C41" s="3" t="s">
        <v>18</v>
      </c>
      <c r="D41" s="3" t="s">
        <v>324</v>
      </c>
      <c r="E41" s="3" t="s">
        <v>39</v>
      </c>
      <c r="F41" s="3">
        <v>4</v>
      </c>
      <c r="G41" s="3">
        <v>149806.6</v>
      </c>
      <c r="H41" s="3">
        <v>37451.65</v>
      </c>
      <c r="I41" s="3" t="s">
        <v>1240</v>
      </c>
      <c r="J41" s="3">
        <v>305</v>
      </c>
      <c r="K41" s="3" t="s">
        <v>28</v>
      </c>
      <c r="L41" s="3" t="s">
        <v>23</v>
      </c>
      <c r="M41" s="3" t="s">
        <v>16</v>
      </c>
      <c r="N41" s="3" t="s">
        <v>17</v>
      </c>
    </row>
    <row r="42" spans="1:14" x14ac:dyDescent="0.3">
      <c r="A42" s="2" t="s">
        <v>8937</v>
      </c>
      <c r="B42" s="2" t="s">
        <v>2202</v>
      </c>
      <c r="C42" s="2" t="s">
        <v>42</v>
      </c>
      <c r="D42" s="2" t="s">
        <v>427</v>
      </c>
      <c r="E42" s="2" t="s">
        <v>29</v>
      </c>
      <c r="F42" s="2">
        <v>6</v>
      </c>
      <c r="G42" s="2">
        <v>146384.95999999999</v>
      </c>
      <c r="H42" s="2">
        <v>24397.49</v>
      </c>
      <c r="I42" s="2" t="s">
        <v>8938</v>
      </c>
      <c r="J42" s="2">
        <v>67</v>
      </c>
      <c r="K42" s="2" t="s">
        <v>28</v>
      </c>
      <c r="L42" s="2" t="s">
        <v>48</v>
      </c>
      <c r="M42" s="2" t="s">
        <v>16</v>
      </c>
      <c r="N42" s="2" t="s">
        <v>25</v>
      </c>
    </row>
    <row r="43" spans="1:14" x14ac:dyDescent="0.3">
      <c r="A43" s="3" t="s">
        <v>8939</v>
      </c>
      <c r="B43" s="3" t="s">
        <v>680</v>
      </c>
      <c r="C43" s="3" t="s">
        <v>18</v>
      </c>
      <c r="D43" s="3" t="s">
        <v>738</v>
      </c>
      <c r="E43" s="3" t="s">
        <v>22</v>
      </c>
      <c r="F43" s="3">
        <v>1</v>
      </c>
      <c r="G43" s="3">
        <v>183110.96</v>
      </c>
      <c r="H43" s="3">
        <v>183110.96</v>
      </c>
      <c r="I43" s="3" t="s">
        <v>4498</v>
      </c>
      <c r="J43" s="3">
        <v>147</v>
      </c>
      <c r="K43" s="3" t="s">
        <v>13</v>
      </c>
      <c r="L43" s="3" t="s">
        <v>40</v>
      </c>
      <c r="M43" s="3" t="s">
        <v>16</v>
      </c>
      <c r="N43" s="3" t="s">
        <v>32</v>
      </c>
    </row>
    <row r="44" spans="1:14" x14ac:dyDescent="0.3">
      <c r="A44" s="2" t="s">
        <v>3789</v>
      </c>
      <c r="B44" s="2" t="s">
        <v>619</v>
      </c>
      <c r="C44" s="2" t="s">
        <v>18</v>
      </c>
      <c r="D44" s="2" t="s">
        <v>324</v>
      </c>
      <c r="E44" s="2" t="s">
        <v>39</v>
      </c>
      <c r="F44" s="2">
        <v>13</v>
      </c>
      <c r="G44" s="2">
        <v>106748.24</v>
      </c>
      <c r="H44" s="2">
        <v>8211.4</v>
      </c>
      <c r="I44" s="2" t="s">
        <v>3134</v>
      </c>
      <c r="J44" s="2">
        <v>199</v>
      </c>
      <c r="K44" s="2" t="s">
        <v>21</v>
      </c>
      <c r="L44" s="2" t="s">
        <v>48</v>
      </c>
      <c r="M44" s="2" t="s">
        <v>16</v>
      </c>
      <c r="N44" s="2" t="s">
        <v>17</v>
      </c>
    </row>
    <row r="45" spans="1:14" x14ac:dyDescent="0.3">
      <c r="A45" s="3" t="s">
        <v>8940</v>
      </c>
      <c r="B45" s="3" t="s">
        <v>143</v>
      </c>
      <c r="C45" s="3" t="s">
        <v>18</v>
      </c>
      <c r="D45" s="3" t="s">
        <v>324</v>
      </c>
      <c r="E45" s="3" t="s">
        <v>39</v>
      </c>
      <c r="F45" s="3">
        <v>9</v>
      </c>
      <c r="G45" s="3">
        <v>107072.58</v>
      </c>
      <c r="H45" s="3">
        <v>11896.95</v>
      </c>
      <c r="I45" s="3" t="s">
        <v>2387</v>
      </c>
      <c r="J45" s="3">
        <v>271</v>
      </c>
      <c r="K45" s="3" t="s">
        <v>13</v>
      </c>
      <c r="L45" s="3" t="s">
        <v>30</v>
      </c>
      <c r="M45" s="3" t="s">
        <v>16</v>
      </c>
      <c r="N45" s="3" t="s">
        <v>17</v>
      </c>
    </row>
    <row r="46" spans="1:14" x14ac:dyDescent="0.3">
      <c r="A46" s="2" t="s">
        <v>7439</v>
      </c>
      <c r="B46" s="2" t="s">
        <v>545</v>
      </c>
      <c r="C46" s="2" t="s">
        <v>26</v>
      </c>
      <c r="D46" s="2" t="s">
        <v>712</v>
      </c>
      <c r="E46" s="2" t="s">
        <v>14</v>
      </c>
      <c r="F46" s="2">
        <v>7</v>
      </c>
      <c r="G46" s="2">
        <v>25976.14</v>
      </c>
      <c r="H46" s="2">
        <v>3710.88</v>
      </c>
      <c r="I46" s="2" t="s">
        <v>2294</v>
      </c>
      <c r="J46" s="2">
        <v>157</v>
      </c>
      <c r="K46" s="2" t="s">
        <v>21</v>
      </c>
      <c r="L46" s="2" t="s">
        <v>30</v>
      </c>
      <c r="M46" s="2" t="s">
        <v>31</v>
      </c>
      <c r="N46" s="2" t="s">
        <v>32</v>
      </c>
    </row>
    <row r="47" spans="1:14" x14ac:dyDescent="0.3">
      <c r="A47" s="3" t="s">
        <v>8216</v>
      </c>
      <c r="B47" s="3" t="s">
        <v>4964</v>
      </c>
      <c r="C47" s="3" t="s">
        <v>26</v>
      </c>
      <c r="D47" s="3" t="s">
        <v>834</v>
      </c>
      <c r="E47" s="3" t="s">
        <v>29</v>
      </c>
      <c r="F47" s="3">
        <v>24</v>
      </c>
      <c r="G47" s="3">
        <v>118857.39</v>
      </c>
      <c r="H47" s="3">
        <v>4952.3900000000003</v>
      </c>
      <c r="I47" s="3" t="s">
        <v>1726</v>
      </c>
      <c r="J47" s="3">
        <v>291</v>
      </c>
      <c r="K47" s="3" t="s">
        <v>27</v>
      </c>
      <c r="L47" s="3" t="s">
        <v>48</v>
      </c>
      <c r="M47" s="3" t="s">
        <v>16</v>
      </c>
      <c r="N47" s="3" t="s">
        <v>17</v>
      </c>
    </row>
    <row r="48" spans="1:14" x14ac:dyDescent="0.3">
      <c r="A48" s="2" t="s">
        <v>8941</v>
      </c>
      <c r="B48" s="2" t="s">
        <v>432</v>
      </c>
      <c r="C48" s="2" t="s">
        <v>33</v>
      </c>
      <c r="D48" s="2" t="s">
        <v>738</v>
      </c>
      <c r="E48" s="2" t="s">
        <v>22</v>
      </c>
      <c r="F48" s="2">
        <v>10</v>
      </c>
      <c r="G48" s="2">
        <v>32392.720000000001</v>
      </c>
      <c r="H48" s="2">
        <v>3239.27</v>
      </c>
      <c r="I48" s="2" t="s">
        <v>1100</v>
      </c>
      <c r="J48" s="2">
        <v>34</v>
      </c>
      <c r="K48" s="2" t="s">
        <v>13</v>
      </c>
      <c r="L48" s="2" t="s">
        <v>40</v>
      </c>
      <c r="M48" s="2" t="s">
        <v>31</v>
      </c>
      <c r="N48" s="2" t="s">
        <v>25</v>
      </c>
    </row>
    <row r="49" spans="1:14" x14ac:dyDescent="0.3">
      <c r="A49" s="3" t="s">
        <v>3170</v>
      </c>
      <c r="B49" s="3" t="s">
        <v>2529</v>
      </c>
      <c r="C49" s="3" t="s">
        <v>42</v>
      </c>
      <c r="D49" s="3" t="s">
        <v>334</v>
      </c>
      <c r="E49" s="3" t="s">
        <v>29</v>
      </c>
      <c r="F49" s="3">
        <v>22</v>
      </c>
      <c r="G49" s="3">
        <v>152667.85999999999</v>
      </c>
      <c r="H49" s="3">
        <v>6939.45</v>
      </c>
      <c r="I49" s="3" t="s">
        <v>3474</v>
      </c>
      <c r="J49" s="3">
        <v>363</v>
      </c>
      <c r="K49" s="3" t="s">
        <v>21</v>
      </c>
      <c r="L49" s="3" t="s">
        <v>15</v>
      </c>
      <c r="M49" s="3" t="s">
        <v>16</v>
      </c>
      <c r="N49" s="3" t="s">
        <v>17</v>
      </c>
    </row>
    <row r="50" spans="1:14" x14ac:dyDescent="0.3">
      <c r="A50" s="2" t="s">
        <v>8942</v>
      </c>
      <c r="B50" s="2" t="s">
        <v>3865</v>
      </c>
      <c r="C50" s="2" t="s">
        <v>26</v>
      </c>
      <c r="D50" s="2" t="s">
        <v>427</v>
      </c>
      <c r="E50" s="2" t="s">
        <v>29</v>
      </c>
      <c r="F50" s="2">
        <v>1</v>
      </c>
      <c r="G50" s="2">
        <v>177502.39</v>
      </c>
      <c r="H50" s="2">
        <v>177502.39</v>
      </c>
      <c r="I50" s="2" t="s">
        <v>202</v>
      </c>
      <c r="J50" s="2">
        <v>113</v>
      </c>
      <c r="K50" s="2" t="s">
        <v>27</v>
      </c>
      <c r="L50" s="2" t="s">
        <v>43</v>
      </c>
      <c r="M50" s="2" t="s">
        <v>16</v>
      </c>
      <c r="N50" s="2" t="s">
        <v>32</v>
      </c>
    </row>
    <row r="51" spans="1:14" x14ac:dyDescent="0.3">
      <c r="A51" s="3" t="s">
        <v>8943</v>
      </c>
      <c r="B51" s="3" t="s">
        <v>1152</v>
      </c>
      <c r="C51" s="3" t="s">
        <v>26</v>
      </c>
      <c r="D51" s="3" t="s">
        <v>148</v>
      </c>
      <c r="E51" s="3" t="s">
        <v>29</v>
      </c>
      <c r="F51" s="3">
        <v>15</v>
      </c>
      <c r="G51" s="3">
        <v>69978.22</v>
      </c>
      <c r="H51" s="3">
        <v>4665.21</v>
      </c>
      <c r="I51" s="3" t="s">
        <v>1554</v>
      </c>
      <c r="J51" s="3">
        <v>215</v>
      </c>
      <c r="K51" s="3" t="s">
        <v>19</v>
      </c>
      <c r="L51" s="3" t="s">
        <v>43</v>
      </c>
      <c r="M51" s="3" t="s">
        <v>24</v>
      </c>
      <c r="N51" s="3" t="s">
        <v>17</v>
      </c>
    </row>
    <row r="52" spans="1:14" x14ac:dyDescent="0.3">
      <c r="A52" s="2" t="s">
        <v>8944</v>
      </c>
      <c r="B52" s="2" t="s">
        <v>4171</v>
      </c>
      <c r="C52" s="2" t="s">
        <v>18</v>
      </c>
      <c r="D52" s="2" t="s">
        <v>834</v>
      </c>
      <c r="E52" s="2" t="s">
        <v>29</v>
      </c>
      <c r="F52" s="2">
        <v>29</v>
      </c>
      <c r="G52" s="2">
        <v>108641.29</v>
      </c>
      <c r="H52" s="2">
        <v>3746.25</v>
      </c>
      <c r="I52" s="2" t="s">
        <v>1320</v>
      </c>
      <c r="J52" s="2">
        <v>20</v>
      </c>
      <c r="K52" s="2" t="s">
        <v>19</v>
      </c>
      <c r="L52" s="2" t="s">
        <v>43</v>
      </c>
      <c r="M52" s="2" t="s">
        <v>16</v>
      </c>
      <c r="N52" s="2" t="s">
        <v>25</v>
      </c>
    </row>
    <row r="53" spans="1:14" x14ac:dyDescent="0.3">
      <c r="A53" s="3" t="s">
        <v>8945</v>
      </c>
      <c r="B53" s="3" t="s">
        <v>2622</v>
      </c>
      <c r="C53" s="3" t="s">
        <v>26</v>
      </c>
      <c r="D53" s="3" t="s">
        <v>314</v>
      </c>
      <c r="E53" s="3" t="s">
        <v>39</v>
      </c>
      <c r="F53" s="3">
        <v>20</v>
      </c>
      <c r="G53" s="3">
        <v>116644.45</v>
      </c>
      <c r="H53" s="3">
        <v>5832.22</v>
      </c>
      <c r="I53" s="3" t="s">
        <v>214</v>
      </c>
      <c r="J53" s="3">
        <v>83</v>
      </c>
      <c r="K53" s="3" t="s">
        <v>28</v>
      </c>
      <c r="L53" s="3" t="s">
        <v>47</v>
      </c>
      <c r="M53" s="3" t="s">
        <v>16</v>
      </c>
      <c r="N53" s="3" t="s">
        <v>25</v>
      </c>
    </row>
    <row r="54" spans="1:14" x14ac:dyDescent="0.3">
      <c r="A54" s="2" t="s">
        <v>5051</v>
      </c>
      <c r="B54" s="2" t="s">
        <v>1311</v>
      </c>
      <c r="C54" s="2" t="s">
        <v>42</v>
      </c>
      <c r="D54" s="2" t="s">
        <v>171</v>
      </c>
      <c r="E54" s="2" t="s">
        <v>14</v>
      </c>
      <c r="F54" s="2">
        <v>25</v>
      </c>
      <c r="G54" s="2">
        <v>6308.01</v>
      </c>
      <c r="H54" s="2">
        <v>252.32</v>
      </c>
      <c r="I54" s="2" t="s">
        <v>4241</v>
      </c>
      <c r="J54" s="2">
        <v>60</v>
      </c>
      <c r="K54" s="2" t="s">
        <v>13</v>
      </c>
      <c r="L54" s="2" t="s">
        <v>48</v>
      </c>
      <c r="M54" s="2" t="s">
        <v>41</v>
      </c>
      <c r="N54" s="2" t="s">
        <v>25</v>
      </c>
    </row>
    <row r="55" spans="1:14" x14ac:dyDescent="0.3">
      <c r="A55" s="3" t="s">
        <v>8946</v>
      </c>
      <c r="B55" s="3" t="s">
        <v>104</v>
      </c>
      <c r="C55" s="3" t="s">
        <v>18</v>
      </c>
      <c r="D55" s="3" t="s">
        <v>148</v>
      </c>
      <c r="E55" s="3" t="s">
        <v>29</v>
      </c>
      <c r="F55" s="3">
        <v>23</v>
      </c>
      <c r="G55" s="3">
        <v>193740.85</v>
      </c>
      <c r="H55" s="3">
        <v>8423.52</v>
      </c>
      <c r="I55" s="3" t="s">
        <v>5360</v>
      </c>
      <c r="J55" s="3">
        <v>201</v>
      </c>
      <c r="K55" s="3" t="s">
        <v>28</v>
      </c>
      <c r="L55" s="3" t="s">
        <v>15</v>
      </c>
      <c r="M55" s="3" t="s">
        <v>16</v>
      </c>
      <c r="N55" s="3" t="s">
        <v>17</v>
      </c>
    </row>
    <row r="56" spans="1:14" x14ac:dyDescent="0.3">
      <c r="A56" s="2" t="s">
        <v>8947</v>
      </c>
      <c r="B56" s="2" t="s">
        <v>855</v>
      </c>
      <c r="C56" s="2" t="s">
        <v>26</v>
      </c>
      <c r="D56" s="2" t="s">
        <v>95</v>
      </c>
      <c r="E56" s="2" t="s">
        <v>14</v>
      </c>
      <c r="F56" s="2">
        <v>20</v>
      </c>
      <c r="G56" s="2">
        <v>164681.01</v>
      </c>
      <c r="H56" s="2">
        <v>8234.0499999999993</v>
      </c>
      <c r="I56" s="2" t="s">
        <v>1079</v>
      </c>
      <c r="J56" s="2">
        <v>223</v>
      </c>
      <c r="K56" s="2" t="s">
        <v>13</v>
      </c>
      <c r="L56" s="2" t="s">
        <v>30</v>
      </c>
      <c r="M56" s="2" t="s">
        <v>16</v>
      </c>
      <c r="N56" s="2" t="s">
        <v>17</v>
      </c>
    </row>
    <row r="57" spans="1:14" x14ac:dyDescent="0.3">
      <c r="A57" s="3" t="s">
        <v>8948</v>
      </c>
      <c r="B57" s="3" t="s">
        <v>478</v>
      </c>
      <c r="C57" s="3" t="s">
        <v>42</v>
      </c>
      <c r="D57" s="3" t="s">
        <v>148</v>
      </c>
      <c r="E57" s="3" t="s">
        <v>29</v>
      </c>
      <c r="F57" s="3">
        <v>24</v>
      </c>
      <c r="G57" s="3">
        <v>73436.759999999995</v>
      </c>
      <c r="H57" s="3">
        <v>3059.86</v>
      </c>
      <c r="I57" s="3" t="s">
        <v>2100</v>
      </c>
      <c r="J57" s="3">
        <v>310</v>
      </c>
      <c r="K57" s="3" t="s">
        <v>21</v>
      </c>
      <c r="L57" s="3" t="s">
        <v>48</v>
      </c>
      <c r="M57" s="3" t="s">
        <v>24</v>
      </c>
      <c r="N57" s="3" t="s">
        <v>17</v>
      </c>
    </row>
    <row r="58" spans="1:14" x14ac:dyDescent="0.3">
      <c r="A58" s="2" t="s">
        <v>8949</v>
      </c>
      <c r="B58" s="2" t="s">
        <v>768</v>
      </c>
      <c r="C58" s="2" t="s">
        <v>33</v>
      </c>
      <c r="D58" s="2" t="s">
        <v>738</v>
      </c>
      <c r="E58" s="2" t="s">
        <v>22</v>
      </c>
      <c r="F58" s="2">
        <v>12</v>
      </c>
      <c r="G58" s="2">
        <v>119151.46</v>
      </c>
      <c r="H58" s="2">
        <v>9929.2900000000009</v>
      </c>
      <c r="I58" s="2" t="s">
        <v>720</v>
      </c>
      <c r="J58" s="2">
        <v>130</v>
      </c>
      <c r="K58" s="2" t="s">
        <v>19</v>
      </c>
      <c r="L58" s="2" t="s">
        <v>23</v>
      </c>
      <c r="M58" s="2" t="s">
        <v>16</v>
      </c>
      <c r="N58" s="2" t="s">
        <v>32</v>
      </c>
    </row>
    <row r="59" spans="1:14" x14ac:dyDescent="0.3">
      <c r="A59" s="3" t="s">
        <v>8950</v>
      </c>
      <c r="B59" s="3" t="s">
        <v>774</v>
      </c>
      <c r="C59" s="3" t="s">
        <v>26</v>
      </c>
      <c r="D59" s="3" t="s">
        <v>171</v>
      </c>
      <c r="E59" s="3" t="s">
        <v>14</v>
      </c>
      <c r="F59" s="3">
        <v>8</v>
      </c>
      <c r="G59" s="3">
        <v>29625.119999999999</v>
      </c>
      <c r="H59" s="3">
        <v>3703.14</v>
      </c>
      <c r="I59" s="3" t="s">
        <v>3698</v>
      </c>
      <c r="J59" s="3">
        <v>284</v>
      </c>
      <c r="K59" s="3" t="s">
        <v>28</v>
      </c>
      <c r="L59" s="3" t="s">
        <v>15</v>
      </c>
      <c r="M59" s="3" t="s">
        <v>31</v>
      </c>
      <c r="N59" s="3" t="s">
        <v>17</v>
      </c>
    </row>
    <row r="60" spans="1:14" x14ac:dyDescent="0.3">
      <c r="A60" s="2" t="s">
        <v>8951</v>
      </c>
      <c r="B60" s="2" t="s">
        <v>1989</v>
      </c>
      <c r="C60" s="2" t="s">
        <v>33</v>
      </c>
      <c r="D60" s="2" t="s">
        <v>160</v>
      </c>
      <c r="E60" s="2" t="s">
        <v>29</v>
      </c>
      <c r="F60" s="2">
        <v>11</v>
      </c>
      <c r="G60" s="2">
        <v>23444.52</v>
      </c>
      <c r="H60" s="2">
        <v>2131.3200000000002</v>
      </c>
      <c r="I60" s="2" t="s">
        <v>7031</v>
      </c>
      <c r="J60" s="2">
        <v>188</v>
      </c>
      <c r="K60" s="2" t="s">
        <v>13</v>
      </c>
      <c r="L60" s="2" t="s">
        <v>30</v>
      </c>
      <c r="M60" s="2" t="s">
        <v>31</v>
      </c>
      <c r="N60" s="2" t="s">
        <v>17</v>
      </c>
    </row>
    <row r="61" spans="1:14" x14ac:dyDescent="0.3">
      <c r="A61" s="3" t="s">
        <v>8952</v>
      </c>
      <c r="B61" s="3" t="s">
        <v>1880</v>
      </c>
      <c r="C61" s="3" t="s">
        <v>42</v>
      </c>
      <c r="D61" s="3" t="s">
        <v>443</v>
      </c>
      <c r="E61" s="3" t="s">
        <v>22</v>
      </c>
      <c r="F61" s="3">
        <v>12</v>
      </c>
      <c r="G61" s="3">
        <v>81087.34</v>
      </c>
      <c r="H61" s="3">
        <v>6757.28</v>
      </c>
      <c r="I61" s="3" t="s">
        <v>1241</v>
      </c>
      <c r="J61" s="3">
        <v>304</v>
      </c>
      <c r="K61" s="3" t="s">
        <v>19</v>
      </c>
      <c r="L61" s="3" t="s">
        <v>15</v>
      </c>
      <c r="M61" s="3" t="s">
        <v>24</v>
      </c>
      <c r="N61" s="3" t="s">
        <v>17</v>
      </c>
    </row>
    <row r="62" spans="1:14" x14ac:dyDescent="0.3">
      <c r="A62" s="2" t="s">
        <v>8953</v>
      </c>
      <c r="B62" s="2" t="s">
        <v>249</v>
      </c>
      <c r="C62" s="2" t="s">
        <v>42</v>
      </c>
      <c r="D62" s="2" t="s">
        <v>225</v>
      </c>
      <c r="E62" s="2" t="s">
        <v>39</v>
      </c>
      <c r="F62" s="2">
        <v>3</v>
      </c>
      <c r="G62" s="2">
        <v>95973.45</v>
      </c>
      <c r="H62" s="2">
        <v>31991.15</v>
      </c>
      <c r="I62" s="2" t="s">
        <v>3740</v>
      </c>
      <c r="J62" s="2">
        <v>164</v>
      </c>
      <c r="K62" s="2" t="s">
        <v>21</v>
      </c>
      <c r="L62" s="2" t="s">
        <v>47</v>
      </c>
      <c r="M62" s="2" t="s">
        <v>24</v>
      </c>
      <c r="N62" s="2" t="s">
        <v>32</v>
      </c>
    </row>
    <row r="63" spans="1:14" x14ac:dyDescent="0.3">
      <c r="A63" s="3" t="s">
        <v>8954</v>
      </c>
      <c r="B63" s="3" t="s">
        <v>1293</v>
      </c>
      <c r="C63" s="3" t="s">
        <v>26</v>
      </c>
      <c r="D63" s="3" t="s">
        <v>215</v>
      </c>
      <c r="E63" s="3" t="s">
        <v>14</v>
      </c>
      <c r="F63" s="3">
        <v>4</v>
      </c>
      <c r="G63" s="3">
        <v>34815.54</v>
      </c>
      <c r="H63" s="3">
        <v>8703.89</v>
      </c>
      <c r="I63" s="3" t="s">
        <v>635</v>
      </c>
      <c r="J63" s="3">
        <v>341</v>
      </c>
      <c r="K63" s="3" t="s">
        <v>13</v>
      </c>
      <c r="L63" s="3" t="s">
        <v>15</v>
      </c>
      <c r="M63" s="3" t="s">
        <v>31</v>
      </c>
      <c r="N63" s="3" t="s">
        <v>17</v>
      </c>
    </row>
    <row r="64" spans="1:14" x14ac:dyDescent="0.3">
      <c r="A64" s="2" t="s">
        <v>8955</v>
      </c>
      <c r="B64" s="2" t="s">
        <v>619</v>
      </c>
      <c r="C64" s="2" t="s">
        <v>42</v>
      </c>
      <c r="D64" s="2" t="s">
        <v>324</v>
      </c>
      <c r="E64" s="2" t="s">
        <v>39</v>
      </c>
      <c r="F64" s="2">
        <v>16</v>
      </c>
      <c r="G64" s="2">
        <v>6699.27</v>
      </c>
      <c r="H64" s="2">
        <v>418.7</v>
      </c>
      <c r="I64" s="2" t="s">
        <v>612</v>
      </c>
      <c r="J64" s="2">
        <v>326</v>
      </c>
      <c r="K64" s="2" t="s">
        <v>21</v>
      </c>
      <c r="L64" s="2" t="s">
        <v>15</v>
      </c>
      <c r="M64" s="2" t="s">
        <v>41</v>
      </c>
      <c r="N64" s="2" t="s">
        <v>17</v>
      </c>
    </row>
    <row r="65" spans="1:14" x14ac:dyDescent="0.3">
      <c r="A65" s="3" t="s">
        <v>8956</v>
      </c>
      <c r="B65" s="3" t="s">
        <v>166</v>
      </c>
      <c r="C65" s="3" t="s">
        <v>26</v>
      </c>
      <c r="D65" s="3" t="s">
        <v>160</v>
      </c>
      <c r="E65" s="3" t="s">
        <v>29</v>
      </c>
      <c r="F65" s="3">
        <v>14</v>
      </c>
      <c r="G65" s="3">
        <v>140092.49</v>
      </c>
      <c r="H65" s="3">
        <v>10006.61</v>
      </c>
      <c r="I65" s="3" t="s">
        <v>2100</v>
      </c>
      <c r="J65" s="3">
        <v>310</v>
      </c>
      <c r="K65" s="3" t="s">
        <v>28</v>
      </c>
      <c r="L65" s="3" t="s">
        <v>23</v>
      </c>
      <c r="M65" s="3" t="s">
        <v>16</v>
      </c>
      <c r="N65" s="3" t="s">
        <v>17</v>
      </c>
    </row>
    <row r="66" spans="1:14" x14ac:dyDescent="0.3">
      <c r="A66" s="2" t="s">
        <v>8207</v>
      </c>
      <c r="B66" s="2" t="s">
        <v>2090</v>
      </c>
      <c r="C66" s="2" t="s">
        <v>26</v>
      </c>
      <c r="D66" s="2" t="s">
        <v>160</v>
      </c>
      <c r="E66" s="2" t="s">
        <v>29</v>
      </c>
      <c r="F66" s="2">
        <v>20</v>
      </c>
      <c r="G66" s="2">
        <v>98405.62</v>
      </c>
      <c r="H66" s="2">
        <v>4920.28</v>
      </c>
      <c r="I66" s="2" t="s">
        <v>1766</v>
      </c>
      <c r="J66" s="2">
        <v>257</v>
      </c>
      <c r="K66" s="2" t="s">
        <v>27</v>
      </c>
      <c r="L66" s="2" t="s">
        <v>48</v>
      </c>
      <c r="M66" s="2" t="s">
        <v>24</v>
      </c>
      <c r="N66" s="2" t="s">
        <v>17</v>
      </c>
    </row>
    <row r="67" spans="1:14" x14ac:dyDescent="0.3">
      <c r="A67" s="3" t="s">
        <v>8957</v>
      </c>
      <c r="B67" s="3" t="s">
        <v>319</v>
      </c>
      <c r="C67" s="3" t="s">
        <v>42</v>
      </c>
      <c r="D67" s="3" t="s">
        <v>443</v>
      </c>
      <c r="E67" s="3" t="s">
        <v>22</v>
      </c>
      <c r="F67" s="3">
        <v>28</v>
      </c>
      <c r="G67" s="3">
        <v>190057.72</v>
      </c>
      <c r="H67" s="3">
        <v>6787.78</v>
      </c>
      <c r="I67" s="3" t="s">
        <v>2752</v>
      </c>
      <c r="J67" s="3">
        <v>255</v>
      </c>
      <c r="K67" s="3" t="s">
        <v>28</v>
      </c>
      <c r="L67" s="3" t="s">
        <v>48</v>
      </c>
      <c r="M67" s="3" t="s">
        <v>16</v>
      </c>
      <c r="N67" s="3" t="s">
        <v>17</v>
      </c>
    </row>
    <row r="68" spans="1:14" x14ac:dyDescent="0.3">
      <c r="A68" s="2" t="s">
        <v>8958</v>
      </c>
      <c r="B68" s="2" t="s">
        <v>1911</v>
      </c>
      <c r="C68" s="2" t="s">
        <v>26</v>
      </c>
      <c r="D68" s="2" t="s">
        <v>324</v>
      </c>
      <c r="E68" s="2" t="s">
        <v>39</v>
      </c>
      <c r="F68" s="2">
        <v>26</v>
      </c>
      <c r="G68" s="2">
        <v>84358.53</v>
      </c>
      <c r="H68" s="2">
        <v>3244.56</v>
      </c>
      <c r="I68" s="2" t="s">
        <v>2238</v>
      </c>
      <c r="J68" s="2">
        <v>112</v>
      </c>
      <c r="K68" s="2" t="s">
        <v>27</v>
      </c>
      <c r="L68" s="2" t="s">
        <v>40</v>
      </c>
      <c r="M68" s="2" t="s">
        <v>24</v>
      </c>
      <c r="N68" s="2" t="s">
        <v>32</v>
      </c>
    </row>
    <row r="69" spans="1:14" x14ac:dyDescent="0.3">
      <c r="A69" s="3" t="s">
        <v>8959</v>
      </c>
      <c r="B69" s="3" t="s">
        <v>377</v>
      </c>
      <c r="C69" s="3" t="s">
        <v>26</v>
      </c>
      <c r="D69" s="3" t="s">
        <v>334</v>
      </c>
      <c r="E69" s="3" t="s">
        <v>29</v>
      </c>
      <c r="F69" s="3">
        <v>18</v>
      </c>
      <c r="G69" s="3">
        <v>148265.17000000001</v>
      </c>
      <c r="H69" s="3">
        <v>8236.9500000000007</v>
      </c>
      <c r="I69" s="3" t="s">
        <v>1914</v>
      </c>
      <c r="J69" s="3">
        <v>342</v>
      </c>
      <c r="K69" s="3" t="s">
        <v>21</v>
      </c>
      <c r="L69" s="3" t="s">
        <v>15</v>
      </c>
      <c r="M69" s="3" t="s">
        <v>16</v>
      </c>
      <c r="N69" s="3" t="s">
        <v>17</v>
      </c>
    </row>
    <row r="70" spans="1:14" x14ac:dyDescent="0.3">
      <c r="A70" s="2" t="s">
        <v>8960</v>
      </c>
      <c r="B70" s="2" t="s">
        <v>1097</v>
      </c>
      <c r="C70" s="2" t="s">
        <v>33</v>
      </c>
      <c r="D70" s="2" t="s">
        <v>834</v>
      </c>
      <c r="E70" s="2" t="s">
        <v>29</v>
      </c>
      <c r="F70" s="2">
        <v>27</v>
      </c>
      <c r="G70" s="2">
        <v>197224.93</v>
      </c>
      <c r="H70" s="2">
        <v>7304.63</v>
      </c>
      <c r="I70" s="2" t="s">
        <v>2013</v>
      </c>
      <c r="J70" s="2">
        <v>160</v>
      </c>
      <c r="K70" s="2" t="s">
        <v>27</v>
      </c>
      <c r="L70" s="2" t="s">
        <v>15</v>
      </c>
      <c r="M70" s="2" t="s">
        <v>16</v>
      </c>
      <c r="N70" s="2" t="s">
        <v>32</v>
      </c>
    </row>
    <row r="71" spans="1:14" x14ac:dyDescent="0.3">
      <c r="A71" s="3" t="s">
        <v>2971</v>
      </c>
      <c r="B71" s="3" t="s">
        <v>2286</v>
      </c>
      <c r="C71" s="3" t="s">
        <v>18</v>
      </c>
      <c r="D71" s="3" t="s">
        <v>834</v>
      </c>
      <c r="E71" s="3" t="s">
        <v>29</v>
      </c>
      <c r="F71" s="3">
        <v>18</v>
      </c>
      <c r="G71" s="3">
        <v>120240.86</v>
      </c>
      <c r="H71" s="3">
        <v>6680.05</v>
      </c>
      <c r="I71" s="3" t="s">
        <v>1689</v>
      </c>
      <c r="J71" s="3">
        <v>299</v>
      </c>
      <c r="K71" s="3" t="s">
        <v>27</v>
      </c>
      <c r="L71" s="3" t="s">
        <v>43</v>
      </c>
      <c r="M71" s="3" t="s">
        <v>16</v>
      </c>
      <c r="N71" s="3" t="s">
        <v>17</v>
      </c>
    </row>
    <row r="72" spans="1:14" x14ac:dyDescent="0.3">
      <c r="A72" s="2" t="s">
        <v>8961</v>
      </c>
      <c r="B72" s="2" t="s">
        <v>3325</v>
      </c>
      <c r="C72" s="2" t="s">
        <v>26</v>
      </c>
      <c r="D72" s="2" t="s">
        <v>215</v>
      </c>
      <c r="E72" s="2" t="s">
        <v>14</v>
      </c>
      <c r="F72" s="2">
        <v>16</v>
      </c>
      <c r="G72" s="2">
        <v>144321.12</v>
      </c>
      <c r="H72" s="2">
        <v>9020.07</v>
      </c>
      <c r="I72" s="2" t="s">
        <v>3773</v>
      </c>
      <c r="J72" s="2">
        <v>309</v>
      </c>
      <c r="K72" s="2" t="s">
        <v>21</v>
      </c>
      <c r="L72" s="2" t="s">
        <v>40</v>
      </c>
      <c r="M72" s="2" t="s">
        <v>16</v>
      </c>
      <c r="N72" s="2" t="s">
        <v>17</v>
      </c>
    </row>
    <row r="73" spans="1:14" x14ac:dyDescent="0.3">
      <c r="A73" s="3" t="s">
        <v>1272</v>
      </c>
      <c r="B73" s="3" t="s">
        <v>3436</v>
      </c>
      <c r="C73" s="3" t="s">
        <v>18</v>
      </c>
      <c r="D73" s="3" t="s">
        <v>738</v>
      </c>
      <c r="E73" s="3" t="s">
        <v>22</v>
      </c>
      <c r="F73" s="3">
        <v>15</v>
      </c>
      <c r="G73" s="3">
        <v>75116.88</v>
      </c>
      <c r="H73" s="3">
        <v>5007.79</v>
      </c>
      <c r="I73" s="3" t="s">
        <v>711</v>
      </c>
      <c r="J73" s="3">
        <v>208</v>
      </c>
      <c r="K73" s="3" t="s">
        <v>27</v>
      </c>
      <c r="L73" s="3" t="s">
        <v>48</v>
      </c>
      <c r="M73" s="3" t="s">
        <v>24</v>
      </c>
      <c r="N73" s="3" t="s">
        <v>17</v>
      </c>
    </row>
    <row r="74" spans="1:14" x14ac:dyDescent="0.3">
      <c r="A74" s="2" t="s">
        <v>8962</v>
      </c>
      <c r="B74" s="2" t="s">
        <v>2534</v>
      </c>
      <c r="C74" s="2" t="s">
        <v>33</v>
      </c>
      <c r="D74" s="2" t="s">
        <v>712</v>
      </c>
      <c r="E74" s="2" t="s">
        <v>14</v>
      </c>
      <c r="F74" s="2">
        <v>8</v>
      </c>
      <c r="G74" s="2">
        <v>103131.48</v>
      </c>
      <c r="H74" s="2">
        <v>12891.43</v>
      </c>
      <c r="I74" s="2" t="s">
        <v>3740</v>
      </c>
      <c r="J74" s="2">
        <v>164</v>
      </c>
      <c r="K74" s="2" t="s">
        <v>27</v>
      </c>
      <c r="L74" s="2" t="s">
        <v>48</v>
      </c>
      <c r="M74" s="2" t="s">
        <v>16</v>
      </c>
      <c r="N74" s="2" t="s">
        <v>32</v>
      </c>
    </row>
    <row r="75" spans="1:14" x14ac:dyDescent="0.3">
      <c r="A75" s="3" t="s">
        <v>1171</v>
      </c>
      <c r="B75" s="3" t="s">
        <v>1885</v>
      </c>
      <c r="C75" s="3" t="s">
        <v>42</v>
      </c>
      <c r="D75" s="3" t="s">
        <v>834</v>
      </c>
      <c r="E75" s="3" t="s">
        <v>29</v>
      </c>
      <c r="F75" s="3">
        <v>9</v>
      </c>
      <c r="G75" s="3">
        <v>123357.1</v>
      </c>
      <c r="H75" s="3">
        <v>13706.34</v>
      </c>
      <c r="I75" s="3" t="s">
        <v>244</v>
      </c>
      <c r="J75" s="3">
        <v>95</v>
      </c>
      <c r="K75" s="3" t="s">
        <v>13</v>
      </c>
      <c r="L75" s="3" t="s">
        <v>47</v>
      </c>
      <c r="M75" s="3" t="s">
        <v>16</v>
      </c>
      <c r="N75" s="3" t="s">
        <v>32</v>
      </c>
    </row>
    <row r="76" spans="1:14" x14ac:dyDescent="0.3">
      <c r="A76" s="2" t="s">
        <v>520</v>
      </c>
      <c r="B76" s="2" t="s">
        <v>1152</v>
      </c>
      <c r="C76" s="2" t="s">
        <v>33</v>
      </c>
      <c r="D76" s="2" t="s">
        <v>183</v>
      </c>
      <c r="E76" s="2" t="s">
        <v>14</v>
      </c>
      <c r="F76" s="2">
        <v>8</v>
      </c>
      <c r="G76" s="2">
        <v>199196.38</v>
      </c>
      <c r="H76" s="2">
        <v>24899.55</v>
      </c>
      <c r="I76" s="2" t="s">
        <v>3708</v>
      </c>
      <c r="J76" s="2">
        <v>149</v>
      </c>
      <c r="K76" s="2" t="s">
        <v>13</v>
      </c>
      <c r="L76" s="2" t="s">
        <v>47</v>
      </c>
      <c r="M76" s="2" t="s">
        <v>16</v>
      </c>
      <c r="N76" s="2" t="s">
        <v>32</v>
      </c>
    </row>
    <row r="77" spans="1:14" x14ac:dyDescent="0.3">
      <c r="A77" s="3" t="s">
        <v>8963</v>
      </c>
      <c r="B77" s="3" t="s">
        <v>995</v>
      </c>
      <c r="C77" s="3" t="s">
        <v>26</v>
      </c>
      <c r="D77" s="3" t="s">
        <v>215</v>
      </c>
      <c r="E77" s="3" t="s">
        <v>14</v>
      </c>
      <c r="F77" s="3">
        <v>25</v>
      </c>
      <c r="G77" s="3">
        <v>35922.230000000003</v>
      </c>
      <c r="H77" s="3">
        <v>1436.89</v>
      </c>
      <c r="I77" s="3" t="s">
        <v>424</v>
      </c>
      <c r="J77" s="3">
        <v>263</v>
      </c>
      <c r="K77" s="3" t="s">
        <v>13</v>
      </c>
      <c r="L77" s="3" t="s">
        <v>48</v>
      </c>
      <c r="M77" s="3" t="s">
        <v>31</v>
      </c>
      <c r="N77" s="3" t="s">
        <v>17</v>
      </c>
    </row>
    <row r="78" spans="1:14" x14ac:dyDescent="0.3">
      <c r="A78" s="2" t="s">
        <v>8964</v>
      </c>
      <c r="B78" s="2" t="s">
        <v>240</v>
      </c>
      <c r="C78" s="2" t="s">
        <v>26</v>
      </c>
      <c r="D78" s="2" t="s">
        <v>443</v>
      </c>
      <c r="E78" s="2" t="s">
        <v>22</v>
      </c>
      <c r="F78" s="2">
        <v>23</v>
      </c>
      <c r="G78" s="2">
        <v>126081.73</v>
      </c>
      <c r="H78" s="2">
        <v>5481.81</v>
      </c>
      <c r="I78" s="2" t="s">
        <v>1694</v>
      </c>
      <c r="J78" s="2">
        <v>354</v>
      </c>
      <c r="K78" s="2" t="s">
        <v>21</v>
      </c>
      <c r="L78" s="2" t="s">
        <v>43</v>
      </c>
      <c r="M78" s="2" t="s">
        <v>16</v>
      </c>
      <c r="N78" s="2" t="s">
        <v>17</v>
      </c>
    </row>
    <row r="79" spans="1:14" x14ac:dyDescent="0.3">
      <c r="A79" s="3" t="s">
        <v>8965</v>
      </c>
      <c r="B79" s="3" t="s">
        <v>1350</v>
      </c>
      <c r="C79" s="3" t="s">
        <v>26</v>
      </c>
      <c r="D79" s="3" t="s">
        <v>148</v>
      </c>
      <c r="E79" s="3" t="s">
        <v>29</v>
      </c>
      <c r="F79" s="3">
        <v>11</v>
      </c>
      <c r="G79" s="3">
        <v>7404.15</v>
      </c>
      <c r="H79" s="3">
        <v>673.1</v>
      </c>
      <c r="I79" s="3" t="s">
        <v>5308</v>
      </c>
      <c r="J79" s="3">
        <v>236</v>
      </c>
      <c r="K79" s="3" t="s">
        <v>13</v>
      </c>
      <c r="L79" s="3" t="s">
        <v>15</v>
      </c>
      <c r="M79" s="3" t="s">
        <v>41</v>
      </c>
      <c r="N79" s="3" t="s">
        <v>17</v>
      </c>
    </row>
    <row r="80" spans="1:14" x14ac:dyDescent="0.3">
      <c r="A80" s="2" t="s">
        <v>8966</v>
      </c>
      <c r="B80" s="2" t="s">
        <v>870</v>
      </c>
      <c r="C80" s="2" t="s">
        <v>18</v>
      </c>
      <c r="D80" s="2" t="s">
        <v>109</v>
      </c>
      <c r="E80" s="2" t="s">
        <v>39</v>
      </c>
      <c r="F80" s="2">
        <v>28</v>
      </c>
      <c r="G80" s="2">
        <v>78512.25</v>
      </c>
      <c r="H80" s="2">
        <v>2804.01</v>
      </c>
      <c r="I80" s="2" t="s">
        <v>170</v>
      </c>
      <c r="J80" s="2">
        <v>322</v>
      </c>
      <c r="K80" s="2" t="s">
        <v>13</v>
      </c>
      <c r="L80" s="2" t="s">
        <v>23</v>
      </c>
      <c r="M80" s="2" t="s">
        <v>24</v>
      </c>
      <c r="N80" s="2" t="s">
        <v>17</v>
      </c>
    </row>
    <row r="81" spans="1:14" x14ac:dyDescent="0.3">
      <c r="A81" s="3" t="s">
        <v>8967</v>
      </c>
      <c r="B81" s="3" t="s">
        <v>200</v>
      </c>
      <c r="C81" s="3" t="s">
        <v>42</v>
      </c>
      <c r="D81" s="3" t="s">
        <v>324</v>
      </c>
      <c r="E81" s="3" t="s">
        <v>39</v>
      </c>
      <c r="F81" s="3">
        <v>4</v>
      </c>
      <c r="G81" s="3">
        <v>173656.28</v>
      </c>
      <c r="H81" s="3">
        <v>43414.07</v>
      </c>
      <c r="I81" s="3" t="s">
        <v>3191</v>
      </c>
      <c r="J81" s="3">
        <v>347</v>
      </c>
      <c r="K81" s="3" t="s">
        <v>28</v>
      </c>
      <c r="L81" s="3" t="s">
        <v>48</v>
      </c>
      <c r="M81" s="3" t="s">
        <v>16</v>
      </c>
      <c r="N81" s="3" t="s">
        <v>17</v>
      </c>
    </row>
    <row r="82" spans="1:14" x14ac:dyDescent="0.3">
      <c r="A82" s="2" t="s">
        <v>8968</v>
      </c>
      <c r="B82" s="2" t="s">
        <v>1226</v>
      </c>
      <c r="C82" s="2" t="s">
        <v>18</v>
      </c>
      <c r="D82" s="2" t="s">
        <v>148</v>
      </c>
      <c r="E82" s="2" t="s">
        <v>29</v>
      </c>
      <c r="F82" s="2">
        <v>19</v>
      </c>
      <c r="G82" s="2">
        <v>179996.09</v>
      </c>
      <c r="H82" s="2">
        <v>9473.48</v>
      </c>
      <c r="I82" s="2" t="s">
        <v>2806</v>
      </c>
      <c r="J82" s="2">
        <v>318</v>
      </c>
      <c r="K82" s="2" t="s">
        <v>28</v>
      </c>
      <c r="L82" s="2" t="s">
        <v>43</v>
      </c>
      <c r="M82" s="2" t="s">
        <v>16</v>
      </c>
      <c r="N82" s="2" t="s">
        <v>17</v>
      </c>
    </row>
    <row r="83" spans="1:14" x14ac:dyDescent="0.3">
      <c r="A83" s="3" t="s">
        <v>8969</v>
      </c>
      <c r="B83" s="3" t="s">
        <v>586</v>
      </c>
      <c r="C83" s="3" t="s">
        <v>26</v>
      </c>
      <c r="D83" s="3" t="s">
        <v>193</v>
      </c>
      <c r="E83" s="3" t="s">
        <v>39</v>
      </c>
      <c r="F83" s="3">
        <v>18</v>
      </c>
      <c r="G83" s="3">
        <v>143568.82999999999</v>
      </c>
      <c r="H83" s="3">
        <v>7976.05</v>
      </c>
      <c r="I83" s="3" t="s">
        <v>637</v>
      </c>
      <c r="J83" s="3">
        <v>335</v>
      </c>
      <c r="K83" s="3" t="s">
        <v>27</v>
      </c>
      <c r="L83" s="3" t="s">
        <v>23</v>
      </c>
      <c r="M83" s="3" t="s">
        <v>16</v>
      </c>
      <c r="N83" s="3" t="s">
        <v>17</v>
      </c>
    </row>
    <row r="84" spans="1:14" x14ac:dyDescent="0.3">
      <c r="A84" s="2" t="s">
        <v>8970</v>
      </c>
      <c r="B84" s="2" t="s">
        <v>155</v>
      </c>
      <c r="C84" s="2" t="s">
        <v>33</v>
      </c>
      <c r="D84" s="2" t="s">
        <v>215</v>
      </c>
      <c r="E84" s="2" t="s">
        <v>14</v>
      </c>
      <c r="F84" s="2">
        <v>20</v>
      </c>
      <c r="G84" s="2">
        <v>192894.4</v>
      </c>
      <c r="H84" s="2">
        <v>9644.7199999999993</v>
      </c>
      <c r="I84" s="2" t="s">
        <v>2022</v>
      </c>
      <c r="J84" s="2">
        <v>99</v>
      </c>
      <c r="K84" s="2" t="s">
        <v>28</v>
      </c>
      <c r="L84" s="2" t="s">
        <v>15</v>
      </c>
      <c r="M84" s="2" t="s">
        <v>16</v>
      </c>
      <c r="N84" s="2" t="s">
        <v>32</v>
      </c>
    </row>
    <row r="85" spans="1:14" x14ac:dyDescent="0.3">
      <c r="A85" s="3" t="s">
        <v>8971</v>
      </c>
      <c r="B85" s="3" t="s">
        <v>2772</v>
      </c>
      <c r="C85" s="3" t="s">
        <v>33</v>
      </c>
      <c r="D85" s="3" t="s">
        <v>334</v>
      </c>
      <c r="E85" s="3" t="s">
        <v>29</v>
      </c>
      <c r="F85" s="3">
        <v>18</v>
      </c>
      <c r="G85" s="3">
        <v>71541.16</v>
      </c>
      <c r="H85" s="3">
        <v>3974.51</v>
      </c>
      <c r="I85" s="3" t="s">
        <v>3871</v>
      </c>
      <c r="J85" s="3">
        <v>274</v>
      </c>
      <c r="K85" s="3" t="s">
        <v>13</v>
      </c>
      <c r="L85" s="3" t="s">
        <v>40</v>
      </c>
      <c r="M85" s="3" t="s">
        <v>24</v>
      </c>
      <c r="N85" s="3" t="s">
        <v>17</v>
      </c>
    </row>
    <row r="86" spans="1:14" x14ac:dyDescent="0.3">
      <c r="A86" s="2" t="s">
        <v>2089</v>
      </c>
      <c r="B86" s="2" t="s">
        <v>1797</v>
      </c>
      <c r="C86" s="2" t="s">
        <v>26</v>
      </c>
      <c r="D86" s="2" t="s">
        <v>334</v>
      </c>
      <c r="E86" s="2" t="s">
        <v>29</v>
      </c>
      <c r="F86" s="2">
        <v>14</v>
      </c>
      <c r="G86" s="2">
        <v>158716.09</v>
      </c>
      <c r="H86" s="2">
        <v>11336.86</v>
      </c>
      <c r="I86" s="2" t="s">
        <v>3119</v>
      </c>
      <c r="J86" s="2">
        <v>344</v>
      </c>
      <c r="K86" s="2" t="s">
        <v>19</v>
      </c>
      <c r="L86" s="2" t="s">
        <v>30</v>
      </c>
      <c r="M86" s="2" t="s">
        <v>16</v>
      </c>
      <c r="N86" s="2" t="s">
        <v>17</v>
      </c>
    </row>
    <row r="87" spans="1:14" x14ac:dyDescent="0.3">
      <c r="A87" s="3" t="s">
        <v>8972</v>
      </c>
      <c r="B87" s="3" t="s">
        <v>1038</v>
      </c>
      <c r="C87" s="3" t="s">
        <v>26</v>
      </c>
      <c r="D87" s="3" t="s">
        <v>712</v>
      </c>
      <c r="E87" s="3" t="s">
        <v>14</v>
      </c>
      <c r="F87" s="3">
        <v>30</v>
      </c>
      <c r="G87" s="3">
        <v>125320.18</v>
      </c>
      <c r="H87" s="3">
        <v>4177.34</v>
      </c>
      <c r="I87" s="3" t="s">
        <v>380</v>
      </c>
      <c r="J87" s="3">
        <v>189</v>
      </c>
      <c r="K87" s="3" t="s">
        <v>19</v>
      </c>
      <c r="L87" s="3" t="s">
        <v>43</v>
      </c>
      <c r="M87" s="3" t="s">
        <v>16</v>
      </c>
      <c r="N87" s="3" t="s">
        <v>17</v>
      </c>
    </row>
    <row r="88" spans="1:14" x14ac:dyDescent="0.3">
      <c r="A88" s="2" t="s">
        <v>8973</v>
      </c>
      <c r="B88" s="2" t="s">
        <v>469</v>
      </c>
      <c r="C88" s="2" t="s">
        <v>26</v>
      </c>
      <c r="D88" s="2" t="s">
        <v>160</v>
      </c>
      <c r="E88" s="2" t="s">
        <v>29</v>
      </c>
      <c r="F88" s="2">
        <v>14</v>
      </c>
      <c r="G88" s="2">
        <v>128635.97</v>
      </c>
      <c r="H88" s="2">
        <v>9188.2800000000007</v>
      </c>
      <c r="I88" s="2" t="s">
        <v>3010</v>
      </c>
      <c r="J88" s="2">
        <v>102</v>
      </c>
      <c r="K88" s="2" t="s">
        <v>28</v>
      </c>
      <c r="L88" s="2" t="s">
        <v>23</v>
      </c>
      <c r="M88" s="2" t="s">
        <v>16</v>
      </c>
      <c r="N88" s="2" t="s">
        <v>32</v>
      </c>
    </row>
    <row r="89" spans="1:14" x14ac:dyDescent="0.3">
      <c r="A89" s="3" t="s">
        <v>6353</v>
      </c>
      <c r="B89" s="3" t="s">
        <v>1955</v>
      </c>
      <c r="C89" s="3" t="s">
        <v>42</v>
      </c>
      <c r="D89" s="3" t="s">
        <v>283</v>
      </c>
      <c r="E89" s="3" t="s">
        <v>22</v>
      </c>
      <c r="F89" s="3">
        <v>23</v>
      </c>
      <c r="G89" s="3">
        <v>54973.46</v>
      </c>
      <c r="H89" s="3">
        <v>2390.15</v>
      </c>
      <c r="I89" s="3" t="s">
        <v>1689</v>
      </c>
      <c r="J89" s="3">
        <v>299</v>
      </c>
      <c r="K89" s="3" t="s">
        <v>21</v>
      </c>
      <c r="L89" s="3" t="s">
        <v>40</v>
      </c>
      <c r="M89" s="3" t="s">
        <v>24</v>
      </c>
      <c r="N89" s="3" t="s">
        <v>17</v>
      </c>
    </row>
    <row r="90" spans="1:14" x14ac:dyDescent="0.3">
      <c r="A90" s="2" t="s">
        <v>8974</v>
      </c>
      <c r="B90" s="2" t="s">
        <v>2110</v>
      </c>
      <c r="C90" s="2" t="s">
        <v>18</v>
      </c>
      <c r="D90" s="2" t="s">
        <v>738</v>
      </c>
      <c r="E90" s="2" t="s">
        <v>22</v>
      </c>
      <c r="F90" s="2">
        <v>14</v>
      </c>
      <c r="G90" s="2">
        <v>44721.49</v>
      </c>
      <c r="H90" s="2">
        <v>3194.39</v>
      </c>
      <c r="I90" s="2" t="s">
        <v>975</v>
      </c>
      <c r="J90" s="2">
        <v>69</v>
      </c>
      <c r="K90" s="2" t="s">
        <v>27</v>
      </c>
      <c r="L90" s="2" t="s">
        <v>30</v>
      </c>
      <c r="M90" s="2" t="s">
        <v>31</v>
      </c>
      <c r="N90" s="2" t="s">
        <v>25</v>
      </c>
    </row>
    <row r="91" spans="1:14" x14ac:dyDescent="0.3">
      <c r="A91" s="3" t="s">
        <v>8975</v>
      </c>
      <c r="B91" s="3" t="s">
        <v>339</v>
      </c>
      <c r="C91" s="3" t="s">
        <v>26</v>
      </c>
      <c r="D91" s="3" t="s">
        <v>225</v>
      </c>
      <c r="E91" s="3" t="s">
        <v>39</v>
      </c>
      <c r="F91" s="3">
        <v>10</v>
      </c>
      <c r="G91" s="3">
        <v>124316.2</v>
      </c>
      <c r="H91" s="3">
        <v>12431.62</v>
      </c>
      <c r="I91" s="3" t="s">
        <v>1750</v>
      </c>
      <c r="J91" s="3">
        <v>27</v>
      </c>
      <c r="K91" s="3" t="s">
        <v>28</v>
      </c>
      <c r="L91" s="3" t="s">
        <v>40</v>
      </c>
      <c r="M91" s="3" t="s">
        <v>16</v>
      </c>
      <c r="N91" s="3" t="s">
        <v>25</v>
      </c>
    </row>
    <row r="92" spans="1:14" x14ac:dyDescent="0.3">
      <c r="A92" s="2" t="s">
        <v>8976</v>
      </c>
      <c r="B92" s="2" t="s">
        <v>1606</v>
      </c>
      <c r="C92" s="2" t="s">
        <v>26</v>
      </c>
      <c r="D92" s="2" t="s">
        <v>334</v>
      </c>
      <c r="E92" s="2" t="s">
        <v>29</v>
      </c>
      <c r="F92" s="2">
        <v>22</v>
      </c>
      <c r="G92" s="2">
        <v>184470.77</v>
      </c>
      <c r="H92" s="2">
        <v>8385.0300000000007</v>
      </c>
      <c r="I92" s="2" t="s">
        <v>711</v>
      </c>
      <c r="J92" s="2">
        <v>208</v>
      </c>
      <c r="K92" s="2" t="s">
        <v>19</v>
      </c>
      <c r="L92" s="2" t="s">
        <v>15</v>
      </c>
      <c r="M92" s="2" t="s">
        <v>16</v>
      </c>
      <c r="N92" s="2" t="s">
        <v>17</v>
      </c>
    </row>
    <row r="93" spans="1:14" x14ac:dyDescent="0.3">
      <c r="A93" s="3" t="s">
        <v>8977</v>
      </c>
      <c r="B93" s="3" t="s">
        <v>1505</v>
      </c>
      <c r="C93" s="3" t="s">
        <v>18</v>
      </c>
      <c r="D93" s="3" t="s">
        <v>334</v>
      </c>
      <c r="E93" s="3" t="s">
        <v>29</v>
      </c>
      <c r="F93" s="3">
        <v>25</v>
      </c>
      <c r="G93" s="3">
        <v>139673.24</v>
      </c>
      <c r="H93" s="3">
        <v>5586.93</v>
      </c>
      <c r="I93" s="3" t="s">
        <v>886</v>
      </c>
      <c r="J93" s="3">
        <v>207</v>
      </c>
      <c r="K93" s="3" t="s">
        <v>27</v>
      </c>
      <c r="L93" s="3" t="s">
        <v>15</v>
      </c>
      <c r="M93" s="3" t="s">
        <v>16</v>
      </c>
      <c r="N93" s="3" t="s">
        <v>17</v>
      </c>
    </row>
    <row r="94" spans="1:14" x14ac:dyDescent="0.3">
      <c r="A94" s="2" t="s">
        <v>8978</v>
      </c>
      <c r="B94" s="2" t="s">
        <v>1019</v>
      </c>
      <c r="C94" s="2" t="s">
        <v>18</v>
      </c>
      <c r="D94" s="2" t="s">
        <v>171</v>
      </c>
      <c r="E94" s="2" t="s">
        <v>14</v>
      </c>
      <c r="F94" s="2">
        <v>14</v>
      </c>
      <c r="G94" s="2">
        <v>192073.35</v>
      </c>
      <c r="H94" s="2">
        <v>13719.52</v>
      </c>
      <c r="I94" s="2" t="s">
        <v>720</v>
      </c>
      <c r="J94" s="2">
        <v>130</v>
      </c>
      <c r="K94" s="2" t="s">
        <v>19</v>
      </c>
      <c r="L94" s="2" t="s">
        <v>47</v>
      </c>
      <c r="M94" s="2" t="s">
        <v>16</v>
      </c>
      <c r="N94" s="2" t="s">
        <v>32</v>
      </c>
    </row>
    <row r="95" spans="1:14" x14ac:dyDescent="0.3">
      <c r="A95" s="3" t="s">
        <v>4917</v>
      </c>
      <c r="B95" s="3" t="s">
        <v>4964</v>
      </c>
      <c r="C95" s="3" t="s">
        <v>26</v>
      </c>
      <c r="D95" s="3" t="s">
        <v>738</v>
      </c>
      <c r="E95" s="3" t="s">
        <v>22</v>
      </c>
      <c r="F95" s="3">
        <v>20</v>
      </c>
      <c r="G95" s="3">
        <v>35097.410000000003</v>
      </c>
      <c r="H95" s="3">
        <v>1754.87</v>
      </c>
      <c r="I95" s="3" t="s">
        <v>947</v>
      </c>
      <c r="J95" s="3">
        <v>79</v>
      </c>
      <c r="K95" s="3" t="s">
        <v>13</v>
      </c>
      <c r="L95" s="3" t="s">
        <v>15</v>
      </c>
      <c r="M95" s="3" t="s">
        <v>31</v>
      </c>
      <c r="N95" s="3" t="s">
        <v>25</v>
      </c>
    </row>
    <row r="96" spans="1:14" x14ac:dyDescent="0.3">
      <c r="A96" s="2" t="s">
        <v>8979</v>
      </c>
      <c r="B96" s="2" t="s">
        <v>1880</v>
      </c>
      <c r="C96" s="2" t="s">
        <v>42</v>
      </c>
      <c r="D96" s="2" t="s">
        <v>148</v>
      </c>
      <c r="E96" s="2" t="s">
        <v>29</v>
      </c>
      <c r="F96" s="2">
        <v>6</v>
      </c>
      <c r="G96" s="2">
        <v>73674.58</v>
      </c>
      <c r="H96" s="2">
        <v>12279.1</v>
      </c>
      <c r="I96" s="2" t="s">
        <v>2553</v>
      </c>
      <c r="J96" s="2">
        <v>173</v>
      </c>
      <c r="K96" s="2" t="s">
        <v>21</v>
      </c>
      <c r="L96" s="2" t="s">
        <v>47</v>
      </c>
      <c r="M96" s="2" t="s">
        <v>24</v>
      </c>
      <c r="N96" s="2" t="s">
        <v>32</v>
      </c>
    </row>
    <row r="97" spans="1:14" x14ac:dyDescent="0.3">
      <c r="A97" s="3" t="s">
        <v>8980</v>
      </c>
      <c r="B97" s="3" t="s">
        <v>2202</v>
      </c>
      <c r="C97" s="3" t="s">
        <v>18</v>
      </c>
      <c r="D97" s="3" t="s">
        <v>254</v>
      </c>
      <c r="E97" s="3" t="s">
        <v>22</v>
      </c>
      <c r="F97" s="3">
        <v>29</v>
      </c>
      <c r="G97" s="3">
        <v>63960.09</v>
      </c>
      <c r="H97" s="3">
        <v>2205.52</v>
      </c>
      <c r="I97" s="3" t="s">
        <v>1751</v>
      </c>
      <c r="J97" s="3">
        <v>23</v>
      </c>
      <c r="K97" s="3" t="s">
        <v>19</v>
      </c>
      <c r="L97" s="3" t="s">
        <v>23</v>
      </c>
      <c r="M97" s="3" t="s">
        <v>24</v>
      </c>
      <c r="N97" s="3" t="s">
        <v>25</v>
      </c>
    </row>
    <row r="98" spans="1:14" x14ac:dyDescent="0.3">
      <c r="A98" s="2" t="s">
        <v>8981</v>
      </c>
      <c r="B98" s="2" t="s">
        <v>3403</v>
      </c>
      <c r="C98" s="2" t="s">
        <v>18</v>
      </c>
      <c r="D98" s="2" t="s">
        <v>738</v>
      </c>
      <c r="E98" s="2" t="s">
        <v>22</v>
      </c>
      <c r="F98" s="2">
        <v>22</v>
      </c>
      <c r="G98" s="2">
        <v>13955.26</v>
      </c>
      <c r="H98" s="2">
        <v>634.33000000000004</v>
      </c>
      <c r="I98" s="2" t="s">
        <v>1100</v>
      </c>
      <c r="J98" s="2">
        <v>34</v>
      </c>
      <c r="K98" s="2" t="s">
        <v>21</v>
      </c>
      <c r="L98" s="2" t="s">
        <v>48</v>
      </c>
      <c r="M98" s="2" t="s">
        <v>31</v>
      </c>
      <c r="N98" s="2" t="s">
        <v>25</v>
      </c>
    </row>
    <row r="99" spans="1:14" x14ac:dyDescent="0.3">
      <c r="A99" s="3" t="s">
        <v>8982</v>
      </c>
      <c r="B99" s="3" t="s">
        <v>2110</v>
      </c>
      <c r="C99" s="3" t="s">
        <v>18</v>
      </c>
      <c r="D99" s="3" t="s">
        <v>215</v>
      </c>
      <c r="E99" s="3" t="s">
        <v>14</v>
      </c>
      <c r="F99" s="3">
        <v>21</v>
      </c>
      <c r="G99" s="3">
        <v>117681.31</v>
      </c>
      <c r="H99" s="3">
        <v>5603.87</v>
      </c>
      <c r="I99" s="3" t="s">
        <v>4241</v>
      </c>
      <c r="J99" s="3">
        <v>60</v>
      </c>
      <c r="K99" s="3" t="s">
        <v>13</v>
      </c>
      <c r="L99" s="3" t="s">
        <v>40</v>
      </c>
      <c r="M99" s="3" t="s">
        <v>16</v>
      </c>
      <c r="N99" s="3" t="s">
        <v>25</v>
      </c>
    </row>
    <row r="100" spans="1:14" x14ac:dyDescent="0.3">
      <c r="A100" s="2" t="s">
        <v>8983</v>
      </c>
      <c r="B100" s="2" t="s">
        <v>459</v>
      </c>
      <c r="C100" s="2" t="s">
        <v>33</v>
      </c>
      <c r="D100" s="2" t="s">
        <v>834</v>
      </c>
      <c r="E100" s="2" t="s">
        <v>29</v>
      </c>
      <c r="F100" s="2">
        <v>25</v>
      </c>
      <c r="G100" s="2">
        <v>158678.04</v>
      </c>
      <c r="H100" s="2">
        <v>6347.12</v>
      </c>
      <c r="I100" s="2" t="s">
        <v>1242</v>
      </c>
      <c r="J100" s="2">
        <v>296</v>
      </c>
      <c r="K100" s="2" t="s">
        <v>21</v>
      </c>
      <c r="L100" s="2" t="s">
        <v>30</v>
      </c>
      <c r="M100" s="2" t="s">
        <v>16</v>
      </c>
      <c r="N100" s="2" t="s">
        <v>17</v>
      </c>
    </row>
    <row r="101" spans="1:14" x14ac:dyDescent="0.3">
      <c r="A101" s="3" t="s">
        <v>8984</v>
      </c>
      <c r="B101" s="3" t="s">
        <v>619</v>
      </c>
      <c r="C101" s="3" t="s">
        <v>42</v>
      </c>
      <c r="D101" s="3" t="s">
        <v>443</v>
      </c>
      <c r="E101" s="3" t="s">
        <v>22</v>
      </c>
      <c r="F101" s="3">
        <v>29</v>
      </c>
      <c r="G101" s="3">
        <v>72581.710000000006</v>
      </c>
      <c r="H101" s="3">
        <v>2502.8200000000002</v>
      </c>
      <c r="I101" s="3" t="s">
        <v>885</v>
      </c>
      <c r="J101" s="3">
        <v>209</v>
      </c>
      <c r="K101" s="3" t="s">
        <v>19</v>
      </c>
      <c r="L101" s="3" t="s">
        <v>15</v>
      </c>
      <c r="M101" s="3" t="s">
        <v>24</v>
      </c>
      <c r="N101" s="3" t="s">
        <v>17</v>
      </c>
    </row>
    <row r="102" spans="1:14" x14ac:dyDescent="0.3">
      <c r="A102" s="2" t="s">
        <v>8985</v>
      </c>
      <c r="B102" s="2" t="s">
        <v>545</v>
      </c>
      <c r="C102" s="2" t="s">
        <v>33</v>
      </c>
      <c r="D102" s="2" t="s">
        <v>324</v>
      </c>
      <c r="E102" s="2" t="s">
        <v>39</v>
      </c>
      <c r="F102" s="2">
        <v>27</v>
      </c>
      <c r="G102" s="2">
        <v>101978.1</v>
      </c>
      <c r="H102" s="2">
        <v>3776.97</v>
      </c>
      <c r="I102" s="2" t="s">
        <v>893</v>
      </c>
      <c r="J102" s="2">
        <v>194</v>
      </c>
      <c r="K102" s="2" t="s">
        <v>27</v>
      </c>
      <c r="L102" s="2" t="s">
        <v>48</v>
      </c>
      <c r="M102" s="2" t="s">
        <v>16</v>
      </c>
      <c r="N102" s="2" t="s">
        <v>17</v>
      </c>
    </row>
    <row r="103" spans="1:14" x14ac:dyDescent="0.3">
      <c r="A103" s="3" t="s">
        <v>8986</v>
      </c>
      <c r="B103" s="3" t="s">
        <v>2772</v>
      </c>
      <c r="C103" s="3" t="s">
        <v>18</v>
      </c>
      <c r="D103" s="3" t="s">
        <v>283</v>
      </c>
      <c r="E103" s="3" t="s">
        <v>22</v>
      </c>
      <c r="F103" s="3">
        <v>26</v>
      </c>
      <c r="G103" s="3">
        <v>34872.83</v>
      </c>
      <c r="H103" s="3">
        <v>1341.26</v>
      </c>
      <c r="I103" s="3" t="s">
        <v>515</v>
      </c>
      <c r="J103" s="3">
        <v>56</v>
      </c>
      <c r="K103" s="3" t="s">
        <v>13</v>
      </c>
      <c r="L103" s="3" t="s">
        <v>43</v>
      </c>
      <c r="M103" s="3" t="s">
        <v>31</v>
      </c>
      <c r="N103" s="3" t="s">
        <v>25</v>
      </c>
    </row>
    <row r="104" spans="1:14" x14ac:dyDescent="0.3">
      <c r="A104" s="2" t="s">
        <v>8987</v>
      </c>
      <c r="B104" s="2" t="s">
        <v>2110</v>
      </c>
      <c r="C104" s="2" t="s">
        <v>42</v>
      </c>
      <c r="D104" s="2" t="s">
        <v>443</v>
      </c>
      <c r="E104" s="2" t="s">
        <v>22</v>
      </c>
      <c r="F104" s="2">
        <v>16</v>
      </c>
      <c r="G104" s="2">
        <v>27882.95</v>
      </c>
      <c r="H104" s="2">
        <v>1742.68</v>
      </c>
      <c r="I104" s="2" t="s">
        <v>858</v>
      </c>
      <c r="J104" s="2">
        <v>210</v>
      </c>
      <c r="K104" s="2" t="s">
        <v>13</v>
      </c>
      <c r="L104" s="2" t="s">
        <v>48</v>
      </c>
      <c r="M104" s="2" t="s">
        <v>31</v>
      </c>
      <c r="N104" s="2" t="s">
        <v>17</v>
      </c>
    </row>
    <row r="105" spans="1:14" x14ac:dyDescent="0.3">
      <c r="A105" s="3" t="s">
        <v>8988</v>
      </c>
      <c r="B105" s="3" t="s">
        <v>1217</v>
      </c>
      <c r="C105" s="3" t="s">
        <v>33</v>
      </c>
      <c r="D105" s="3" t="s">
        <v>324</v>
      </c>
      <c r="E105" s="3" t="s">
        <v>39</v>
      </c>
      <c r="F105" s="3">
        <v>8</v>
      </c>
      <c r="G105" s="3">
        <v>110955.66</v>
      </c>
      <c r="H105" s="3">
        <v>13869.46</v>
      </c>
      <c r="I105" s="3" t="s">
        <v>1402</v>
      </c>
      <c r="J105" s="3">
        <v>139</v>
      </c>
      <c r="K105" s="3" t="s">
        <v>13</v>
      </c>
      <c r="L105" s="3" t="s">
        <v>15</v>
      </c>
      <c r="M105" s="3" t="s">
        <v>16</v>
      </c>
      <c r="N105" s="3" t="s">
        <v>32</v>
      </c>
    </row>
    <row r="106" spans="1:14" x14ac:dyDescent="0.3">
      <c r="A106" s="2" t="s">
        <v>8989</v>
      </c>
      <c r="B106" s="2" t="s">
        <v>1730</v>
      </c>
      <c r="C106" s="2" t="s">
        <v>42</v>
      </c>
      <c r="D106" s="2" t="s">
        <v>712</v>
      </c>
      <c r="E106" s="2" t="s">
        <v>14</v>
      </c>
      <c r="F106" s="2">
        <v>6</v>
      </c>
      <c r="G106" s="2">
        <v>190995.7</v>
      </c>
      <c r="H106" s="2">
        <v>31832.62</v>
      </c>
      <c r="I106" s="2" t="s">
        <v>3543</v>
      </c>
      <c r="J106" s="2">
        <v>184</v>
      </c>
      <c r="K106" s="2" t="s">
        <v>27</v>
      </c>
      <c r="L106" s="2" t="s">
        <v>43</v>
      </c>
      <c r="M106" s="2" t="s">
        <v>16</v>
      </c>
      <c r="N106" s="2" t="s">
        <v>17</v>
      </c>
    </row>
    <row r="107" spans="1:14" x14ac:dyDescent="0.3">
      <c r="A107" s="3" t="s">
        <v>8990</v>
      </c>
      <c r="B107" s="3" t="s">
        <v>1131</v>
      </c>
      <c r="C107" s="3" t="s">
        <v>42</v>
      </c>
      <c r="D107" s="3" t="s">
        <v>427</v>
      </c>
      <c r="E107" s="3" t="s">
        <v>29</v>
      </c>
      <c r="F107" s="3">
        <v>3</v>
      </c>
      <c r="G107" s="3">
        <v>127851.71</v>
      </c>
      <c r="H107" s="3">
        <v>42617.24</v>
      </c>
      <c r="I107" s="3" t="s">
        <v>1295</v>
      </c>
      <c r="J107" s="3">
        <v>97</v>
      </c>
      <c r="K107" s="3" t="s">
        <v>19</v>
      </c>
      <c r="L107" s="3" t="s">
        <v>23</v>
      </c>
      <c r="M107" s="3" t="s">
        <v>16</v>
      </c>
      <c r="N107" s="3" t="s">
        <v>32</v>
      </c>
    </row>
    <row r="108" spans="1:14" x14ac:dyDescent="0.3">
      <c r="A108" s="2" t="s">
        <v>8991</v>
      </c>
      <c r="B108" s="2" t="s">
        <v>934</v>
      </c>
      <c r="C108" s="2" t="s">
        <v>26</v>
      </c>
      <c r="D108" s="2" t="s">
        <v>160</v>
      </c>
      <c r="E108" s="2" t="s">
        <v>29</v>
      </c>
      <c r="F108" s="2">
        <v>11</v>
      </c>
      <c r="G108" s="2">
        <v>179829.7</v>
      </c>
      <c r="H108" s="2">
        <v>16348.15</v>
      </c>
      <c r="I108" s="2" t="s">
        <v>1322</v>
      </c>
      <c r="J108" s="2">
        <v>16</v>
      </c>
      <c r="K108" s="2" t="s">
        <v>27</v>
      </c>
      <c r="L108" s="2" t="s">
        <v>23</v>
      </c>
      <c r="M108" s="2" t="s">
        <v>16</v>
      </c>
      <c r="N108" s="2" t="s">
        <v>25</v>
      </c>
    </row>
    <row r="109" spans="1:14" x14ac:dyDescent="0.3">
      <c r="A109" s="3" t="s">
        <v>8992</v>
      </c>
      <c r="B109" s="3" t="s">
        <v>870</v>
      </c>
      <c r="C109" s="3" t="s">
        <v>33</v>
      </c>
      <c r="D109" s="3" t="s">
        <v>738</v>
      </c>
      <c r="E109" s="3" t="s">
        <v>22</v>
      </c>
      <c r="F109" s="3">
        <v>11</v>
      </c>
      <c r="G109" s="3">
        <v>13464.44</v>
      </c>
      <c r="H109" s="3">
        <v>1224.04</v>
      </c>
      <c r="I109" s="3" t="s">
        <v>2935</v>
      </c>
      <c r="J109" s="3">
        <v>165</v>
      </c>
      <c r="K109" s="3" t="s">
        <v>28</v>
      </c>
      <c r="L109" s="3" t="s">
        <v>48</v>
      </c>
      <c r="M109" s="3" t="s">
        <v>31</v>
      </c>
      <c r="N109" s="3" t="s">
        <v>32</v>
      </c>
    </row>
    <row r="110" spans="1:14" x14ac:dyDescent="0.3">
      <c r="A110" s="2" t="s">
        <v>8993</v>
      </c>
      <c r="B110" s="2" t="s">
        <v>1918</v>
      </c>
      <c r="C110" s="2" t="s">
        <v>26</v>
      </c>
      <c r="D110" s="2" t="s">
        <v>254</v>
      </c>
      <c r="E110" s="2" t="s">
        <v>22</v>
      </c>
      <c r="F110" s="2">
        <v>22</v>
      </c>
      <c r="G110" s="2">
        <v>108556.89</v>
      </c>
      <c r="H110" s="2">
        <v>4934.3999999999996</v>
      </c>
      <c r="I110" s="2" t="s">
        <v>2227</v>
      </c>
      <c r="J110" s="2">
        <v>292</v>
      </c>
      <c r="K110" s="2" t="s">
        <v>19</v>
      </c>
      <c r="L110" s="2" t="s">
        <v>43</v>
      </c>
      <c r="M110" s="2" t="s">
        <v>16</v>
      </c>
      <c r="N110" s="2" t="s">
        <v>17</v>
      </c>
    </row>
    <row r="111" spans="1:14" x14ac:dyDescent="0.3">
      <c r="A111" s="3" t="s">
        <v>8994</v>
      </c>
      <c r="B111" s="3" t="s">
        <v>1918</v>
      </c>
      <c r="C111" s="3" t="s">
        <v>26</v>
      </c>
      <c r="D111" s="3" t="s">
        <v>443</v>
      </c>
      <c r="E111" s="3" t="s">
        <v>22</v>
      </c>
      <c r="F111" s="3">
        <v>4</v>
      </c>
      <c r="G111" s="3">
        <v>61591.54</v>
      </c>
      <c r="H111" s="3">
        <v>15397.89</v>
      </c>
      <c r="I111" s="3" t="s">
        <v>1106</v>
      </c>
      <c r="J111" s="3">
        <v>315</v>
      </c>
      <c r="K111" s="3" t="s">
        <v>21</v>
      </c>
      <c r="L111" s="3" t="s">
        <v>15</v>
      </c>
      <c r="M111" s="3" t="s">
        <v>24</v>
      </c>
      <c r="N111" s="3" t="s">
        <v>17</v>
      </c>
    </row>
    <row r="112" spans="1:14" x14ac:dyDescent="0.3">
      <c r="A112" s="2" t="s">
        <v>8995</v>
      </c>
      <c r="B112" s="2" t="s">
        <v>1544</v>
      </c>
      <c r="C112" s="2" t="s">
        <v>33</v>
      </c>
      <c r="D112" s="2" t="s">
        <v>427</v>
      </c>
      <c r="E112" s="2" t="s">
        <v>29</v>
      </c>
      <c r="F112" s="2">
        <v>23</v>
      </c>
      <c r="G112" s="2">
        <v>167283.65</v>
      </c>
      <c r="H112" s="2">
        <v>7273.2</v>
      </c>
      <c r="I112" s="2" t="s">
        <v>1242</v>
      </c>
      <c r="J112" s="2">
        <v>296</v>
      </c>
      <c r="K112" s="2" t="s">
        <v>19</v>
      </c>
      <c r="L112" s="2" t="s">
        <v>15</v>
      </c>
      <c r="M112" s="2" t="s">
        <v>16</v>
      </c>
      <c r="N112" s="2" t="s">
        <v>17</v>
      </c>
    </row>
    <row r="113" spans="1:14" x14ac:dyDescent="0.3">
      <c r="A113" s="3" t="s">
        <v>8996</v>
      </c>
      <c r="B113" s="3" t="s">
        <v>2305</v>
      </c>
      <c r="C113" s="3" t="s">
        <v>18</v>
      </c>
      <c r="D113" s="3" t="s">
        <v>834</v>
      </c>
      <c r="E113" s="3" t="s">
        <v>29</v>
      </c>
      <c r="F113" s="3">
        <v>9</v>
      </c>
      <c r="G113" s="3">
        <v>147815.82999999999</v>
      </c>
      <c r="H113" s="3">
        <v>16423.98</v>
      </c>
      <c r="I113" s="3" t="s">
        <v>581</v>
      </c>
      <c r="J113" s="3">
        <v>294</v>
      </c>
      <c r="K113" s="3" t="s">
        <v>27</v>
      </c>
      <c r="L113" s="3" t="s">
        <v>48</v>
      </c>
      <c r="M113" s="3" t="s">
        <v>16</v>
      </c>
      <c r="N113" s="3" t="s">
        <v>17</v>
      </c>
    </row>
    <row r="114" spans="1:14" x14ac:dyDescent="0.3">
      <c r="A114" s="2" t="s">
        <v>6770</v>
      </c>
      <c r="B114" s="2" t="s">
        <v>791</v>
      </c>
      <c r="C114" s="2" t="s">
        <v>18</v>
      </c>
      <c r="D114" s="2" t="s">
        <v>427</v>
      </c>
      <c r="E114" s="2" t="s">
        <v>29</v>
      </c>
      <c r="F114" s="2">
        <v>1</v>
      </c>
      <c r="G114" s="2">
        <v>31843.68</v>
      </c>
      <c r="H114" s="2">
        <v>31843.68</v>
      </c>
      <c r="I114" s="2" t="s">
        <v>802</v>
      </c>
      <c r="J114" s="2">
        <v>193</v>
      </c>
      <c r="K114" s="2" t="s">
        <v>21</v>
      </c>
      <c r="L114" s="2" t="s">
        <v>40</v>
      </c>
      <c r="M114" s="2" t="s">
        <v>31</v>
      </c>
      <c r="N114" s="2" t="s">
        <v>17</v>
      </c>
    </row>
    <row r="115" spans="1:14" x14ac:dyDescent="0.3">
      <c r="A115" s="3" t="s">
        <v>7308</v>
      </c>
      <c r="B115" s="3" t="s">
        <v>1981</v>
      </c>
      <c r="C115" s="3" t="s">
        <v>33</v>
      </c>
      <c r="D115" s="3" t="s">
        <v>427</v>
      </c>
      <c r="E115" s="3" t="s">
        <v>29</v>
      </c>
      <c r="F115" s="3">
        <v>26</v>
      </c>
      <c r="G115" s="3">
        <v>29885.74</v>
      </c>
      <c r="H115" s="3">
        <v>1149.45</v>
      </c>
      <c r="I115" s="3" t="s">
        <v>213</v>
      </c>
      <c r="J115" s="3">
        <v>87</v>
      </c>
      <c r="K115" s="3" t="s">
        <v>13</v>
      </c>
      <c r="L115" s="3" t="s">
        <v>30</v>
      </c>
      <c r="M115" s="3" t="s">
        <v>31</v>
      </c>
      <c r="N115" s="3" t="s">
        <v>25</v>
      </c>
    </row>
    <row r="116" spans="1:14" x14ac:dyDescent="0.3">
      <c r="A116" s="2" t="s">
        <v>8997</v>
      </c>
      <c r="B116" s="2" t="s">
        <v>1590</v>
      </c>
      <c r="C116" s="2" t="s">
        <v>42</v>
      </c>
      <c r="D116" s="2" t="s">
        <v>171</v>
      </c>
      <c r="E116" s="2" t="s">
        <v>14</v>
      </c>
      <c r="F116" s="2">
        <v>7</v>
      </c>
      <c r="G116" s="2">
        <v>132610.06</v>
      </c>
      <c r="H116" s="2">
        <v>18944.29</v>
      </c>
      <c r="I116" s="2" t="s">
        <v>3560</v>
      </c>
      <c r="J116" s="2">
        <v>137</v>
      </c>
      <c r="K116" s="2" t="s">
        <v>21</v>
      </c>
      <c r="L116" s="2" t="s">
        <v>30</v>
      </c>
      <c r="M116" s="2" t="s">
        <v>16</v>
      </c>
      <c r="N116" s="2" t="s">
        <v>32</v>
      </c>
    </row>
    <row r="117" spans="1:14" x14ac:dyDescent="0.3">
      <c r="A117" s="3" t="s">
        <v>8998</v>
      </c>
      <c r="B117" s="3" t="s">
        <v>2147</v>
      </c>
      <c r="C117" s="3" t="s">
        <v>33</v>
      </c>
      <c r="D117" s="3" t="s">
        <v>215</v>
      </c>
      <c r="E117" s="3" t="s">
        <v>14</v>
      </c>
      <c r="F117" s="3">
        <v>1</v>
      </c>
      <c r="G117" s="3">
        <v>9560.89</v>
      </c>
      <c r="H117" s="3">
        <v>9560.89</v>
      </c>
      <c r="I117" s="3" t="s">
        <v>1507</v>
      </c>
      <c r="J117" s="3">
        <v>127</v>
      </c>
      <c r="K117" s="3" t="s">
        <v>19</v>
      </c>
      <c r="L117" s="3" t="s">
        <v>40</v>
      </c>
      <c r="M117" s="3" t="s">
        <v>41</v>
      </c>
      <c r="N117" s="3" t="s">
        <v>32</v>
      </c>
    </row>
    <row r="118" spans="1:14" x14ac:dyDescent="0.3">
      <c r="A118" s="2" t="s">
        <v>8999</v>
      </c>
      <c r="B118" s="2" t="s">
        <v>143</v>
      </c>
      <c r="C118" s="2" t="s">
        <v>26</v>
      </c>
      <c r="D118" s="2" t="s">
        <v>183</v>
      </c>
      <c r="E118" s="2" t="s">
        <v>14</v>
      </c>
      <c r="F118" s="2">
        <v>20</v>
      </c>
      <c r="G118" s="2">
        <v>46345.37</v>
      </c>
      <c r="H118" s="2">
        <v>2317.27</v>
      </c>
      <c r="I118" s="2" t="s">
        <v>908</v>
      </c>
      <c r="J118" s="2">
        <v>74</v>
      </c>
      <c r="K118" s="2" t="s">
        <v>19</v>
      </c>
      <c r="L118" s="2" t="s">
        <v>23</v>
      </c>
      <c r="M118" s="2" t="s">
        <v>31</v>
      </c>
      <c r="N118" s="2" t="s">
        <v>25</v>
      </c>
    </row>
    <row r="119" spans="1:14" x14ac:dyDescent="0.3">
      <c r="A119" s="3" t="s">
        <v>9000</v>
      </c>
      <c r="B119" s="3" t="s">
        <v>1866</v>
      </c>
      <c r="C119" s="3" t="s">
        <v>26</v>
      </c>
      <c r="D119" s="3" t="s">
        <v>738</v>
      </c>
      <c r="E119" s="3" t="s">
        <v>22</v>
      </c>
      <c r="F119" s="3">
        <v>7</v>
      </c>
      <c r="G119" s="3">
        <v>181463.14</v>
      </c>
      <c r="H119" s="3">
        <v>25923.31</v>
      </c>
      <c r="I119" s="3" t="s">
        <v>3315</v>
      </c>
      <c r="J119" s="3">
        <v>281</v>
      </c>
      <c r="K119" s="3" t="s">
        <v>19</v>
      </c>
      <c r="L119" s="3" t="s">
        <v>23</v>
      </c>
      <c r="M119" s="3" t="s">
        <v>16</v>
      </c>
      <c r="N119" s="3" t="s">
        <v>17</v>
      </c>
    </row>
    <row r="120" spans="1:14" x14ac:dyDescent="0.3">
      <c r="A120" s="2" t="s">
        <v>9001</v>
      </c>
      <c r="B120" s="2" t="s">
        <v>1311</v>
      </c>
      <c r="C120" s="2" t="s">
        <v>26</v>
      </c>
      <c r="D120" s="2" t="s">
        <v>283</v>
      </c>
      <c r="E120" s="2" t="s">
        <v>22</v>
      </c>
      <c r="F120" s="2">
        <v>17</v>
      </c>
      <c r="G120" s="2">
        <v>83373.31</v>
      </c>
      <c r="H120" s="2">
        <v>4904.3100000000004</v>
      </c>
      <c r="I120" s="2" t="s">
        <v>1108</v>
      </c>
      <c r="J120" s="2">
        <v>311</v>
      </c>
      <c r="K120" s="2" t="s">
        <v>27</v>
      </c>
      <c r="L120" s="2" t="s">
        <v>43</v>
      </c>
      <c r="M120" s="2" t="s">
        <v>24</v>
      </c>
      <c r="N120" s="2" t="s">
        <v>17</v>
      </c>
    </row>
    <row r="121" spans="1:14" x14ac:dyDescent="0.3">
      <c r="A121" s="3" t="s">
        <v>9002</v>
      </c>
      <c r="B121" s="3" t="s">
        <v>450</v>
      </c>
      <c r="C121" s="3" t="s">
        <v>42</v>
      </c>
      <c r="D121" s="3" t="s">
        <v>712</v>
      </c>
      <c r="E121" s="3" t="s">
        <v>14</v>
      </c>
      <c r="F121" s="3">
        <v>2</v>
      </c>
      <c r="G121" s="3">
        <v>117443.29</v>
      </c>
      <c r="H121" s="3">
        <v>58721.64</v>
      </c>
      <c r="I121" s="3" t="s">
        <v>1913</v>
      </c>
      <c r="J121" s="3">
        <v>345</v>
      </c>
      <c r="K121" s="3" t="s">
        <v>19</v>
      </c>
      <c r="L121" s="3" t="s">
        <v>43</v>
      </c>
      <c r="M121" s="3" t="s">
        <v>16</v>
      </c>
      <c r="N121" s="3" t="s">
        <v>17</v>
      </c>
    </row>
    <row r="122" spans="1:14" x14ac:dyDescent="0.3">
      <c r="A122" s="2" t="s">
        <v>9003</v>
      </c>
      <c r="B122" s="2" t="s">
        <v>1077</v>
      </c>
      <c r="C122" s="2" t="s">
        <v>42</v>
      </c>
      <c r="D122" s="2" t="s">
        <v>443</v>
      </c>
      <c r="E122" s="2" t="s">
        <v>22</v>
      </c>
      <c r="F122" s="2">
        <v>21</v>
      </c>
      <c r="G122" s="2">
        <v>158788.6</v>
      </c>
      <c r="H122" s="2">
        <v>7561.36</v>
      </c>
      <c r="I122" s="2" t="s">
        <v>214</v>
      </c>
      <c r="J122" s="2">
        <v>83</v>
      </c>
      <c r="K122" s="2" t="s">
        <v>21</v>
      </c>
      <c r="L122" s="2" t="s">
        <v>30</v>
      </c>
      <c r="M122" s="2" t="s">
        <v>16</v>
      </c>
      <c r="N122" s="2" t="s">
        <v>25</v>
      </c>
    </row>
    <row r="123" spans="1:14" x14ac:dyDescent="0.3">
      <c r="A123" s="3" t="s">
        <v>9004</v>
      </c>
      <c r="B123" s="3" t="s">
        <v>3403</v>
      </c>
      <c r="C123" s="3" t="s">
        <v>18</v>
      </c>
      <c r="D123" s="3" t="s">
        <v>427</v>
      </c>
      <c r="E123" s="3" t="s">
        <v>29</v>
      </c>
      <c r="F123" s="3">
        <v>16</v>
      </c>
      <c r="G123" s="3">
        <v>52732.09</v>
      </c>
      <c r="H123" s="3">
        <v>3295.76</v>
      </c>
      <c r="I123" s="3" t="s">
        <v>999</v>
      </c>
      <c r="J123" s="3">
        <v>49</v>
      </c>
      <c r="K123" s="3" t="s">
        <v>21</v>
      </c>
      <c r="L123" s="3" t="s">
        <v>40</v>
      </c>
      <c r="M123" s="3" t="s">
        <v>24</v>
      </c>
      <c r="N123" s="3" t="s">
        <v>25</v>
      </c>
    </row>
    <row r="124" spans="1:14" x14ac:dyDescent="0.3">
      <c r="A124" s="2" t="s">
        <v>9005</v>
      </c>
      <c r="B124" s="2" t="s">
        <v>4068</v>
      </c>
      <c r="C124" s="2" t="s">
        <v>42</v>
      </c>
      <c r="D124" s="2" t="s">
        <v>148</v>
      </c>
      <c r="E124" s="2" t="s">
        <v>29</v>
      </c>
      <c r="F124" s="2">
        <v>24</v>
      </c>
      <c r="G124" s="2">
        <v>176013.07</v>
      </c>
      <c r="H124" s="2">
        <v>7333.88</v>
      </c>
      <c r="I124" s="2" t="s">
        <v>7458</v>
      </c>
      <c r="J124" s="2">
        <v>178</v>
      </c>
      <c r="K124" s="2" t="s">
        <v>19</v>
      </c>
      <c r="L124" s="2" t="s">
        <v>48</v>
      </c>
      <c r="M124" s="2" t="s">
        <v>16</v>
      </c>
      <c r="N124" s="2" t="s">
        <v>32</v>
      </c>
    </row>
    <row r="125" spans="1:14" x14ac:dyDescent="0.3">
      <c r="A125" s="3" t="s">
        <v>4798</v>
      </c>
      <c r="B125" s="3" t="s">
        <v>1597</v>
      </c>
      <c r="C125" s="3" t="s">
        <v>33</v>
      </c>
      <c r="D125" s="3" t="s">
        <v>324</v>
      </c>
      <c r="E125" s="3" t="s">
        <v>39</v>
      </c>
      <c r="F125" s="3">
        <v>15</v>
      </c>
      <c r="G125" s="3">
        <v>189683.35</v>
      </c>
      <c r="H125" s="3">
        <v>12645.56</v>
      </c>
      <c r="I125" s="3" t="s">
        <v>191</v>
      </c>
      <c r="J125" s="3">
        <v>253</v>
      </c>
      <c r="K125" s="3" t="s">
        <v>27</v>
      </c>
      <c r="L125" s="3" t="s">
        <v>47</v>
      </c>
      <c r="M125" s="3" t="s">
        <v>16</v>
      </c>
      <c r="N125" s="3" t="s">
        <v>17</v>
      </c>
    </row>
    <row r="126" spans="1:14" x14ac:dyDescent="0.3">
      <c r="A126" s="2" t="s">
        <v>4018</v>
      </c>
      <c r="B126" s="2" t="s">
        <v>1311</v>
      </c>
      <c r="C126" s="2" t="s">
        <v>18</v>
      </c>
      <c r="D126" s="2" t="s">
        <v>109</v>
      </c>
      <c r="E126" s="2" t="s">
        <v>39</v>
      </c>
      <c r="F126" s="2">
        <v>25</v>
      </c>
      <c r="G126" s="2">
        <v>41229.51</v>
      </c>
      <c r="H126" s="2">
        <v>1649.18</v>
      </c>
      <c r="I126" s="2" t="s">
        <v>1996</v>
      </c>
      <c r="J126" s="2">
        <v>270</v>
      </c>
      <c r="K126" s="2" t="s">
        <v>27</v>
      </c>
      <c r="L126" s="2" t="s">
        <v>23</v>
      </c>
      <c r="M126" s="2" t="s">
        <v>31</v>
      </c>
      <c r="N126" s="2" t="s">
        <v>17</v>
      </c>
    </row>
    <row r="127" spans="1:14" x14ac:dyDescent="0.3">
      <c r="A127" s="3" t="s">
        <v>9006</v>
      </c>
      <c r="B127" s="3" t="s">
        <v>319</v>
      </c>
      <c r="C127" s="3" t="s">
        <v>26</v>
      </c>
      <c r="D127" s="3" t="s">
        <v>254</v>
      </c>
      <c r="E127" s="3" t="s">
        <v>22</v>
      </c>
      <c r="F127" s="3">
        <v>15</v>
      </c>
      <c r="G127" s="3">
        <v>127998.9</v>
      </c>
      <c r="H127" s="3">
        <v>8533.26</v>
      </c>
      <c r="I127" s="3" t="s">
        <v>2364</v>
      </c>
      <c r="J127" s="3">
        <v>359</v>
      </c>
      <c r="K127" s="3" t="s">
        <v>21</v>
      </c>
      <c r="L127" s="3" t="s">
        <v>47</v>
      </c>
      <c r="M127" s="3" t="s">
        <v>16</v>
      </c>
      <c r="N127" s="3" t="s">
        <v>17</v>
      </c>
    </row>
    <row r="128" spans="1:14" x14ac:dyDescent="0.3">
      <c r="A128" s="2" t="s">
        <v>9007</v>
      </c>
      <c r="B128" s="2" t="s">
        <v>2622</v>
      </c>
      <c r="C128" s="2" t="s">
        <v>26</v>
      </c>
      <c r="D128" s="2" t="s">
        <v>122</v>
      </c>
      <c r="E128" s="2" t="s">
        <v>22</v>
      </c>
      <c r="F128" s="2">
        <v>4</v>
      </c>
      <c r="G128" s="2">
        <v>3771.83</v>
      </c>
      <c r="H128" s="2">
        <v>942.96</v>
      </c>
      <c r="I128" s="2" t="s">
        <v>5669</v>
      </c>
      <c r="J128" s="2">
        <v>241</v>
      </c>
      <c r="K128" s="2" t="s">
        <v>21</v>
      </c>
      <c r="L128" s="2" t="s">
        <v>47</v>
      </c>
      <c r="M128" s="2" t="s">
        <v>41</v>
      </c>
      <c r="N128" s="2" t="s">
        <v>17</v>
      </c>
    </row>
    <row r="129" spans="1:14" x14ac:dyDescent="0.3">
      <c r="A129" s="3" t="s">
        <v>9008</v>
      </c>
      <c r="B129" s="3" t="s">
        <v>1350</v>
      </c>
      <c r="C129" s="3" t="s">
        <v>18</v>
      </c>
      <c r="D129" s="3" t="s">
        <v>148</v>
      </c>
      <c r="E129" s="3" t="s">
        <v>29</v>
      </c>
      <c r="F129" s="3">
        <v>14</v>
      </c>
      <c r="G129" s="3">
        <v>71803.039999999994</v>
      </c>
      <c r="H129" s="3">
        <v>5128.79</v>
      </c>
      <c r="I129" s="3" t="s">
        <v>1480</v>
      </c>
      <c r="J129" s="3">
        <v>286</v>
      </c>
      <c r="K129" s="3" t="s">
        <v>28</v>
      </c>
      <c r="L129" s="3" t="s">
        <v>15</v>
      </c>
      <c r="M129" s="3" t="s">
        <v>24</v>
      </c>
      <c r="N129" s="3" t="s">
        <v>17</v>
      </c>
    </row>
    <row r="130" spans="1:14" x14ac:dyDescent="0.3">
      <c r="A130" s="2" t="s">
        <v>6435</v>
      </c>
      <c r="B130" s="2" t="s">
        <v>1742</v>
      </c>
      <c r="C130" s="2" t="s">
        <v>18</v>
      </c>
      <c r="D130" s="2" t="s">
        <v>183</v>
      </c>
      <c r="E130" s="2" t="s">
        <v>14</v>
      </c>
      <c r="F130" s="2">
        <v>16</v>
      </c>
      <c r="G130" s="2">
        <v>17178</v>
      </c>
      <c r="H130" s="2">
        <v>1073.6199999999999</v>
      </c>
      <c r="I130" s="2" t="s">
        <v>1220</v>
      </c>
      <c r="J130" s="2">
        <v>250</v>
      </c>
      <c r="K130" s="2" t="s">
        <v>28</v>
      </c>
      <c r="L130" s="2" t="s">
        <v>48</v>
      </c>
      <c r="M130" s="2" t="s">
        <v>31</v>
      </c>
      <c r="N130" s="2" t="s">
        <v>17</v>
      </c>
    </row>
    <row r="131" spans="1:14" x14ac:dyDescent="0.3">
      <c r="A131" s="3" t="s">
        <v>9009</v>
      </c>
      <c r="B131" s="3" t="s">
        <v>2877</v>
      </c>
      <c r="C131" s="3" t="s">
        <v>42</v>
      </c>
      <c r="D131" s="3" t="s">
        <v>254</v>
      </c>
      <c r="E131" s="3" t="s">
        <v>22</v>
      </c>
      <c r="F131" s="3">
        <v>25</v>
      </c>
      <c r="G131" s="3">
        <v>108536.87</v>
      </c>
      <c r="H131" s="3">
        <v>4341.47</v>
      </c>
      <c r="I131" s="3" t="s">
        <v>2293</v>
      </c>
      <c r="J131" s="3">
        <v>161</v>
      </c>
      <c r="K131" s="3" t="s">
        <v>19</v>
      </c>
      <c r="L131" s="3" t="s">
        <v>30</v>
      </c>
      <c r="M131" s="3" t="s">
        <v>16</v>
      </c>
      <c r="N131" s="3" t="s">
        <v>32</v>
      </c>
    </row>
    <row r="132" spans="1:14" x14ac:dyDescent="0.3">
      <c r="A132" s="2" t="s">
        <v>4768</v>
      </c>
      <c r="B132" s="2" t="s">
        <v>1226</v>
      </c>
      <c r="C132" s="2" t="s">
        <v>33</v>
      </c>
      <c r="D132" s="2" t="s">
        <v>109</v>
      </c>
      <c r="E132" s="2" t="s">
        <v>39</v>
      </c>
      <c r="F132" s="2">
        <v>28</v>
      </c>
      <c r="G132" s="2">
        <v>41650.92</v>
      </c>
      <c r="H132" s="2">
        <v>1487.53</v>
      </c>
      <c r="I132" s="2" t="s">
        <v>7080</v>
      </c>
      <c r="J132" s="2">
        <v>101</v>
      </c>
      <c r="K132" s="2" t="s">
        <v>28</v>
      </c>
      <c r="L132" s="2" t="s">
        <v>47</v>
      </c>
      <c r="M132" s="2" t="s">
        <v>31</v>
      </c>
      <c r="N132" s="2" t="s">
        <v>32</v>
      </c>
    </row>
    <row r="133" spans="1:14" x14ac:dyDescent="0.3">
      <c r="A133" s="3" t="s">
        <v>9010</v>
      </c>
      <c r="B133" s="3" t="s">
        <v>563</v>
      </c>
      <c r="C133" s="3" t="s">
        <v>18</v>
      </c>
      <c r="D133" s="3" t="s">
        <v>314</v>
      </c>
      <c r="E133" s="3" t="s">
        <v>39</v>
      </c>
      <c r="F133" s="3">
        <v>27</v>
      </c>
      <c r="G133" s="3">
        <v>94302.399999999994</v>
      </c>
      <c r="H133" s="3">
        <v>3492.68</v>
      </c>
      <c r="I133" s="3" t="s">
        <v>169</v>
      </c>
      <c r="J133" s="3">
        <v>329</v>
      </c>
      <c r="K133" s="3" t="s">
        <v>28</v>
      </c>
      <c r="L133" s="3" t="s">
        <v>40</v>
      </c>
      <c r="M133" s="3" t="s">
        <v>24</v>
      </c>
      <c r="N133" s="3" t="s">
        <v>17</v>
      </c>
    </row>
    <row r="134" spans="1:14" x14ac:dyDescent="0.3">
      <c r="A134" s="2" t="s">
        <v>9011</v>
      </c>
      <c r="B134" s="2" t="s">
        <v>422</v>
      </c>
      <c r="C134" s="2" t="s">
        <v>42</v>
      </c>
      <c r="D134" s="2" t="s">
        <v>427</v>
      </c>
      <c r="E134" s="2" t="s">
        <v>29</v>
      </c>
      <c r="F134" s="2">
        <v>21</v>
      </c>
      <c r="G134" s="2">
        <v>149672.42000000001</v>
      </c>
      <c r="H134" s="2">
        <v>7127.26</v>
      </c>
      <c r="I134" s="2" t="s">
        <v>3698</v>
      </c>
      <c r="J134" s="2">
        <v>284</v>
      </c>
      <c r="K134" s="2" t="s">
        <v>27</v>
      </c>
      <c r="L134" s="2" t="s">
        <v>23</v>
      </c>
      <c r="M134" s="2" t="s">
        <v>16</v>
      </c>
      <c r="N134" s="2" t="s">
        <v>17</v>
      </c>
    </row>
    <row r="135" spans="1:14" x14ac:dyDescent="0.3">
      <c r="A135" s="3" t="s">
        <v>4493</v>
      </c>
      <c r="B135" s="3" t="s">
        <v>1637</v>
      </c>
      <c r="C135" s="3" t="s">
        <v>26</v>
      </c>
      <c r="D135" s="3" t="s">
        <v>324</v>
      </c>
      <c r="E135" s="3" t="s">
        <v>39</v>
      </c>
      <c r="F135" s="3">
        <v>3</v>
      </c>
      <c r="G135" s="3">
        <v>77511.55</v>
      </c>
      <c r="H135" s="3">
        <v>25837.18</v>
      </c>
      <c r="I135" s="3" t="s">
        <v>2132</v>
      </c>
      <c r="J135" s="3">
        <v>177</v>
      </c>
      <c r="K135" s="3" t="s">
        <v>28</v>
      </c>
      <c r="L135" s="3" t="s">
        <v>30</v>
      </c>
      <c r="M135" s="3" t="s">
        <v>24</v>
      </c>
      <c r="N135" s="3" t="s">
        <v>32</v>
      </c>
    </row>
    <row r="136" spans="1:14" x14ac:dyDescent="0.3">
      <c r="A136" s="2" t="s">
        <v>9012</v>
      </c>
      <c r="B136" s="2" t="s">
        <v>221</v>
      </c>
      <c r="C136" s="2" t="s">
        <v>18</v>
      </c>
      <c r="D136" s="2" t="s">
        <v>254</v>
      </c>
      <c r="E136" s="2" t="s">
        <v>22</v>
      </c>
      <c r="F136" s="2">
        <v>20</v>
      </c>
      <c r="G136" s="2">
        <v>14319.28</v>
      </c>
      <c r="H136" s="2">
        <v>715.96</v>
      </c>
      <c r="I136" s="2" t="s">
        <v>777</v>
      </c>
      <c r="J136" s="2">
        <v>88</v>
      </c>
      <c r="K136" s="2" t="s">
        <v>28</v>
      </c>
      <c r="L136" s="2" t="s">
        <v>48</v>
      </c>
      <c r="M136" s="2" t="s">
        <v>31</v>
      </c>
      <c r="N136" s="2" t="s">
        <v>25</v>
      </c>
    </row>
    <row r="137" spans="1:14" x14ac:dyDescent="0.3">
      <c r="A137" s="3" t="s">
        <v>9013</v>
      </c>
      <c r="B137" s="3" t="s">
        <v>1797</v>
      </c>
      <c r="C137" s="3" t="s">
        <v>33</v>
      </c>
      <c r="D137" s="3" t="s">
        <v>443</v>
      </c>
      <c r="E137" s="3" t="s">
        <v>22</v>
      </c>
      <c r="F137" s="3">
        <v>26</v>
      </c>
      <c r="G137" s="3">
        <v>189160.91</v>
      </c>
      <c r="H137" s="3">
        <v>7275.42</v>
      </c>
      <c r="I137" s="3" t="s">
        <v>3802</v>
      </c>
      <c r="J137" s="3">
        <v>145</v>
      </c>
      <c r="K137" s="3" t="s">
        <v>28</v>
      </c>
      <c r="L137" s="3" t="s">
        <v>48</v>
      </c>
      <c r="M137" s="3" t="s">
        <v>16</v>
      </c>
      <c r="N137" s="3" t="s">
        <v>32</v>
      </c>
    </row>
    <row r="138" spans="1:14" x14ac:dyDescent="0.3">
      <c r="A138" s="2" t="s">
        <v>9014</v>
      </c>
      <c r="B138" s="2" t="s">
        <v>863</v>
      </c>
      <c r="C138" s="2" t="s">
        <v>42</v>
      </c>
      <c r="D138" s="2" t="s">
        <v>160</v>
      </c>
      <c r="E138" s="2" t="s">
        <v>29</v>
      </c>
      <c r="F138" s="2">
        <v>8</v>
      </c>
      <c r="G138" s="2">
        <v>44345.61</v>
      </c>
      <c r="H138" s="2">
        <v>5543.2</v>
      </c>
      <c r="I138" s="2" t="s">
        <v>1186</v>
      </c>
      <c r="J138" s="2">
        <v>133</v>
      </c>
      <c r="K138" s="2" t="s">
        <v>28</v>
      </c>
      <c r="L138" s="2" t="s">
        <v>40</v>
      </c>
      <c r="M138" s="2" t="s">
        <v>31</v>
      </c>
      <c r="N138" s="2" t="s">
        <v>32</v>
      </c>
    </row>
    <row r="139" spans="1:14" x14ac:dyDescent="0.3">
      <c r="A139" s="3" t="s">
        <v>9015</v>
      </c>
      <c r="B139" s="3" t="s">
        <v>2124</v>
      </c>
      <c r="C139" s="3" t="s">
        <v>42</v>
      </c>
      <c r="D139" s="3" t="s">
        <v>738</v>
      </c>
      <c r="E139" s="3" t="s">
        <v>22</v>
      </c>
      <c r="F139" s="3">
        <v>29</v>
      </c>
      <c r="G139" s="3">
        <v>104348.3</v>
      </c>
      <c r="H139" s="3">
        <v>3598.22</v>
      </c>
      <c r="I139" s="3" t="s">
        <v>4757</v>
      </c>
      <c r="J139" s="3">
        <v>51</v>
      </c>
      <c r="K139" s="3" t="s">
        <v>13</v>
      </c>
      <c r="L139" s="3" t="s">
        <v>47</v>
      </c>
      <c r="M139" s="3" t="s">
        <v>16</v>
      </c>
      <c r="N139" s="3" t="s">
        <v>25</v>
      </c>
    </row>
    <row r="140" spans="1:14" x14ac:dyDescent="0.3">
      <c r="A140" s="2" t="s">
        <v>8193</v>
      </c>
      <c r="B140" s="2" t="s">
        <v>450</v>
      </c>
      <c r="C140" s="2" t="s">
        <v>26</v>
      </c>
      <c r="D140" s="2" t="s">
        <v>215</v>
      </c>
      <c r="E140" s="2" t="s">
        <v>14</v>
      </c>
      <c r="F140" s="2">
        <v>13</v>
      </c>
      <c r="G140" s="2">
        <v>104452.75</v>
      </c>
      <c r="H140" s="2">
        <v>8034.83</v>
      </c>
      <c r="I140" s="2" t="s">
        <v>776</v>
      </c>
      <c r="J140" s="2">
        <v>90</v>
      </c>
      <c r="K140" s="2" t="s">
        <v>19</v>
      </c>
      <c r="L140" s="2" t="s">
        <v>30</v>
      </c>
      <c r="M140" s="2" t="s">
        <v>16</v>
      </c>
      <c r="N140" s="2" t="s">
        <v>25</v>
      </c>
    </row>
    <row r="141" spans="1:14" x14ac:dyDescent="0.3">
      <c r="A141" s="3" t="s">
        <v>8746</v>
      </c>
      <c r="B141" s="3" t="s">
        <v>339</v>
      </c>
      <c r="C141" s="3" t="s">
        <v>26</v>
      </c>
      <c r="D141" s="3" t="s">
        <v>183</v>
      </c>
      <c r="E141" s="3" t="s">
        <v>14</v>
      </c>
      <c r="F141" s="3">
        <v>8</v>
      </c>
      <c r="G141" s="3">
        <v>44878.63</v>
      </c>
      <c r="H141" s="3">
        <v>5609.83</v>
      </c>
      <c r="I141" s="3" t="s">
        <v>1507</v>
      </c>
      <c r="J141" s="3">
        <v>127</v>
      </c>
      <c r="K141" s="3" t="s">
        <v>13</v>
      </c>
      <c r="L141" s="3" t="s">
        <v>40</v>
      </c>
      <c r="M141" s="3" t="s">
        <v>31</v>
      </c>
      <c r="N141" s="3" t="s">
        <v>32</v>
      </c>
    </row>
    <row r="142" spans="1:14" x14ac:dyDescent="0.3">
      <c r="A142" s="2" t="s">
        <v>9016</v>
      </c>
      <c r="B142" s="2" t="s">
        <v>231</v>
      </c>
      <c r="C142" s="2" t="s">
        <v>18</v>
      </c>
      <c r="D142" s="2" t="s">
        <v>95</v>
      </c>
      <c r="E142" s="2" t="s">
        <v>14</v>
      </c>
      <c r="F142" s="2">
        <v>19</v>
      </c>
      <c r="G142" s="2">
        <v>43540.82</v>
      </c>
      <c r="H142" s="2">
        <v>2291.62</v>
      </c>
      <c r="I142" s="2" t="s">
        <v>3850</v>
      </c>
      <c r="J142" s="2">
        <v>71</v>
      </c>
      <c r="K142" s="2" t="s">
        <v>21</v>
      </c>
      <c r="L142" s="2" t="s">
        <v>15</v>
      </c>
      <c r="M142" s="2" t="s">
        <v>31</v>
      </c>
      <c r="N142" s="2" t="s">
        <v>25</v>
      </c>
    </row>
    <row r="143" spans="1:14" x14ac:dyDescent="0.3">
      <c r="A143" s="3" t="s">
        <v>9017</v>
      </c>
      <c r="B143" s="3" t="s">
        <v>3938</v>
      </c>
      <c r="C143" s="3" t="s">
        <v>33</v>
      </c>
      <c r="D143" s="3" t="s">
        <v>324</v>
      </c>
      <c r="E143" s="3" t="s">
        <v>39</v>
      </c>
      <c r="F143" s="3">
        <v>29</v>
      </c>
      <c r="G143" s="3">
        <v>23003.26</v>
      </c>
      <c r="H143" s="3">
        <v>793.22</v>
      </c>
      <c r="I143" s="3" t="s">
        <v>1221</v>
      </c>
      <c r="J143" s="3">
        <v>245</v>
      </c>
      <c r="K143" s="3" t="s">
        <v>28</v>
      </c>
      <c r="L143" s="3" t="s">
        <v>47</v>
      </c>
      <c r="M143" s="3" t="s">
        <v>31</v>
      </c>
      <c r="N143" s="3" t="s">
        <v>17</v>
      </c>
    </row>
    <row r="144" spans="1:14" x14ac:dyDescent="0.3">
      <c r="A144" s="2" t="s">
        <v>230</v>
      </c>
      <c r="B144" s="2" t="s">
        <v>450</v>
      </c>
      <c r="C144" s="2" t="s">
        <v>26</v>
      </c>
      <c r="D144" s="2" t="s">
        <v>324</v>
      </c>
      <c r="E144" s="2" t="s">
        <v>39</v>
      </c>
      <c r="F144" s="2">
        <v>2</v>
      </c>
      <c r="G144" s="2">
        <v>75741.69</v>
      </c>
      <c r="H144" s="2">
        <v>37870.85</v>
      </c>
      <c r="I144" s="2" t="s">
        <v>515</v>
      </c>
      <c r="J144" s="2">
        <v>56</v>
      </c>
      <c r="K144" s="2" t="s">
        <v>19</v>
      </c>
      <c r="L144" s="2" t="s">
        <v>15</v>
      </c>
      <c r="M144" s="2" t="s">
        <v>24</v>
      </c>
      <c r="N144" s="2" t="s">
        <v>25</v>
      </c>
    </row>
    <row r="145" spans="1:14" x14ac:dyDescent="0.3">
      <c r="A145" s="3" t="s">
        <v>9018</v>
      </c>
      <c r="B145" s="3" t="s">
        <v>512</v>
      </c>
      <c r="C145" s="3" t="s">
        <v>33</v>
      </c>
      <c r="D145" s="3" t="s">
        <v>148</v>
      </c>
      <c r="E145" s="3" t="s">
        <v>29</v>
      </c>
      <c r="F145" s="3">
        <v>25</v>
      </c>
      <c r="G145" s="3">
        <v>16702.689999999999</v>
      </c>
      <c r="H145" s="3">
        <v>668.11</v>
      </c>
      <c r="I145" s="3" t="s">
        <v>2386</v>
      </c>
      <c r="J145" s="3">
        <v>278</v>
      </c>
      <c r="K145" s="3" t="s">
        <v>13</v>
      </c>
      <c r="L145" s="3" t="s">
        <v>15</v>
      </c>
      <c r="M145" s="3" t="s">
        <v>31</v>
      </c>
      <c r="N145" s="3" t="s">
        <v>17</v>
      </c>
    </row>
    <row r="146" spans="1:14" x14ac:dyDescent="0.3">
      <c r="A146" s="2" t="s">
        <v>9019</v>
      </c>
      <c r="B146" s="2" t="s">
        <v>995</v>
      </c>
      <c r="C146" s="2" t="s">
        <v>18</v>
      </c>
      <c r="D146" s="2" t="s">
        <v>283</v>
      </c>
      <c r="E146" s="2" t="s">
        <v>22</v>
      </c>
      <c r="F146" s="2">
        <v>24</v>
      </c>
      <c r="G146" s="2">
        <v>6199.76</v>
      </c>
      <c r="H146" s="2">
        <v>258.32</v>
      </c>
      <c r="I146" s="2" t="s">
        <v>1219</v>
      </c>
      <c r="J146" s="2">
        <v>251</v>
      </c>
      <c r="K146" s="2" t="s">
        <v>21</v>
      </c>
      <c r="L146" s="2" t="s">
        <v>23</v>
      </c>
      <c r="M146" s="2" t="s">
        <v>41</v>
      </c>
      <c r="N146" s="2" t="s">
        <v>17</v>
      </c>
    </row>
    <row r="147" spans="1:14" x14ac:dyDescent="0.3">
      <c r="A147" s="3" t="s">
        <v>9020</v>
      </c>
      <c r="B147" s="3" t="s">
        <v>502</v>
      </c>
      <c r="C147" s="3" t="s">
        <v>26</v>
      </c>
      <c r="D147" s="3" t="s">
        <v>834</v>
      </c>
      <c r="E147" s="3" t="s">
        <v>29</v>
      </c>
      <c r="F147" s="3">
        <v>21</v>
      </c>
      <c r="G147" s="3">
        <v>186135.57</v>
      </c>
      <c r="H147" s="3">
        <v>8863.6</v>
      </c>
      <c r="I147" s="3" t="s">
        <v>2013</v>
      </c>
      <c r="J147" s="3">
        <v>160</v>
      </c>
      <c r="K147" s="3" t="s">
        <v>21</v>
      </c>
      <c r="L147" s="3" t="s">
        <v>23</v>
      </c>
      <c r="M147" s="3" t="s">
        <v>16</v>
      </c>
      <c r="N147" s="3" t="s">
        <v>32</v>
      </c>
    </row>
    <row r="148" spans="1:14" x14ac:dyDescent="0.3">
      <c r="A148" s="2" t="s">
        <v>9021</v>
      </c>
      <c r="B148" s="2" t="s">
        <v>967</v>
      </c>
      <c r="C148" s="2" t="s">
        <v>26</v>
      </c>
      <c r="D148" s="2" t="s">
        <v>324</v>
      </c>
      <c r="E148" s="2" t="s">
        <v>39</v>
      </c>
      <c r="F148" s="2">
        <v>27</v>
      </c>
      <c r="G148" s="2">
        <v>114624.32000000001</v>
      </c>
      <c r="H148" s="2">
        <v>4245.3500000000004</v>
      </c>
      <c r="I148" s="2" t="s">
        <v>975</v>
      </c>
      <c r="J148" s="2">
        <v>69</v>
      </c>
      <c r="K148" s="2" t="s">
        <v>27</v>
      </c>
      <c r="L148" s="2" t="s">
        <v>43</v>
      </c>
      <c r="M148" s="2" t="s">
        <v>16</v>
      </c>
      <c r="N148" s="2" t="s">
        <v>25</v>
      </c>
    </row>
    <row r="149" spans="1:14" x14ac:dyDescent="0.3">
      <c r="A149" s="3" t="s">
        <v>9022</v>
      </c>
      <c r="B149" s="3" t="s">
        <v>642</v>
      </c>
      <c r="C149" s="3" t="s">
        <v>26</v>
      </c>
      <c r="D149" s="3" t="s">
        <v>443</v>
      </c>
      <c r="E149" s="3" t="s">
        <v>22</v>
      </c>
      <c r="F149" s="3">
        <v>8</v>
      </c>
      <c r="G149" s="3">
        <v>160039.17000000001</v>
      </c>
      <c r="H149" s="3">
        <v>20004.900000000001</v>
      </c>
      <c r="I149" s="3" t="s">
        <v>4858</v>
      </c>
      <c r="J149" s="3">
        <v>285</v>
      </c>
      <c r="K149" s="3" t="s">
        <v>19</v>
      </c>
      <c r="L149" s="3" t="s">
        <v>15</v>
      </c>
      <c r="M149" s="3" t="s">
        <v>16</v>
      </c>
      <c r="N149" s="3" t="s">
        <v>17</v>
      </c>
    </row>
    <row r="150" spans="1:14" x14ac:dyDescent="0.3">
      <c r="A150" s="2" t="s">
        <v>9023</v>
      </c>
      <c r="B150" s="2" t="s">
        <v>1273</v>
      </c>
      <c r="C150" s="2" t="s">
        <v>18</v>
      </c>
      <c r="D150" s="2" t="s">
        <v>254</v>
      </c>
      <c r="E150" s="2" t="s">
        <v>22</v>
      </c>
      <c r="F150" s="2">
        <v>23</v>
      </c>
      <c r="G150" s="2">
        <v>148855.54999999999</v>
      </c>
      <c r="H150" s="2">
        <v>6471.98</v>
      </c>
      <c r="I150" s="2" t="s">
        <v>5475</v>
      </c>
      <c r="J150" s="2">
        <v>94</v>
      </c>
      <c r="K150" s="2" t="s">
        <v>21</v>
      </c>
      <c r="L150" s="2" t="s">
        <v>40</v>
      </c>
      <c r="M150" s="2" t="s">
        <v>16</v>
      </c>
      <c r="N150" s="2" t="s">
        <v>32</v>
      </c>
    </row>
    <row r="151" spans="1:14" x14ac:dyDescent="0.3">
      <c r="A151" s="3" t="s">
        <v>9024</v>
      </c>
      <c r="B151" s="3" t="s">
        <v>2622</v>
      </c>
      <c r="C151" s="3" t="s">
        <v>18</v>
      </c>
      <c r="D151" s="3" t="s">
        <v>738</v>
      </c>
      <c r="E151" s="3" t="s">
        <v>22</v>
      </c>
      <c r="F151" s="3">
        <v>13</v>
      </c>
      <c r="G151" s="3">
        <v>41343.81</v>
      </c>
      <c r="H151" s="3">
        <v>3180.29</v>
      </c>
      <c r="I151" s="3" t="s">
        <v>426</v>
      </c>
      <c r="J151" s="3">
        <v>254</v>
      </c>
      <c r="K151" s="3" t="s">
        <v>19</v>
      </c>
      <c r="L151" s="3" t="s">
        <v>48</v>
      </c>
      <c r="M151" s="3" t="s">
        <v>31</v>
      </c>
      <c r="N151" s="3" t="s">
        <v>17</v>
      </c>
    </row>
    <row r="152" spans="1:14" x14ac:dyDescent="0.3">
      <c r="A152" s="2" t="s">
        <v>7782</v>
      </c>
      <c r="B152" s="2" t="s">
        <v>799</v>
      </c>
      <c r="C152" s="2" t="s">
        <v>26</v>
      </c>
      <c r="D152" s="2" t="s">
        <v>215</v>
      </c>
      <c r="E152" s="2" t="s">
        <v>14</v>
      </c>
      <c r="F152" s="2">
        <v>5</v>
      </c>
      <c r="G152" s="2">
        <v>146985.06</v>
      </c>
      <c r="H152" s="2">
        <v>29397.01</v>
      </c>
      <c r="I152" s="2" t="s">
        <v>2671</v>
      </c>
      <c r="J152" s="2">
        <v>8</v>
      </c>
      <c r="K152" s="2" t="s">
        <v>19</v>
      </c>
      <c r="L152" s="2" t="s">
        <v>43</v>
      </c>
      <c r="M152" s="2" t="s">
        <v>16</v>
      </c>
      <c r="N152" s="2" t="s">
        <v>25</v>
      </c>
    </row>
    <row r="153" spans="1:14" x14ac:dyDescent="0.3">
      <c r="A153" s="3" t="s">
        <v>9025</v>
      </c>
      <c r="B153" s="3" t="s">
        <v>1517</v>
      </c>
      <c r="C153" s="3" t="s">
        <v>33</v>
      </c>
      <c r="D153" s="3" t="s">
        <v>834</v>
      </c>
      <c r="E153" s="3" t="s">
        <v>29</v>
      </c>
      <c r="F153" s="3">
        <v>5</v>
      </c>
      <c r="G153" s="3">
        <v>34362.519999999997</v>
      </c>
      <c r="H153" s="3">
        <v>6872.5</v>
      </c>
      <c r="I153" s="3" t="s">
        <v>948</v>
      </c>
      <c r="J153" s="3">
        <v>73</v>
      </c>
      <c r="K153" s="3" t="s">
        <v>21</v>
      </c>
      <c r="L153" s="3" t="s">
        <v>15</v>
      </c>
      <c r="M153" s="3" t="s">
        <v>31</v>
      </c>
      <c r="N153" s="3" t="s">
        <v>25</v>
      </c>
    </row>
    <row r="154" spans="1:14" x14ac:dyDescent="0.3">
      <c r="A154" s="2" t="s">
        <v>9026</v>
      </c>
      <c r="B154" s="2" t="s">
        <v>586</v>
      </c>
      <c r="C154" s="2" t="s">
        <v>18</v>
      </c>
      <c r="D154" s="2" t="s">
        <v>95</v>
      </c>
      <c r="E154" s="2" t="s">
        <v>14</v>
      </c>
      <c r="F154" s="2">
        <v>5</v>
      </c>
      <c r="G154" s="2">
        <v>74271.570000000007</v>
      </c>
      <c r="H154" s="2">
        <v>14854.31</v>
      </c>
      <c r="I154" s="2" t="s">
        <v>1600</v>
      </c>
      <c r="J154" s="2">
        <v>170</v>
      </c>
      <c r="K154" s="2" t="s">
        <v>28</v>
      </c>
      <c r="L154" s="2" t="s">
        <v>30</v>
      </c>
      <c r="M154" s="2" t="s">
        <v>24</v>
      </c>
      <c r="N154" s="2" t="s">
        <v>32</v>
      </c>
    </row>
    <row r="155" spans="1:14" x14ac:dyDescent="0.3">
      <c r="A155" s="3" t="s">
        <v>9027</v>
      </c>
      <c r="B155" s="3" t="s">
        <v>1822</v>
      </c>
      <c r="C155" s="3" t="s">
        <v>42</v>
      </c>
      <c r="D155" s="3" t="s">
        <v>712</v>
      </c>
      <c r="E155" s="3" t="s">
        <v>14</v>
      </c>
      <c r="F155" s="3">
        <v>23</v>
      </c>
      <c r="G155" s="3">
        <v>133551.04999999999</v>
      </c>
      <c r="H155" s="3">
        <v>5806.57</v>
      </c>
      <c r="I155" s="3" t="s">
        <v>381</v>
      </c>
      <c r="J155" s="3">
        <v>182</v>
      </c>
      <c r="K155" s="3" t="s">
        <v>28</v>
      </c>
      <c r="L155" s="3" t="s">
        <v>15</v>
      </c>
      <c r="M155" s="3" t="s">
        <v>16</v>
      </c>
      <c r="N155" s="3" t="s">
        <v>17</v>
      </c>
    </row>
    <row r="156" spans="1:14" x14ac:dyDescent="0.3">
      <c r="A156" s="2" t="s">
        <v>9028</v>
      </c>
      <c r="B156" s="2" t="s">
        <v>1492</v>
      </c>
      <c r="C156" s="2" t="s">
        <v>26</v>
      </c>
      <c r="D156" s="2" t="s">
        <v>427</v>
      </c>
      <c r="E156" s="2" t="s">
        <v>29</v>
      </c>
      <c r="F156" s="2">
        <v>13</v>
      </c>
      <c r="G156" s="2">
        <v>170327.21</v>
      </c>
      <c r="H156" s="2">
        <v>13102.09</v>
      </c>
      <c r="I156" s="2" t="s">
        <v>1079</v>
      </c>
      <c r="J156" s="2">
        <v>223</v>
      </c>
      <c r="K156" s="2" t="s">
        <v>21</v>
      </c>
      <c r="L156" s="2" t="s">
        <v>43</v>
      </c>
      <c r="M156" s="2" t="s">
        <v>16</v>
      </c>
      <c r="N156" s="2" t="s">
        <v>17</v>
      </c>
    </row>
    <row r="157" spans="1:14" x14ac:dyDescent="0.3">
      <c r="A157" s="3" t="s">
        <v>9029</v>
      </c>
      <c r="B157" s="3" t="s">
        <v>1918</v>
      </c>
      <c r="C157" s="3" t="s">
        <v>33</v>
      </c>
      <c r="D157" s="3" t="s">
        <v>225</v>
      </c>
      <c r="E157" s="3" t="s">
        <v>39</v>
      </c>
      <c r="F157" s="3">
        <v>8</v>
      </c>
      <c r="G157" s="3">
        <v>60479.77</v>
      </c>
      <c r="H157" s="3">
        <v>7559.97</v>
      </c>
      <c r="I157" s="3" t="s">
        <v>313</v>
      </c>
      <c r="J157" s="3">
        <v>64</v>
      </c>
      <c r="K157" s="3" t="s">
        <v>27</v>
      </c>
      <c r="L157" s="3" t="s">
        <v>30</v>
      </c>
      <c r="M157" s="3" t="s">
        <v>24</v>
      </c>
      <c r="N157" s="3" t="s">
        <v>25</v>
      </c>
    </row>
    <row r="158" spans="1:14" x14ac:dyDescent="0.3">
      <c r="A158" s="2" t="s">
        <v>9030</v>
      </c>
      <c r="B158" s="2" t="s">
        <v>90</v>
      </c>
      <c r="C158" s="2" t="s">
        <v>42</v>
      </c>
      <c r="D158" s="2" t="s">
        <v>160</v>
      </c>
      <c r="E158" s="2" t="s">
        <v>29</v>
      </c>
      <c r="F158" s="2">
        <v>7</v>
      </c>
      <c r="G158" s="2">
        <v>39846.53</v>
      </c>
      <c r="H158" s="2">
        <v>5692.36</v>
      </c>
      <c r="I158" s="2" t="s">
        <v>434</v>
      </c>
      <c r="J158" s="2">
        <v>68</v>
      </c>
      <c r="K158" s="2" t="s">
        <v>21</v>
      </c>
      <c r="L158" s="2" t="s">
        <v>30</v>
      </c>
      <c r="M158" s="2" t="s">
        <v>31</v>
      </c>
      <c r="N158" s="2" t="s">
        <v>25</v>
      </c>
    </row>
    <row r="159" spans="1:14" x14ac:dyDescent="0.3">
      <c r="A159" s="3" t="s">
        <v>9031</v>
      </c>
      <c r="B159" s="3" t="s">
        <v>269</v>
      </c>
      <c r="C159" s="3" t="s">
        <v>18</v>
      </c>
      <c r="D159" s="3" t="s">
        <v>334</v>
      </c>
      <c r="E159" s="3" t="s">
        <v>29</v>
      </c>
      <c r="F159" s="3">
        <v>21</v>
      </c>
      <c r="G159" s="3">
        <v>85005.17</v>
      </c>
      <c r="H159" s="3">
        <v>4047.87</v>
      </c>
      <c r="I159" s="3" t="s">
        <v>3919</v>
      </c>
      <c r="J159" s="3">
        <v>320</v>
      </c>
      <c r="K159" s="3" t="s">
        <v>27</v>
      </c>
      <c r="L159" s="3" t="s">
        <v>43</v>
      </c>
      <c r="M159" s="3" t="s">
        <v>24</v>
      </c>
      <c r="N159" s="3" t="s">
        <v>17</v>
      </c>
    </row>
    <row r="160" spans="1:14" x14ac:dyDescent="0.3">
      <c r="A160" s="2" t="s">
        <v>7021</v>
      </c>
      <c r="B160" s="2" t="s">
        <v>309</v>
      </c>
      <c r="C160" s="2" t="s">
        <v>33</v>
      </c>
      <c r="D160" s="2" t="s">
        <v>95</v>
      </c>
      <c r="E160" s="2" t="s">
        <v>14</v>
      </c>
      <c r="F160" s="2">
        <v>16</v>
      </c>
      <c r="G160" s="2">
        <v>115012.58</v>
      </c>
      <c r="H160" s="2">
        <v>7188.29</v>
      </c>
      <c r="I160" s="2" t="s">
        <v>3186</v>
      </c>
      <c r="J160" s="2">
        <v>187</v>
      </c>
      <c r="K160" s="2" t="s">
        <v>19</v>
      </c>
      <c r="L160" s="2" t="s">
        <v>23</v>
      </c>
      <c r="M160" s="2" t="s">
        <v>16</v>
      </c>
      <c r="N160" s="2" t="s">
        <v>17</v>
      </c>
    </row>
    <row r="161" spans="1:14" x14ac:dyDescent="0.3">
      <c r="A161" s="3" t="s">
        <v>9032</v>
      </c>
      <c r="B161" s="3" t="s">
        <v>725</v>
      </c>
      <c r="C161" s="3" t="s">
        <v>18</v>
      </c>
      <c r="D161" s="3" t="s">
        <v>834</v>
      </c>
      <c r="E161" s="3" t="s">
        <v>29</v>
      </c>
      <c r="F161" s="3">
        <v>4</v>
      </c>
      <c r="G161" s="3">
        <v>130104.42</v>
      </c>
      <c r="H161" s="3">
        <v>32526.1</v>
      </c>
      <c r="I161" s="3" t="s">
        <v>719</v>
      </c>
      <c r="J161" s="3">
        <v>135</v>
      </c>
      <c r="K161" s="3" t="s">
        <v>28</v>
      </c>
      <c r="L161" s="3" t="s">
        <v>40</v>
      </c>
      <c r="M161" s="3" t="s">
        <v>16</v>
      </c>
      <c r="N161" s="3" t="s">
        <v>32</v>
      </c>
    </row>
    <row r="162" spans="1:14" x14ac:dyDescent="0.3">
      <c r="A162" s="2" t="s">
        <v>9033</v>
      </c>
      <c r="B162" s="2" t="s">
        <v>2141</v>
      </c>
      <c r="C162" s="2" t="s">
        <v>18</v>
      </c>
      <c r="D162" s="2" t="s">
        <v>160</v>
      </c>
      <c r="E162" s="2" t="s">
        <v>29</v>
      </c>
      <c r="F162" s="2">
        <v>14</v>
      </c>
      <c r="G162" s="2">
        <v>121689.19</v>
      </c>
      <c r="H162" s="2">
        <v>8692.09</v>
      </c>
      <c r="I162" s="2" t="s">
        <v>1282</v>
      </c>
      <c r="J162" s="2">
        <v>316</v>
      </c>
      <c r="K162" s="2" t="s">
        <v>27</v>
      </c>
      <c r="L162" s="2" t="s">
        <v>30</v>
      </c>
      <c r="M162" s="2" t="s">
        <v>16</v>
      </c>
      <c r="N162" s="2" t="s">
        <v>17</v>
      </c>
    </row>
    <row r="163" spans="1:14" x14ac:dyDescent="0.3">
      <c r="A163" s="3" t="s">
        <v>9034</v>
      </c>
      <c r="B163" s="3" t="s">
        <v>1152</v>
      </c>
      <c r="C163" s="3" t="s">
        <v>18</v>
      </c>
      <c r="D163" s="3" t="s">
        <v>254</v>
      </c>
      <c r="E163" s="3" t="s">
        <v>22</v>
      </c>
      <c r="F163" s="3">
        <v>9</v>
      </c>
      <c r="G163" s="3">
        <v>198970.3</v>
      </c>
      <c r="H163" s="3">
        <v>22107.81</v>
      </c>
      <c r="I163" s="3" t="s">
        <v>1507</v>
      </c>
      <c r="J163" s="3">
        <v>127</v>
      </c>
      <c r="K163" s="3" t="s">
        <v>27</v>
      </c>
      <c r="L163" s="3" t="s">
        <v>40</v>
      </c>
      <c r="M163" s="3" t="s">
        <v>16</v>
      </c>
      <c r="N163" s="3" t="s">
        <v>32</v>
      </c>
    </row>
    <row r="164" spans="1:14" x14ac:dyDescent="0.3">
      <c r="A164" s="2" t="s">
        <v>9035</v>
      </c>
      <c r="B164" s="2" t="s">
        <v>1371</v>
      </c>
      <c r="C164" s="2" t="s">
        <v>18</v>
      </c>
      <c r="D164" s="2" t="s">
        <v>193</v>
      </c>
      <c r="E164" s="2" t="s">
        <v>39</v>
      </c>
      <c r="F164" s="2">
        <v>10</v>
      </c>
      <c r="G164" s="2">
        <v>189683.11</v>
      </c>
      <c r="H164" s="2">
        <v>18968.310000000001</v>
      </c>
      <c r="I164" s="2" t="s">
        <v>1689</v>
      </c>
      <c r="J164" s="2">
        <v>299</v>
      </c>
      <c r="K164" s="2" t="s">
        <v>21</v>
      </c>
      <c r="L164" s="2" t="s">
        <v>43</v>
      </c>
      <c r="M164" s="2" t="s">
        <v>16</v>
      </c>
      <c r="N164" s="2" t="s">
        <v>17</v>
      </c>
    </row>
    <row r="165" spans="1:14" x14ac:dyDescent="0.3">
      <c r="A165" s="3" t="s">
        <v>9036</v>
      </c>
      <c r="B165" s="3" t="s">
        <v>1730</v>
      </c>
      <c r="C165" s="3" t="s">
        <v>42</v>
      </c>
      <c r="D165" s="3" t="s">
        <v>254</v>
      </c>
      <c r="E165" s="3" t="s">
        <v>22</v>
      </c>
      <c r="F165" s="3">
        <v>11</v>
      </c>
      <c r="G165" s="3">
        <v>130340.79</v>
      </c>
      <c r="H165" s="3">
        <v>11849.16</v>
      </c>
      <c r="I165" s="3" t="s">
        <v>213</v>
      </c>
      <c r="J165" s="3">
        <v>87</v>
      </c>
      <c r="K165" s="3" t="s">
        <v>21</v>
      </c>
      <c r="L165" s="3" t="s">
        <v>48</v>
      </c>
      <c r="M165" s="3" t="s">
        <v>16</v>
      </c>
      <c r="N165" s="3" t="s">
        <v>25</v>
      </c>
    </row>
    <row r="166" spans="1:14" x14ac:dyDescent="0.3">
      <c r="A166" s="2" t="s">
        <v>9037</v>
      </c>
      <c r="B166" s="2" t="s">
        <v>967</v>
      </c>
      <c r="C166" s="2" t="s">
        <v>26</v>
      </c>
      <c r="D166" s="2" t="s">
        <v>314</v>
      </c>
      <c r="E166" s="2" t="s">
        <v>39</v>
      </c>
      <c r="F166" s="2">
        <v>9</v>
      </c>
      <c r="G166" s="2">
        <v>133198.79</v>
      </c>
      <c r="H166" s="2">
        <v>14799.87</v>
      </c>
      <c r="I166" s="2" t="s">
        <v>1185</v>
      </c>
      <c r="J166" s="2">
        <v>134</v>
      </c>
      <c r="K166" s="2" t="s">
        <v>21</v>
      </c>
      <c r="L166" s="2" t="s">
        <v>47</v>
      </c>
      <c r="M166" s="2" t="s">
        <v>16</v>
      </c>
      <c r="N166" s="2" t="s">
        <v>32</v>
      </c>
    </row>
    <row r="167" spans="1:14" x14ac:dyDescent="0.3">
      <c r="A167" s="3" t="s">
        <v>9038</v>
      </c>
      <c r="B167" s="3" t="s">
        <v>2305</v>
      </c>
      <c r="C167" s="3" t="s">
        <v>33</v>
      </c>
      <c r="D167" s="3" t="s">
        <v>193</v>
      </c>
      <c r="E167" s="3" t="s">
        <v>39</v>
      </c>
      <c r="F167" s="3">
        <v>16</v>
      </c>
      <c r="G167" s="3">
        <v>9023.39</v>
      </c>
      <c r="H167" s="3">
        <v>563.96</v>
      </c>
      <c r="I167" s="3" t="s">
        <v>1443</v>
      </c>
      <c r="J167" s="3">
        <v>172</v>
      </c>
      <c r="K167" s="3" t="s">
        <v>13</v>
      </c>
      <c r="L167" s="3" t="s">
        <v>48</v>
      </c>
      <c r="M167" s="3" t="s">
        <v>41</v>
      </c>
      <c r="N167" s="3" t="s">
        <v>32</v>
      </c>
    </row>
    <row r="168" spans="1:14" x14ac:dyDescent="0.3">
      <c r="A168" s="2" t="s">
        <v>9039</v>
      </c>
      <c r="B168" s="2" t="s">
        <v>651</v>
      </c>
      <c r="C168" s="2" t="s">
        <v>26</v>
      </c>
      <c r="D168" s="2" t="s">
        <v>171</v>
      </c>
      <c r="E168" s="2" t="s">
        <v>14</v>
      </c>
      <c r="F168" s="2">
        <v>8</v>
      </c>
      <c r="G168" s="2">
        <v>158459.47</v>
      </c>
      <c r="H168" s="2">
        <v>19807.43</v>
      </c>
      <c r="I168" s="2" t="s">
        <v>415</v>
      </c>
      <c r="J168" s="2">
        <v>289</v>
      </c>
      <c r="K168" s="2" t="s">
        <v>27</v>
      </c>
      <c r="L168" s="2" t="s">
        <v>23</v>
      </c>
      <c r="M168" s="2" t="s">
        <v>16</v>
      </c>
      <c r="N168" s="2" t="s">
        <v>17</v>
      </c>
    </row>
    <row r="169" spans="1:14" x14ac:dyDescent="0.3">
      <c r="A169" s="3" t="s">
        <v>9040</v>
      </c>
      <c r="B169" s="3" t="s">
        <v>512</v>
      </c>
      <c r="C169" s="3" t="s">
        <v>18</v>
      </c>
      <c r="D169" s="3" t="s">
        <v>225</v>
      </c>
      <c r="E169" s="3" t="s">
        <v>39</v>
      </c>
      <c r="F169" s="3">
        <v>8</v>
      </c>
      <c r="G169" s="3">
        <v>158617.54999999999</v>
      </c>
      <c r="H169" s="3">
        <v>19827.189999999999</v>
      </c>
      <c r="I169" s="3" t="s">
        <v>3707</v>
      </c>
      <c r="J169" s="3">
        <v>156</v>
      </c>
      <c r="K169" s="3" t="s">
        <v>19</v>
      </c>
      <c r="L169" s="3" t="s">
        <v>15</v>
      </c>
      <c r="M169" s="3" t="s">
        <v>16</v>
      </c>
      <c r="N169" s="3" t="s">
        <v>32</v>
      </c>
    </row>
    <row r="170" spans="1:14" x14ac:dyDescent="0.3">
      <c r="A170" s="2" t="s">
        <v>9041</v>
      </c>
      <c r="B170" s="2" t="s">
        <v>249</v>
      </c>
      <c r="C170" s="2" t="s">
        <v>33</v>
      </c>
      <c r="D170" s="2" t="s">
        <v>712</v>
      </c>
      <c r="E170" s="2" t="s">
        <v>14</v>
      </c>
      <c r="F170" s="2">
        <v>4</v>
      </c>
      <c r="G170" s="2">
        <v>138766.01999999999</v>
      </c>
      <c r="H170" s="2">
        <v>34691.5</v>
      </c>
      <c r="I170" s="2" t="s">
        <v>5141</v>
      </c>
      <c r="J170" s="2">
        <v>179</v>
      </c>
      <c r="K170" s="2" t="s">
        <v>13</v>
      </c>
      <c r="L170" s="2" t="s">
        <v>40</v>
      </c>
      <c r="M170" s="2" t="s">
        <v>16</v>
      </c>
      <c r="N170" s="2" t="s">
        <v>32</v>
      </c>
    </row>
    <row r="171" spans="1:14" x14ac:dyDescent="0.3">
      <c r="A171" s="3" t="s">
        <v>9042</v>
      </c>
      <c r="B171" s="3" t="s">
        <v>2651</v>
      </c>
      <c r="C171" s="3" t="s">
        <v>26</v>
      </c>
      <c r="D171" s="3" t="s">
        <v>254</v>
      </c>
      <c r="E171" s="3" t="s">
        <v>22</v>
      </c>
      <c r="F171" s="3">
        <v>25</v>
      </c>
      <c r="G171" s="3">
        <v>68980.11</v>
      </c>
      <c r="H171" s="3">
        <v>2759.2</v>
      </c>
      <c r="I171" s="3" t="s">
        <v>975</v>
      </c>
      <c r="J171" s="3">
        <v>69</v>
      </c>
      <c r="K171" s="3" t="s">
        <v>28</v>
      </c>
      <c r="L171" s="3" t="s">
        <v>43</v>
      </c>
      <c r="M171" s="3" t="s">
        <v>24</v>
      </c>
      <c r="N171" s="3" t="s">
        <v>25</v>
      </c>
    </row>
    <row r="172" spans="1:14" x14ac:dyDescent="0.3">
      <c r="A172" s="2" t="s">
        <v>8551</v>
      </c>
      <c r="B172" s="2" t="s">
        <v>1885</v>
      </c>
      <c r="C172" s="2" t="s">
        <v>42</v>
      </c>
      <c r="D172" s="2" t="s">
        <v>334</v>
      </c>
      <c r="E172" s="2" t="s">
        <v>29</v>
      </c>
      <c r="F172" s="2">
        <v>12</v>
      </c>
      <c r="G172" s="2">
        <v>88327.35</v>
      </c>
      <c r="H172" s="2">
        <v>7360.61</v>
      </c>
      <c r="I172" s="2" t="s">
        <v>436</v>
      </c>
      <c r="J172" s="2">
        <v>63</v>
      </c>
      <c r="K172" s="2" t="s">
        <v>13</v>
      </c>
      <c r="L172" s="2" t="s">
        <v>47</v>
      </c>
      <c r="M172" s="2" t="s">
        <v>24</v>
      </c>
      <c r="N172" s="2" t="s">
        <v>25</v>
      </c>
    </row>
    <row r="173" spans="1:14" x14ac:dyDescent="0.3">
      <c r="A173" s="3" t="s">
        <v>4514</v>
      </c>
      <c r="B173" s="3" t="s">
        <v>1866</v>
      </c>
      <c r="C173" s="3" t="s">
        <v>33</v>
      </c>
      <c r="D173" s="3" t="s">
        <v>712</v>
      </c>
      <c r="E173" s="3" t="s">
        <v>14</v>
      </c>
      <c r="F173" s="3">
        <v>15</v>
      </c>
      <c r="G173" s="3">
        <v>37265.699999999997</v>
      </c>
      <c r="H173" s="3">
        <v>2484.38</v>
      </c>
      <c r="I173" s="3" t="s">
        <v>2927</v>
      </c>
      <c r="J173" s="3">
        <v>365</v>
      </c>
      <c r="K173" s="3" t="s">
        <v>13</v>
      </c>
      <c r="L173" s="3" t="s">
        <v>30</v>
      </c>
      <c r="M173" s="3" t="s">
        <v>31</v>
      </c>
      <c r="N173" s="3" t="s">
        <v>17</v>
      </c>
    </row>
    <row r="174" spans="1:14" x14ac:dyDescent="0.3">
      <c r="A174" s="2" t="s">
        <v>3711</v>
      </c>
      <c r="B174" s="2" t="s">
        <v>1068</v>
      </c>
      <c r="C174" s="2" t="s">
        <v>26</v>
      </c>
      <c r="D174" s="2" t="s">
        <v>160</v>
      </c>
      <c r="E174" s="2" t="s">
        <v>29</v>
      </c>
      <c r="F174" s="2">
        <v>25</v>
      </c>
      <c r="G174" s="2">
        <v>151266.04999999999</v>
      </c>
      <c r="H174" s="2">
        <v>6050.64</v>
      </c>
      <c r="I174" s="2" t="s">
        <v>1079</v>
      </c>
      <c r="J174" s="2">
        <v>223</v>
      </c>
      <c r="K174" s="2" t="s">
        <v>27</v>
      </c>
      <c r="L174" s="2" t="s">
        <v>30</v>
      </c>
      <c r="M174" s="2" t="s">
        <v>16</v>
      </c>
      <c r="N174" s="2" t="s">
        <v>17</v>
      </c>
    </row>
    <row r="175" spans="1:14" x14ac:dyDescent="0.3">
      <c r="A175" s="3" t="s">
        <v>9043</v>
      </c>
      <c r="B175" s="3" t="s">
        <v>2534</v>
      </c>
      <c r="C175" s="3" t="s">
        <v>26</v>
      </c>
      <c r="D175" s="3" t="s">
        <v>122</v>
      </c>
      <c r="E175" s="3" t="s">
        <v>22</v>
      </c>
      <c r="F175" s="3">
        <v>17</v>
      </c>
      <c r="G175" s="3">
        <v>178386.75</v>
      </c>
      <c r="H175" s="3">
        <v>10493.34</v>
      </c>
      <c r="I175" s="3" t="s">
        <v>6543</v>
      </c>
      <c r="J175" s="3">
        <v>2</v>
      </c>
      <c r="K175" s="3" t="s">
        <v>28</v>
      </c>
      <c r="L175" s="3" t="s">
        <v>40</v>
      </c>
      <c r="M175" s="3" t="s">
        <v>16</v>
      </c>
      <c r="N175" s="3" t="s">
        <v>25</v>
      </c>
    </row>
    <row r="176" spans="1:14" x14ac:dyDescent="0.3">
      <c r="A176" s="2" t="s">
        <v>9044</v>
      </c>
      <c r="B176" s="2" t="s">
        <v>918</v>
      </c>
      <c r="C176" s="2" t="s">
        <v>42</v>
      </c>
      <c r="D176" s="2" t="s">
        <v>254</v>
      </c>
      <c r="E176" s="2" t="s">
        <v>22</v>
      </c>
      <c r="F176" s="2">
        <v>19</v>
      </c>
      <c r="G176" s="2">
        <v>97342.12</v>
      </c>
      <c r="H176" s="2">
        <v>5123.2700000000004</v>
      </c>
      <c r="I176" s="2" t="s">
        <v>5141</v>
      </c>
      <c r="J176" s="2">
        <v>179</v>
      </c>
      <c r="K176" s="2" t="s">
        <v>19</v>
      </c>
      <c r="L176" s="2" t="s">
        <v>15</v>
      </c>
      <c r="M176" s="2" t="s">
        <v>24</v>
      </c>
      <c r="N176" s="2" t="s">
        <v>32</v>
      </c>
    </row>
    <row r="177" spans="1:14" x14ac:dyDescent="0.3">
      <c r="A177" s="3" t="s">
        <v>9045</v>
      </c>
      <c r="B177" s="3" t="s">
        <v>278</v>
      </c>
      <c r="C177" s="3" t="s">
        <v>33</v>
      </c>
      <c r="D177" s="3" t="s">
        <v>215</v>
      </c>
      <c r="E177" s="3" t="s">
        <v>14</v>
      </c>
      <c r="F177" s="3">
        <v>1</v>
      </c>
      <c r="G177" s="3">
        <v>79911.350000000006</v>
      </c>
      <c r="H177" s="3">
        <v>79911.350000000006</v>
      </c>
      <c r="I177" s="3" t="s">
        <v>9046</v>
      </c>
      <c r="J177" s="3">
        <v>239</v>
      </c>
      <c r="K177" s="3" t="s">
        <v>21</v>
      </c>
      <c r="L177" s="3" t="s">
        <v>40</v>
      </c>
      <c r="M177" s="3" t="s">
        <v>24</v>
      </c>
      <c r="N177" s="3" t="s">
        <v>17</v>
      </c>
    </row>
    <row r="178" spans="1:14" x14ac:dyDescent="0.3">
      <c r="A178" s="2" t="s">
        <v>9047</v>
      </c>
      <c r="B178" s="2" t="s">
        <v>2298</v>
      </c>
      <c r="C178" s="2" t="s">
        <v>42</v>
      </c>
      <c r="D178" s="2" t="s">
        <v>324</v>
      </c>
      <c r="E178" s="2" t="s">
        <v>39</v>
      </c>
      <c r="F178" s="2">
        <v>23</v>
      </c>
      <c r="G178" s="2">
        <v>81223.649999999994</v>
      </c>
      <c r="H178" s="2">
        <v>3531.46</v>
      </c>
      <c r="I178" s="2" t="s">
        <v>3510</v>
      </c>
      <c r="J178" s="2">
        <v>234</v>
      </c>
      <c r="K178" s="2" t="s">
        <v>28</v>
      </c>
      <c r="L178" s="2" t="s">
        <v>15</v>
      </c>
      <c r="M178" s="2" t="s">
        <v>24</v>
      </c>
      <c r="N178" s="2" t="s">
        <v>17</v>
      </c>
    </row>
    <row r="179" spans="1:14" x14ac:dyDescent="0.3">
      <c r="A179" s="3" t="s">
        <v>9048</v>
      </c>
      <c r="B179" s="3" t="s">
        <v>2110</v>
      </c>
      <c r="C179" s="3" t="s">
        <v>42</v>
      </c>
      <c r="D179" s="3" t="s">
        <v>160</v>
      </c>
      <c r="E179" s="3" t="s">
        <v>29</v>
      </c>
      <c r="F179" s="3">
        <v>26</v>
      </c>
      <c r="G179" s="3">
        <v>91379.23</v>
      </c>
      <c r="H179" s="3">
        <v>3514.59</v>
      </c>
      <c r="I179" s="3" t="s">
        <v>1256</v>
      </c>
      <c r="J179" s="3">
        <v>153</v>
      </c>
      <c r="K179" s="3" t="s">
        <v>27</v>
      </c>
      <c r="L179" s="3" t="s">
        <v>23</v>
      </c>
      <c r="M179" s="3" t="s">
        <v>24</v>
      </c>
      <c r="N179" s="3" t="s">
        <v>32</v>
      </c>
    </row>
    <row r="180" spans="1:14" x14ac:dyDescent="0.3">
      <c r="A180" s="2" t="s">
        <v>9049</v>
      </c>
      <c r="B180" s="2" t="s">
        <v>1517</v>
      </c>
      <c r="C180" s="2" t="s">
        <v>26</v>
      </c>
      <c r="D180" s="2" t="s">
        <v>443</v>
      </c>
      <c r="E180" s="2" t="s">
        <v>22</v>
      </c>
      <c r="F180" s="2">
        <v>8</v>
      </c>
      <c r="G180" s="2">
        <v>138275.32999999999</v>
      </c>
      <c r="H180" s="2">
        <v>17284.419999999998</v>
      </c>
      <c r="I180" s="2" t="s">
        <v>3773</v>
      </c>
      <c r="J180" s="2">
        <v>309</v>
      </c>
      <c r="K180" s="2" t="s">
        <v>28</v>
      </c>
      <c r="L180" s="2" t="s">
        <v>48</v>
      </c>
      <c r="M180" s="2" t="s">
        <v>16</v>
      </c>
      <c r="N180" s="2" t="s">
        <v>17</v>
      </c>
    </row>
    <row r="181" spans="1:14" x14ac:dyDescent="0.3">
      <c r="A181" s="3" t="s">
        <v>4729</v>
      </c>
      <c r="B181" s="3" t="s">
        <v>586</v>
      </c>
      <c r="C181" s="3" t="s">
        <v>18</v>
      </c>
      <c r="D181" s="3" t="s">
        <v>283</v>
      </c>
      <c r="E181" s="3" t="s">
        <v>22</v>
      </c>
      <c r="F181" s="3">
        <v>3</v>
      </c>
      <c r="G181" s="3">
        <v>159363.06</v>
      </c>
      <c r="H181" s="3">
        <v>53121.02</v>
      </c>
      <c r="I181" s="3" t="s">
        <v>4633</v>
      </c>
      <c r="J181" s="3">
        <v>224</v>
      </c>
      <c r="K181" s="3" t="s">
        <v>21</v>
      </c>
      <c r="L181" s="3" t="s">
        <v>40</v>
      </c>
      <c r="M181" s="3" t="s">
        <v>16</v>
      </c>
      <c r="N181" s="3" t="s">
        <v>17</v>
      </c>
    </row>
    <row r="182" spans="1:14" x14ac:dyDescent="0.3">
      <c r="A182" s="2" t="s">
        <v>9050</v>
      </c>
      <c r="B182" s="2" t="s">
        <v>1085</v>
      </c>
      <c r="C182" s="2" t="s">
        <v>18</v>
      </c>
      <c r="D182" s="2" t="s">
        <v>834</v>
      </c>
      <c r="E182" s="2" t="s">
        <v>29</v>
      </c>
      <c r="F182" s="2">
        <v>30</v>
      </c>
      <c r="G182" s="2">
        <v>59773.75</v>
      </c>
      <c r="H182" s="2">
        <v>1992.46</v>
      </c>
      <c r="I182" s="2" t="s">
        <v>885</v>
      </c>
      <c r="J182" s="2">
        <v>209</v>
      </c>
      <c r="K182" s="2" t="s">
        <v>28</v>
      </c>
      <c r="L182" s="2" t="s">
        <v>48</v>
      </c>
      <c r="M182" s="2" t="s">
        <v>24</v>
      </c>
      <c r="N182" s="2" t="s">
        <v>17</v>
      </c>
    </row>
    <row r="183" spans="1:14" x14ac:dyDescent="0.3">
      <c r="A183" s="3" t="s">
        <v>9051</v>
      </c>
      <c r="B183" s="3" t="s">
        <v>269</v>
      </c>
      <c r="C183" s="3" t="s">
        <v>33</v>
      </c>
      <c r="D183" s="3" t="s">
        <v>324</v>
      </c>
      <c r="E183" s="3" t="s">
        <v>39</v>
      </c>
      <c r="F183" s="3">
        <v>29</v>
      </c>
      <c r="G183" s="3">
        <v>26434.54</v>
      </c>
      <c r="H183" s="3">
        <v>911.54</v>
      </c>
      <c r="I183" s="3" t="s">
        <v>3534</v>
      </c>
      <c r="J183" s="3">
        <v>132</v>
      </c>
      <c r="K183" s="3" t="s">
        <v>19</v>
      </c>
      <c r="L183" s="3" t="s">
        <v>40</v>
      </c>
      <c r="M183" s="3" t="s">
        <v>31</v>
      </c>
      <c r="N183" s="3" t="s">
        <v>32</v>
      </c>
    </row>
    <row r="184" spans="1:14" x14ac:dyDescent="0.3">
      <c r="A184" s="2" t="s">
        <v>9052</v>
      </c>
      <c r="B184" s="2" t="s">
        <v>512</v>
      </c>
      <c r="C184" s="2" t="s">
        <v>18</v>
      </c>
      <c r="D184" s="2" t="s">
        <v>334</v>
      </c>
      <c r="E184" s="2" t="s">
        <v>29</v>
      </c>
      <c r="F184" s="2">
        <v>12</v>
      </c>
      <c r="G184" s="2">
        <v>80309.929999999993</v>
      </c>
      <c r="H184" s="2">
        <v>6692.49</v>
      </c>
      <c r="I184" s="2" t="s">
        <v>435</v>
      </c>
      <c r="J184" s="2">
        <v>66</v>
      </c>
      <c r="K184" s="2" t="s">
        <v>13</v>
      </c>
      <c r="L184" s="2" t="s">
        <v>43</v>
      </c>
      <c r="M184" s="2" t="s">
        <v>24</v>
      </c>
      <c r="N184" s="2" t="s">
        <v>25</v>
      </c>
    </row>
    <row r="185" spans="1:14" x14ac:dyDescent="0.3">
      <c r="A185" s="3" t="s">
        <v>9053</v>
      </c>
      <c r="B185" s="3" t="s">
        <v>2231</v>
      </c>
      <c r="C185" s="3" t="s">
        <v>42</v>
      </c>
      <c r="D185" s="3" t="s">
        <v>122</v>
      </c>
      <c r="E185" s="3" t="s">
        <v>22</v>
      </c>
      <c r="F185" s="3">
        <v>5</v>
      </c>
      <c r="G185" s="3">
        <v>162081.39000000001</v>
      </c>
      <c r="H185" s="3">
        <v>32416.28</v>
      </c>
      <c r="I185" s="3" t="s">
        <v>2831</v>
      </c>
      <c r="J185" s="3">
        <v>337</v>
      </c>
      <c r="K185" s="3" t="s">
        <v>27</v>
      </c>
      <c r="L185" s="3" t="s">
        <v>15</v>
      </c>
      <c r="M185" s="3" t="s">
        <v>16</v>
      </c>
      <c r="N185" s="3" t="s">
        <v>17</v>
      </c>
    </row>
    <row r="186" spans="1:14" x14ac:dyDescent="0.3">
      <c r="A186" s="2" t="s">
        <v>7712</v>
      </c>
      <c r="B186" s="2" t="s">
        <v>249</v>
      </c>
      <c r="C186" s="2" t="s">
        <v>33</v>
      </c>
      <c r="D186" s="2" t="s">
        <v>148</v>
      </c>
      <c r="E186" s="2" t="s">
        <v>29</v>
      </c>
      <c r="F186" s="2">
        <v>10</v>
      </c>
      <c r="G186" s="2">
        <v>78855.47</v>
      </c>
      <c r="H186" s="2">
        <v>7885.55</v>
      </c>
      <c r="I186" s="2" t="s">
        <v>1373</v>
      </c>
      <c r="J186" s="2">
        <v>70</v>
      </c>
      <c r="K186" s="2" t="s">
        <v>13</v>
      </c>
      <c r="L186" s="2" t="s">
        <v>47</v>
      </c>
      <c r="M186" s="2" t="s">
        <v>24</v>
      </c>
      <c r="N186" s="2" t="s">
        <v>25</v>
      </c>
    </row>
    <row r="187" spans="1:14" x14ac:dyDescent="0.3">
      <c r="A187" s="3" t="s">
        <v>9054</v>
      </c>
      <c r="B187" s="3" t="s">
        <v>689</v>
      </c>
      <c r="C187" s="3" t="s">
        <v>18</v>
      </c>
      <c r="D187" s="3" t="s">
        <v>427</v>
      </c>
      <c r="E187" s="3" t="s">
        <v>29</v>
      </c>
      <c r="F187" s="3">
        <v>13</v>
      </c>
      <c r="G187" s="3">
        <v>775.82</v>
      </c>
      <c r="H187" s="3">
        <v>59.68</v>
      </c>
      <c r="I187" s="3" t="s">
        <v>1488</v>
      </c>
      <c r="J187" s="3">
        <v>24</v>
      </c>
      <c r="K187" s="3" t="s">
        <v>27</v>
      </c>
      <c r="L187" s="3" t="s">
        <v>40</v>
      </c>
      <c r="M187" s="3" t="s">
        <v>41</v>
      </c>
      <c r="N187" s="3" t="s">
        <v>25</v>
      </c>
    </row>
    <row r="188" spans="1:14" x14ac:dyDescent="0.3">
      <c r="A188" s="2" t="s">
        <v>4616</v>
      </c>
      <c r="B188" s="2" t="s">
        <v>290</v>
      </c>
      <c r="C188" s="2" t="s">
        <v>18</v>
      </c>
      <c r="D188" s="2" t="s">
        <v>109</v>
      </c>
      <c r="E188" s="2" t="s">
        <v>39</v>
      </c>
      <c r="F188" s="2">
        <v>4</v>
      </c>
      <c r="G188" s="2">
        <v>164685.29999999999</v>
      </c>
      <c r="H188" s="2">
        <v>41171.32</v>
      </c>
      <c r="I188" s="2" t="s">
        <v>1895</v>
      </c>
      <c r="J188" s="2">
        <v>319</v>
      </c>
      <c r="K188" s="2" t="s">
        <v>28</v>
      </c>
      <c r="L188" s="2" t="s">
        <v>48</v>
      </c>
      <c r="M188" s="2" t="s">
        <v>16</v>
      </c>
      <c r="N188" s="2" t="s">
        <v>17</v>
      </c>
    </row>
    <row r="189" spans="1:14" x14ac:dyDescent="0.3">
      <c r="A189" s="3" t="s">
        <v>8412</v>
      </c>
      <c r="B189" s="3" t="s">
        <v>1955</v>
      </c>
      <c r="C189" s="3" t="s">
        <v>33</v>
      </c>
      <c r="D189" s="3" t="s">
        <v>193</v>
      </c>
      <c r="E189" s="3" t="s">
        <v>39</v>
      </c>
      <c r="F189" s="3">
        <v>24</v>
      </c>
      <c r="G189" s="3">
        <v>181356.4</v>
      </c>
      <c r="H189" s="3">
        <v>7556.52</v>
      </c>
      <c r="I189" s="3" t="s">
        <v>975</v>
      </c>
      <c r="J189" s="3">
        <v>69</v>
      </c>
      <c r="K189" s="3" t="s">
        <v>21</v>
      </c>
      <c r="L189" s="3" t="s">
        <v>30</v>
      </c>
      <c r="M189" s="3" t="s">
        <v>16</v>
      </c>
      <c r="N189" s="3" t="s">
        <v>25</v>
      </c>
    </row>
    <row r="190" spans="1:14" x14ac:dyDescent="0.3">
      <c r="A190" s="2" t="s">
        <v>5950</v>
      </c>
      <c r="B190" s="2" t="s">
        <v>1885</v>
      </c>
      <c r="C190" s="2" t="s">
        <v>18</v>
      </c>
      <c r="D190" s="2" t="s">
        <v>215</v>
      </c>
      <c r="E190" s="2" t="s">
        <v>14</v>
      </c>
      <c r="F190" s="2">
        <v>30</v>
      </c>
      <c r="G190" s="2">
        <v>104796.17</v>
      </c>
      <c r="H190" s="2">
        <v>3493.21</v>
      </c>
      <c r="I190" s="2" t="s">
        <v>2226</v>
      </c>
      <c r="J190" s="2">
        <v>300</v>
      </c>
      <c r="K190" s="2" t="s">
        <v>19</v>
      </c>
      <c r="L190" s="2" t="s">
        <v>40</v>
      </c>
      <c r="M190" s="2" t="s">
        <v>16</v>
      </c>
      <c r="N190" s="2" t="s">
        <v>17</v>
      </c>
    </row>
    <row r="191" spans="1:14" x14ac:dyDescent="0.3">
      <c r="A191" s="3" t="s">
        <v>9055</v>
      </c>
      <c r="B191" s="3" t="s">
        <v>2110</v>
      </c>
      <c r="C191" s="3" t="s">
        <v>18</v>
      </c>
      <c r="D191" s="3" t="s">
        <v>160</v>
      </c>
      <c r="E191" s="3" t="s">
        <v>29</v>
      </c>
      <c r="F191" s="3">
        <v>6</v>
      </c>
      <c r="G191" s="3">
        <v>65749.8</v>
      </c>
      <c r="H191" s="3">
        <v>10958.3</v>
      </c>
      <c r="I191" s="3" t="s">
        <v>770</v>
      </c>
      <c r="J191" s="3">
        <v>107</v>
      </c>
      <c r="K191" s="3" t="s">
        <v>13</v>
      </c>
      <c r="L191" s="3" t="s">
        <v>48</v>
      </c>
      <c r="M191" s="3" t="s">
        <v>24</v>
      </c>
      <c r="N191" s="3" t="s">
        <v>32</v>
      </c>
    </row>
    <row r="192" spans="1:14" x14ac:dyDescent="0.3">
      <c r="A192" s="2" t="s">
        <v>9056</v>
      </c>
      <c r="B192" s="2" t="s">
        <v>3938</v>
      </c>
      <c r="C192" s="2" t="s">
        <v>26</v>
      </c>
      <c r="D192" s="2" t="s">
        <v>171</v>
      </c>
      <c r="E192" s="2" t="s">
        <v>14</v>
      </c>
      <c r="F192" s="2">
        <v>25</v>
      </c>
      <c r="G192" s="2">
        <v>199375.86</v>
      </c>
      <c r="H192" s="2">
        <v>7975.03</v>
      </c>
      <c r="I192" s="2" t="s">
        <v>3186</v>
      </c>
      <c r="J192" s="2">
        <v>187</v>
      </c>
      <c r="K192" s="2" t="s">
        <v>21</v>
      </c>
      <c r="L192" s="2" t="s">
        <v>23</v>
      </c>
      <c r="M192" s="2" t="s">
        <v>16</v>
      </c>
      <c r="N192" s="2" t="s">
        <v>17</v>
      </c>
    </row>
    <row r="193" spans="1:14" x14ac:dyDescent="0.3">
      <c r="A193" s="3" t="s">
        <v>9057</v>
      </c>
      <c r="B193" s="3" t="s">
        <v>1792</v>
      </c>
      <c r="C193" s="3" t="s">
        <v>33</v>
      </c>
      <c r="D193" s="3" t="s">
        <v>171</v>
      </c>
      <c r="E193" s="3" t="s">
        <v>14</v>
      </c>
      <c r="F193" s="3">
        <v>11</v>
      </c>
      <c r="G193" s="3">
        <v>75272.240000000005</v>
      </c>
      <c r="H193" s="3">
        <v>6842.93</v>
      </c>
      <c r="I193" s="3" t="s">
        <v>906</v>
      </c>
      <c r="J193" s="3">
        <v>78</v>
      </c>
      <c r="K193" s="3" t="s">
        <v>19</v>
      </c>
      <c r="L193" s="3" t="s">
        <v>15</v>
      </c>
      <c r="M193" s="3" t="s">
        <v>24</v>
      </c>
      <c r="N193" s="3" t="s">
        <v>25</v>
      </c>
    </row>
    <row r="194" spans="1:14" x14ac:dyDescent="0.3">
      <c r="A194" s="2" t="s">
        <v>6957</v>
      </c>
      <c r="B194" s="2" t="s">
        <v>707</v>
      </c>
      <c r="C194" s="2" t="s">
        <v>26</v>
      </c>
      <c r="D194" s="2" t="s">
        <v>314</v>
      </c>
      <c r="E194" s="2" t="s">
        <v>39</v>
      </c>
      <c r="F194" s="2">
        <v>15</v>
      </c>
      <c r="G194" s="2">
        <v>23782.84</v>
      </c>
      <c r="H194" s="2">
        <v>1585.52</v>
      </c>
      <c r="I194" s="2" t="s">
        <v>2582</v>
      </c>
      <c r="J194" s="2">
        <v>58</v>
      </c>
      <c r="K194" s="2" t="s">
        <v>19</v>
      </c>
      <c r="L194" s="2" t="s">
        <v>23</v>
      </c>
      <c r="M194" s="2" t="s">
        <v>31</v>
      </c>
      <c r="N194" s="2" t="s">
        <v>25</v>
      </c>
    </row>
    <row r="195" spans="1:14" x14ac:dyDescent="0.3">
      <c r="A195" s="3" t="s">
        <v>9058</v>
      </c>
      <c r="B195" s="3" t="s">
        <v>707</v>
      </c>
      <c r="C195" s="3" t="s">
        <v>42</v>
      </c>
      <c r="D195" s="3" t="s">
        <v>148</v>
      </c>
      <c r="E195" s="3" t="s">
        <v>29</v>
      </c>
      <c r="F195" s="3">
        <v>26</v>
      </c>
      <c r="G195" s="3">
        <v>139996.91</v>
      </c>
      <c r="H195" s="3">
        <v>5384.5</v>
      </c>
      <c r="I195" s="3" t="s">
        <v>244</v>
      </c>
      <c r="J195" s="3">
        <v>95</v>
      </c>
      <c r="K195" s="3" t="s">
        <v>21</v>
      </c>
      <c r="L195" s="3" t="s">
        <v>47</v>
      </c>
      <c r="M195" s="3" t="s">
        <v>16</v>
      </c>
      <c r="N195" s="3" t="s">
        <v>32</v>
      </c>
    </row>
    <row r="196" spans="1:14" x14ac:dyDescent="0.3">
      <c r="A196" s="2" t="s">
        <v>9059</v>
      </c>
      <c r="B196" s="2" t="s">
        <v>221</v>
      </c>
      <c r="C196" s="2" t="s">
        <v>18</v>
      </c>
      <c r="D196" s="2" t="s">
        <v>712</v>
      </c>
      <c r="E196" s="2" t="s">
        <v>14</v>
      </c>
      <c r="F196" s="2">
        <v>6</v>
      </c>
      <c r="G196" s="2">
        <v>181398.04</v>
      </c>
      <c r="H196" s="2">
        <v>30233.01</v>
      </c>
      <c r="I196" s="2" t="s">
        <v>379</v>
      </c>
      <c r="J196" s="2">
        <v>191</v>
      </c>
      <c r="K196" s="2" t="s">
        <v>27</v>
      </c>
      <c r="L196" s="2" t="s">
        <v>47</v>
      </c>
      <c r="M196" s="2" t="s">
        <v>16</v>
      </c>
      <c r="N196" s="2" t="s">
        <v>17</v>
      </c>
    </row>
    <row r="197" spans="1:14" x14ac:dyDescent="0.3">
      <c r="A197" s="3" t="s">
        <v>5497</v>
      </c>
      <c r="B197" s="3" t="s">
        <v>319</v>
      </c>
      <c r="C197" s="3" t="s">
        <v>42</v>
      </c>
      <c r="D197" s="3" t="s">
        <v>122</v>
      </c>
      <c r="E197" s="3" t="s">
        <v>22</v>
      </c>
      <c r="F197" s="3">
        <v>13</v>
      </c>
      <c r="G197" s="3">
        <v>46401.21</v>
      </c>
      <c r="H197" s="3">
        <v>3569.32</v>
      </c>
      <c r="I197" s="3" t="s">
        <v>999</v>
      </c>
      <c r="J197" s="3">
        <v>49</v>
      </c>
      <c r="K197" s="3" t="s">
        <v>27</v>
      </c>
      <c r="L197" s="3" t="s">
        <v>43</v>
      </c>
      <c r="M197" s="3" t="s">
        <v>31</v>
      </c>
      <c r="N197" s="3" t="s">
        <v>25</v>
      </c>
    </row>
    <row r="198" spans="1:14" x14ac:dyDescent="0.3">
      <c r="A198" s="2" t="s">
        <v>9060</v>
      </c>
      <c r="B198" s="2" t="s">
        <v>707</v>
      </c>
      <c r="C198" s="2" t="s">
        <v>42</v>
      </c>
      <c r="D198" s="2" t="s">
        <v>95</v>
      </c>
      <c r="E198" s="2" t="s">
        <v>14</v>
      </c>
      <c r="F198" s="2">
        <v>4</v>
      </c>
      <c r="G198" s="2">
        <v>22196</v>
      </c>
      <c r="H198" s="2">
        <v>5549</v>
      </c>
      <c r="I198" s="2" t="s">
        <v>1553</v>
      </c>
      <c r="J198" s="2">
        <v>220</v>
      </c>
      <c r="K198" s="2" t="s">
        <v>21</v>
      </c>
      <c r="L198" s="2" t="s">
        <v>43</v>
      </c>
      <c r="M198" s="2" t="s">
        <v>31</v>
      </c>
      <c r="N198" s="2" t="s">
        <v>17</v>
      </c>
    </row>
    <row r="199" spans="1:14" x14ac:dyDescent="0.3">
      <c r="A199" s="3" t="s">
        <v>9061</v>
      </c>
      <c r="B199" s="3" t="s">
        <v>3325</v>
      </c>
      <c r="C199" s="3" t="s">
        <v>42</v>
      </c>
      <c r="D199" s="3" t="s">
        <v>160</v>
      </c>
      <c r="E199" s="3" t="s">
        <v>29</v>
      </c>
      <c r="F199" s="3">
        <v>14</v>
      </c>
      <c r="G199" s="3">
        <v>106287.15</v>
      </c>
      <c r="H199" s="3">
        <v>7591.94</v>
      </c>
      <c r="I199" s="3" t="s">
        <v>906</v>
      </c>
      <c r="J199" s="3">
        <v>78</v>
      </c>
      <c r="K199" s="3" t="s">
        <v>21</v>
      </c>
      <c r="L199" s="3" t="s">
        <v>30</v>
      </c>
      <c r="M199" s="3" t="s">
        <v>16</v>
      </c>
      <c r="N199" s="3" t="s">
        <v>25</v>
      </c>
    </row>
    <row r="200" spans="1:14" x14ac:dyDescent="0.3">
      <c r="A200" s="2" t="s">
        <v>9062</v>
      </c>
      <c r="B200" s="2" t="s">
        <v>1097</v>
      </c>
      <c r="C200" s="2" t="s">
        <v>26</v>
      </c>
      <c r="D200" s="2" t="s">
        <v>122</v>
      </c>
      <c r="E200" s="2" t="s">
        <v>22</v>
      </c>
      <c r="F200" s="2">
        <v>12</v>
      </c>
      <c r="G200" s="2">
        <v>45823.24</v>
      </c>
      <c r="H200" s="2">
        <v>3818.6</v>
      </c>
      <c r="I200" s="2" t="s">
        <v>7475</v>
      </c>
      <c r="J200" s="2">
        <v>150</v>
      </c>
      <c r="K200" s="2" t="s">
        <v>19</v>
      </c>
      <c r="L200" s="2" t="s">
        <v>48</v>
      </c>
      <c r="M200" s="2" t="s">
        <v>31</v>
      </c>
      <c r="N200" s="2" t="s">
        <v>32</v>
      </c>
    </row>
    <row r="201" spans="1:14" x14ac:dyDescent="0.3">
      <c r="A201" s="3" t="s">
        <v>9063</v>
      </c>
      <c r="B201" s="3" t="s">
        <v>619</v>
      </c>
      <c r="C201" s="3" t="s">
        <v>26</v>
      </c>
      <c r="D201" s="3" t="s">
        <v>95</v>
      </c>
      <c r="E201" s="3" t="s">
        <v>14</v>
      </c>
      <c r="F201" s="3">
        <v>23</v>
      </c>
      <c r="G201" s="3">
        <v>154411.4</v>
      </c>
      <c r="H201" s="3">
        <v>6713.54</v>
      </c>
      <c r="I201" s="3" t="s">
        <v>4757</v>
      </c>
      <c r="J201" s="3">
        <v>51</v>
      </c>
      <c r="K201" s="3" t="s">
        <v>13</v>
      </c>
      <c r="L201" s="3" t="s">
        <v>47</v>
      </c>
      <c r="M201" s="3" t="s">
        <v>16</v>
      </c>
      <c r="N201" s="3" t="s">
        <v>25</v>
      </c>
    </row>
    <row r="202" spans="1:14" x14ac:dyDescent="0.3">
      <c r="A202" s="2" t="s">
        <v>9064</v>
      </c>
      <c r="B202" s="2" t="s">
        <v>768</v>
      </c>
      <c r="C202" s="2" t="s">
        <v>42</v>
      </c>
      <c r="D202" s="2" t="s">
        <v>122</v>
      </c>
      <c r="E202" s="2" t="s">
        <v>22</v>
      </c>
      <c r="F202" s="2">
        <v>27</v>
      </c>
      <c r="G202" s="2">
        <v>89641.41</v>
      </c>
      <c r="H202" s="2">
        <v>3320.05</v>
      </c>
      <c r="I202" s="2" t="s">
        <v>252</v>
      </c>
      <c r="J202" s="2">
        <v>15</v>
      </c>
      <c r="K202" s="2" t="s">
        <v>21</v>
      </c>
      <c r="L202" s="2" t="s">
        <v>47</v>
      </c>
      <c r="M202" s="2" t="s">
        <v>24</v>
      </c>
      <c r="N202" s="2" t="s">
        <v>25</v>
      </c>
    </row>
    <row r="203" spans="1:14" x14ac:dyDescent="0.3">
      <c r="A203" s="3" t="s">
        <v>544</v>
      </c>
      <c r="B203" s="3" t="s">
        <v>2529</v>
      </c>
      <c r="C203" s="3" t="s">
        <v>18</v>
      </c>
      <c r="D203" s="3" t="s">
        <v>324</v>
      </c>
      <c r="E203" s="3" t="s">
        <v>39</v>
      </c>
      <c r="F203" s="3">
        <v>18</v>
      </c>
      <c r="G203" s="3">
        <v>161247.21</v>
      </c>
      <c r="H203" s="3">
        <v>8958.18</v>
      </c>
      <c r="I203" s="3" t="s">
        <v>3315</v>
      </c>
      <c r="J203" s="3">
        <v>281</v>
      </c>
      <c r="K203" s="3" t="s">
        <v>13</v>
      </c>
      <c r="L203" s="3" t="s">
        <v>47</v>
      </c>
      <c r="M203" s="3" t="s">
        <v>16</v>
      </c>
      <c r="N203" s="3" t="s">
        <v>17</v>
      </c>
    </row>
    <row r="204" spans="1:14" x14ac:dyDescent="0.3">
      <c r="A204" s="2" t="s">
        <v>9065</v>
      </c>
      <c r="B204" s="2" t="s">
        <v>2772</v>
      </c>
      <c r="C204" s="2" t="s">
        <v>26</v>
      </c>
      <c r="D204" s="2" t="s">
        <v>160</v>
      </c>
      <c r="E204" s="2" t="s">
        <v>29</v>
      </c>
      <c r="F204" s="2">
        <v>18</v>
      </c>
      <c r="G204" s="2">
        <v>28341.33</v>
      </c>
      <c r="H204" s="2">
        <v>1574.52</v>
      </c>
      <c r="I204" s="2" t="s">
        <v>1488</v>
      </c>
      <c r="J204" s="2">
        <v>24</v>
      </c>
      <c r="K204" s="2" t="s">
        <v>27</v>
      </c>
      <c r="L204" s="2" t="s">
        <v>40</v>
      </c>
      <c r="M204" s="2" t="s">
        <v>31</v>
      </c>
      <c r="N204" s="2" t="s">
        <v>25</v>
      </c>
    </row>
    <row r="205" spans="1:14" x14ac:dyDescent="0.3">
      <c r="A205" s="3" t="s">
        <v>9066</v>
      </c>
      <c r="B205" s="3" t="s">
        <v>1166</v>
      </c>
      <c r="C205" s="3" t="s">
        <v>18</v>
      </c>
      <c r="D205" s="3" t="s">
        <v>254</v>
      </c>
      <c r="E205" s="3" t="s">
        <v>22</v>
      </c>
      <c r="F205" s="3">
        <v>2</v>
      </c>
      <c r="G205" s="3">
        <v>79198.259999999995</v>
      </c>
      <c r="H205" s="3">
        <v>39599.129999999997</v>
      </c>
      <c r="I205" s="3" t="s">
        <v>1328</v>
      </c>
      <c r="J205" s="3">
        <v>333</v>
      </c>
      <c r="K205" s="3" t="s">
        <v>19</v>
      </c>
      <c r="L205" s="3" t="s">
        <v>40</v>
      </c>
      <c r="M205" s="3" t="s">
        <v>24</v>
      </c>
      <c r="N205" s="3" t="s">
        <v>17</v>
      </c>
    </row>
    <row r="206" spans="1:14" x14ac:dyDescent="0.3">
      <c r="A206" s="2" t="s">
        <v>9067</v>
      </c>
      <c r="B206" s="2" t="s">
        <v>495</v>
      </c>
      <c r="C206" s="2" t="s">
        <v>18</v>
      </c>
      <c r="D206" s="2" t="s">
        <v>122</v>
      </c>
      <c r="E206" s="2" t="s">
        <v>22</v>
      </c>
      <c r="F206" s="2">
        <v>22</v>
      </c>
      <c r="G206" s="2">
        <v>70430.8</v>
      </c>
      <c r="H206" s="2">
        <v>3201.4</v>
      </c>
      <c r="I206" s="2" t="s">
        <v>191</v>
      </c>
      <c r="J206" s="2">
        <v>253</v>
      </c>
      <c r="K206" s="2" t="s">
        <v>28</v>
      </c>
      <c r="L206" s="2" t="s">
        <v>47</v>
      </c>
      <c r="M206" s="2" t="s">
        <v>24</v>
      </c>
      <c r="N206" s="2" t="s">
        <v>17</v>
      </c>
    </row>
    <row r="207" spans="1:14" x14ac:dyDescent="0.3">
      <c r="A207" s="3" t="s">
        <v>9068</v>
      </c>
      <c r="B207" s="3" t="s">
        <v>912</v>
      </c>
      <c r="C207" s="3" t="s">
        <v>26</v>
      </c>
      <c r="D207" s="3" t="s">
        <v>225</v>
      </c>
      <c r="E207" s="3" t="s">
        <v>39</v>
      </c>
      <c r="F207" s="3">
        <v>5</v>
      </c>
      <c r="G207" s="3">
        <v>56105.440000000002</v>
      </c>
      <c r="H207" s="3">
        <v>11221.09</v>
      </c>
      <c r="I207" s="3" t="s">
        <v>1264</v>
      </c>
      <c r="J207" s="3">
        <v>248</v>
      </c>
      <c r="K207" s="3" t="s">
        <v>21</v>
      </c>
      <c r="L207" s="3" t="s">
        <v>48</v>
      </c>
      <c r="M207" s="3" t="s">
        <v>24</v>
      </c>
      <c r="N207" s="3" t="s">
        <v>17</v>
      </c>
    </row>
    <row r="208" spans="1:14" x14ac:dyDescent="0.3">
      <c r="A208" s="2" t="s">
        <v>9069</v>
      </c>
      <c r="B208" s="2" t="s">
        <v>1326</v>
      </c>
      <c r="C208" s="2" t="s">
        <v>33</v>
      </c>
      <c r="D208" s="2" t="s">
        <v>171</v>
      </c>
      <c r="E208" s="2" t="s">
        <v>14</v>
      </c>
      <c r="F208" s="2">
        <v>13</v>
      </c>
      <c r="G208" s="2">
        <v>62290.83</v>
      </c>
      <c r="H208" s="2">
        <v>4791.6000000000004</v>
      </c>
      <c r="I208" s="2" t="s">
        <v>5977</v>
      </c>
      <c r="J208" s="2">
        <v>247</v>
      </c>
      <c r="K208" s="2" t="s">
        <v>28</v>
      </c>
      <c r="L208" s="2" t="s">
        <v>43</v>
      </c>
      <c r="M208" s="2" t="s">
        <v>24</v>
      </c>
      <c r="N208" s="2" t="s">
        <v>17</v>
      </c>
    </row>
    <row r="209" spans="1:14" x14ac:dyDescent="0.3">
      <c r="A209" s="3" t="s">
        <v>9070</v>
      </c>
      <c r="B209" s="3" t="s">
        <v>554</v>
      </c>
      <c r="C209" s="3" t="s">
        <v>26</v>
      </c>
      <c r="D209" s="3" t="s">
        <v>193</v>
      </c>
      <c r="E209" s="3" t="s">
        <v>39</v>
      </c>
      <c r="F209" s="3">
        <v>5</v>
      </c>
      <c r="G209" s="3">
        <v>188963.59</v>
      </c>
      <c r="H209" s="3">
        <v>37792.720000000001</v>
      </c>
      <c r="I209" s="3" t="s">
        <v>454</v>
      </c>
      <c r="J209" s="3">
        <v>360</v>
      </c>
      <c r="K209" s="3" t="s">
        <v>28</v>
      </c>
      <c r="L209" s="3" t="s">
        <v>40</v>
      </c>
      <c r="M209" s="3" t="s">
        <v>16</v>
      </c>
      <c r="N209" s="3" t="s">
        <v>17</v>
      </c>
    </row>
    <row r="210" spans="1:14" x14ac:dyDescent="0.3">
      <c r="A210" s="2" t="s">
        <v>9071</v>
      </c>
      <c r="B210" s="2" t="s">
        <v>651</v>
      </c>
      <c r="C210" s="2" t="s">
        <v>18</v>
      </c>
      <c r="D210" s="2" t="s">
        <v>225</v>
      </c>
      <c r="E210" s="2" t="s">
        <v>39</v>
      </c>
      <c r="F210" s="2">
        <v>14</v>
      </c>
      <c r="G210" s="2">
        <v>105789.95</v>
      </c>
      <c r="H210" s="2">
        <v>7556.43</v>
      </c>
      <c r="I210" s="2" t="s">
        <v>1553</v>
      </c>
      <c r="J210" s="2">
        <v>220</v>
      </c>
      <c r="K210" s="2" t="s">
        <v>28</v>
      </c>
      <c r="L210" s="2" t="s">
        <v>43</v>
      </c>
      <c r="M210" s="2" t="s">
        <v>16</v>
      </c>
      <c r="N210" s="2" t="s">
        <v>17</v>
      </c>
    </row>
    <row r="211" spans="1:14" x14ac:dyDescent="0.3">
      <c r="A211" s="3" t="s">
        <v>9072</v>
      </c>
      <c r="B211" s="3" t="s">
        <v>1597</v>
      </c>
      <c r="C211" s="3" t="s">
        <v>42</v>
      </c>
      <c r="D211" s="3" t="s">
        <v>427</v>
      </c>
      <c r="E211" s="3" t="s">
        <v>29</v>
      </c>
      <c r="F211" s="3">
        <v>18</v>
      </c>
      <c r="G211" s="3">
        <v>184470.93</v>
      </c>
      <c r="H211" s="3">
        <v>10248.39</v>
      </c>
      <c r="I211" s="3" t="s">
        <v>4552</v>
      </c>
      <c r="J211" s="3">
        <v>212</v>
      </c>
      <c r="K211" s="3" t="s">
        <v>13</v>
      </c>
      <c r="L211" s="3" t="s">
        <v>43</v>
      </c>
      <c r="M211" s="3" t="s">
        <v>16</v>
      </c>
      <c r="N211" s="3" t="s">
        <v>17</v>
      </c>
    </row>
    <row r="212" spans="1:14" x14ac:dyDescent="0.3">
      <c r="A212" s="2" t="s">
        <v>9073</v>
      </c>
      <c r="B212" s="2" t="s">
        <v>733</v>
      </c>
      <c r="C212" s="2" t="s">
        <v>26</v>
      </c>
      <c r="D212" s="2" t="s">
        <v>427</v>
      </c>
      <c r="E212" s="2" t="s">
        <v>29</v>
      </c>
      <c r="F212" s="2">
        <v>14</v>
      </c>
      <c r="G212" s="2">
        <v>174883.11</v>
      </c>
      <c r="H212" s="2">
        <v>12491.65</v>
      </c>
      <c r="I212" s="2" t="s">
        <v>4268</v>
      </c>
      <c r="J212" s="2">
        <v>33</v>
      </c>
      <c r="K212" s="2" t="s">
        <v>13</v>
      </c>
      <c r="L212" s="2" t="s">
        <v>15</v>
      </c>
      <c r="M212" s="2" t="s">
        <v>16</v>
      </c>
      <c r="N212" s="2" t="s">
        <v>25</v>
      </c>
    </row>
    <row r="213" spans="1:14" x14ac:dyDescent="0.3">
      <c r="A213" s="3" t="s">
        <v>9074</v>
      </c>
      <c r="B213" s="3" t="s">
        <v>2257</v>
      </c>
      <c r="C213" s="3" t="s">
        <v>42</v>
      </c>
      <c r="D213" s="3" t="s">
        <v>183</v>
      </c>
      <c r="E213" s="3" t="s">
        <v>14</v>
      </c>
      <c r="F213" s="3">
        <v>3</v>
      </c>
      <c r="G213" s="3">
        <v>19725.12</v>
      </c>
      <c r="H213" s="3">
        <v>6575.04</v>
      </c>
      <c r="I213" s="3" t="s">
        <v>1617</v>
      </c>
      <c r="J213" s="3">
        <v>225</v>
      </c>
      <c r="K213" s="3" t="s">
        <v>28</v>
      </c>
      <c r="L213" s="3" t="s">
        <v>43</v>
      </c>
      <c r="M213" s="3" t="s">
        <v>31</v>
      </c>
      <c r="N213" s="3" t="s">
        <v>17</v>
      </c>
    </row>
    <row r="214" spans="1:14" x14ac:dyDescent="0.3">
      <c r="A214" s="2" t="s">
        <v>9075</v>
      </c>
      <c r="B214" s="2" t="s">
        <v>918</v>
      </c>
      <c r="C214" s="2" t="s">
        <v>33</v>
      </c>
      <c r="D214" s="2" t="s">
        <v>283</v>
      </c>
      <c r="E214" s="2" t="s">
        <v>22</v>
      </c>
      <c r="F214" s="2">
        <v>25</v>
      </c>
      <c r="G214" s="2">
        <v>136020.32999999999</v>
      </c>
      <c r="H214" s="2">
        <v>5440.81</v>
      </c>
      <c r="I214" s="2" t="s">
        <v>3128</v>
      </c>
      <c r="J214" s="2">
        <v>167</v>
      </c>
      <c r="K214" s="2" t="s">
        <v>27</v>
      </c>
      <c r="L214" s="2" t="s">
        <v>43</v>
      </c>
      <c r="M214" s="2" t="s">
        <v>16</v>
      </c>
      <c r="N214" s="2" t="s">
        <v>32</v>
      </c>
    </row>
    <row r="215" spans="1:14" x14ac:dyDescent="0.3">
      <c r="A215" s="3" t="s">
        <v>9076</v>
      </c>
      <c r="B215" s="3" t="s">
        <v>782</v>
      </c>
      <c r="C215" s="3" t="s">
        <v>18</v>
      </c>
      <c r="D215" s="3" t="s">
        <v>443</v>
      </c>
      <c r="E215" s="3" t="s">
        <v>22</v>
      </c>
      <c r="F215" s="3">
        <v>2</v>
      </c>
      <c r="G215" s="3">
        <v>165373.82999999999</v>
      </c>
      <c r="H215" s="3">
        <v>82686.91</v>
      </c>
      <c r="I215" s="3" t="s">
        <v>1108</v>
      </c>
      <c r="J215" s="3">
        <v>311</v>
      </c>
      <c r="K215" s="3" t="s">
        <v>27</v>
      </c>
      <c r="L215" s="3" t="s">
        <v>43</v>
      </c>
      <c r="M215" s="3" t="s">
        <v>16</v>
      </c>
      <c r="N215" s="3" t="s">
        <v>17</v>
      </c>
    </row>
    <row r="216" spans="1:14" x14ac:dyDescent="0.3">
      <c r="A216" s="2" t="s">
        <v>9077</v>
      </c>
      <c r="B216" s="2" t="s">
        <v>1217</v>
      </c>
      <c r="C216" s="2" t="s">
        <v>18</v>
      </c>
      <c r="D216" s="2" t="s">
        <v>334</v>
      </c>
      <c r="E216" s="2" t="s">
        <v>29</v>
      </c>
      <c r="F216" s="2">
        <v>24</v>
      </c>
      <c r="G216" s="2">
        <v>69965.919999999998</v>
      </c>
      <c r="H216" s="2">
        <v>2915.25</v>
      </c>
      <c r="I216" s="2" t="s">
        <v>2934</v>
      </c>
      <c r="J216" s="2">
        <v>166</v>
      </c>
      <c r="K216" s="2" t="s">
        <v>28</v>
      </c>
      <c r="L216" s="2" t="s">
        <v>43</v>
      </c>
      <c r="M216" s="2" t="s">
        <v>24</v>
      </c>
      <c r="N216" s="2" t="s">
        <v>32</v>
      </c>
    </row>
    <row r="217" spans="1:14" x14ac:dyDescent="0.3">
      <c r="A217" s="3" t="s">
        <v>9078</v>
      </c>
      <c r="B217" s="3" t="s">
        <v>1233</v>
      </c>
      <c r="C217" s="3" t="s">
        <v>18</v>
      </c>
      <c r="D217" s="3" t="s">
        <v>443</v>
      </c>
      <c r="E217" s="3" t="s">
        <v>22</v>
      </c>
      <c r="F217" s="3">
        <v>19</v>
      </c>
      <c r="G217" s="3">
        <v>199829.97</v>
      </c>
      <c r="H217" s="3">
        <v>10517.37</v>
      </c>
      <c r="I217" s="3" t="s">
        <v>1320</v>
      </c>
      <c r="J217" s="3">
        <v>20</v>
      </c>
      <c r="K217" s="3" t="s">
        <v>28</v>
      </c>
      <c r="L217" s="3" t="s">
        <v>47</v>
      </c>
      <c r="M217" s="3" t="s">
        <v>16</v>
      </c>
      <c r="N217" s="3" t="s">
        <v>25</v>
      </c>
    </row>
    <row r="218" spans="1:14" x14ac:dyDescent="0.3">
      <c r="A218" s="2" t="s">
        <v>9079</v>
      </c>
      <c r="B218" s="2" t="s">
        <v>870</v>
      </c>
      <c r="C218" s="2" t="s">
        <v>42</v>
      </c>
      <c r="D218" s="2" t="s">
        <v>215</v>
      </c>
      <c r="E218" s="2" t="s">
        <v>14</v>
      </c>
      <c r="F218" s="2">
        <v>5</v>
      </c>
      <c r="G218" s="2">
        <v>35134.31</v>
      </c>
      <c r="H218" s="2">
        <v>7026.86</v>
      </c>
      <c r="I218" s="2" t="s">
        <v>2364</v>
      </c>
      <c r="J218" s="2">
        <v>359</v>
      </c>
      <c r="K218" s="2" t="s">
        <v>21</v>
      </c>
      <c r="L218" s="2" t="s">
        <v>43</v>
      </c>
      <c r="M218" s="2" t="s">
        <v>31</v>
      </c>
      <c r="N218" s="2" t="s">
        <v>17</v>
      </c>
    </row>
    <row r="219" spans="1:14" x14ac:dyDescent="0.3">
      <c r="A219" s="3" t="s">
        <v>9080</v>
      </c>
      <c r="B219" s="3" t="s">
        <v>1792</v>
      </c>
      <c r="C219" s="3" t="s">
        <v>33</v>
      </c>
      <c r="D219" s="3" t="s">
        <v>122</v>
      </c>
      <c r="E219" s="3" t="s">
        <v>22</v>
      </c>
      <c r="F219" s="3">
        <v>22</v>
      </c>
      <c r="G219" s="3">
        <v>127271.8</v>
      </c>
      <c r="H219" s="3">
        <v>5785.08</v>
      </c>
      <c r="I219" s="3" t="s">
        <v>1373</v>
      </c>
      <c r="J219" s="3">
        <v>70</v>
      </c>
      <c r="K219" s="3" t="s">
        <v>19</v>
      </c>
      <c r="L219" s="3" t="s">
        <v>30</v>
      </c>
      <c r="M219" s="3" t="s">
        <v>16</v>
      </c>
      <c r="N219" s="3" t="s">
        <v>25</v>
      </c>
    </row>
    <row r="220" spans="1:14" x14ac:dyDescent="0.3">
      <c r="A220" s="2" t="s">
        <v>9081</v>
      </c>
      <c r="B220" s="2" t="s">
        <v>3325</v>
      </c>
      <c r="C220" s="2" t="s">
        <v>33</v>
      </c>
      <c r="D220" s="2" t="s">
        <v>109</v>
      </c>
      <c r="E220" s="2" t="s">
        <v>39</v>
      </c>
      <c r="F220" s="2">
        <v>15</v>
      </c>
      <c r="G220" s="2">
        <v>107005.12</v>
      </c>
      <c r="H220" s="2">
        <v>7133.67</v>
      </c>
      <c r="I220" s="2" t="s">
        <v>224</v>
      </c>
      <c r="J220" s="2">
        <v>259</v>
      </c>
      <c r="K220" s="2" t="s">
        <v>13</v>
      </c>
      <c r="L220" s="2" t="s">
        <v>47</v>
      </c>
      <c r="M220" s="2" t="s">
        <v>16</v>
      </c>
      <c r="N220" s="2" t="s">
        <v>17</v>
      </c>
    </row>
    <row r="221" spans="1:14" x14ac:dyDescent="0.3">
      <c r="A221" s="3" t="s">
        <v>9082</v>
      </c>
      <c r="B221" s="3" t="s">
        <v>412</v>
      </c>
      <c r="C221" s="3" t="s">
        <v>18</v>
      </c>
      <c r="D221" s="3" t="s">
        <v>171</v>
      </c>
      <c r="E221" s="3" t="s">
        <v>14</v>
      </c>
      <c r="F221" s="3">
        <v>30</v>
      </c>
      <c r="G221" s="3">
        <v>26713.599999999999</v>
      </c>
      <c r="H221" s="3">
        <v>890.45</v>
      </c>
      <c r="I221" s="3" t="s">
        <v>1240</v>
      </c>
      <c r="J221" s="3">
        <v>305</v>
      </c>
      <c r="K221" s="3" t="s">
        <v>28</v>
      </c>
      <c r="L221" s="3" t="s">
        <v>47</v>
      </c>
      <c r="M221" s="3" t="s">
        <v>31</v>
      </c>
      <c r="N221" s="3" t="s">
        <v>17</v>
      </c>
    </row>
    <row r="222" spans="1:14" x14ac:dyDescent="0.3">
      <c r="A222" s="2" t="s">
        <v>9083</v>
      </c>
      <c r="B222" s="2" t="s">
        <v>200</v>
      </c>
      <c r="C222" s="2" t="s">
        <v>18</v>
      </c>
      <c r="D222" s="2" t="s">
        <v>171</v>
      </c>
      <c r="E222" s="2" t="s">
        <v>14</v>
      </c>
      <c r="F222" s="2">
        <v>19</v>
      </c>
      <c r="G222" s="2">
        <v>114085.75</v>
      </c>
      <c r="H222" s="2">
        <v>6004.51</v>
      </c>
      <c r="I222" s="2" t="s">
        <v>131</v>
      </c>
      <c r="J222" s="2">
        <v>121</v>
      </c>
      <c r="K222" s="2" t="s">
        <v>28</v>
      </c>
      <c r="L222" s="2" t="s">
        <v>30</v>
      </c>
      <c r="M222" s="2" t="s">
        <v>16</v>
      </c>
      <c r="N222" s="2" t="s">
        <v>32</v>
      </c>
    </row>
    <row r="223" spans="1:14" x14ac:dyDescent="0.3">
      <c r="A223" s="3" t="s">
        <v>2948</v>
      </c>
      <c r="B223" s="3" t="s">
        <v>210</v>
      </c>
      <c r="C223" s="3" t="s">
        <v>18</v>
      </c>
      <c r="D223" s="3" t="s">
        <v>738</v>
      </c>
      <c r="E223" s="3" t="s">
        <v>22</v>
      </c>
      <c r="F223" s="3">
        <v>21</v>
      </c>
      <c r="G223" s="3">
        <v>189266.92</v>
      </c>
      <c r="H223" s="3">
        <v>9012.7099999999991</v>
      </c>
      <c r="I223" s="3" t="s">
        <v>1785</v>
      </c>
      <c r="J223" s="3">
        <v>211</v>
      </c>
      <c r="K223" s="3" t="s">
        <v>27</v>
      </c>
      <c r="L223" s="3" t="s">
        <v>23</v>
      </c>
      <c r="M223" s="3" t="s">
        <v>16</v>
      </c>
      <c r="N223" s="3" t="s">
        <v>17</v>
      </c>
    </row>
    <row r="224" spans="1:14" x14ac:dyDescent="0.3">
      <c r="A224" s="2" t="s">
        <v>9084</v>
      </c>
      <c r="B224" s="2" t="s">
        <v>155</v>
      </c>
      <c r="C224" s="2" t="s">
        <v>18</v>
      </c>
      <c r="D224" s="2" t="s">
        <v>171</v>
      </c>
      <c r="E224" s="2" t="s">
        <v>14</v>
      </c>
      <c r="F224" s="2">
        <v>11</v>
      </c>
      <c r="G224" s="2">
        <v>21843.29</v>
      </c>
      <c r="H224" s="2">
        <v>1985.75</v>
      </c>
      <c r="I224" s="2" t="s">
        <v>1263</v>
      </c>
      <c r="J224" s="2">
        <v>249</v>
      </c>
      <c r="K224" s="2" t="s">
        <v>19</v>
      </c>
      <c r="L224" s="2" t="s">
        <v>43</v>
      </c>
      <c r="M224" s="2" t="s">
        <v>31</v>
      </c>
      <c r="N224" s="2" t="s">
        <v>17</v>
      </c>
    </row>
    <row r="225" spans="1:14" x14ac:dyDescent="0.3">
      <c r="A225" s="3" t="s">
        <v>9085</v>
      </c>
      <c r="B225" s="3" t="s">
        <v>642</v>
      </c>
      <c r="C225" s="3" t="s">
        <v>26</v>
      </c>
      <c r="D225" s="3" t="s">
        <v>443</v>
      </c>
      <c r="E225" s="3" t="s">
        <v>22</v>
      </c>
      <c r="F225" s="3">
        <v>14</v>
      </c>
      <c r="G225" s="3">
        <v>185530.7</v>
      </c>
      <c r="H225" s="3">
        <v>13252.19</v>
      </c>
      <c r="I225" s="3" t="s">
        <v>1695</v>
      </c>
      <c r="J225" s="3">
        <v>353</v>
      </c>
      <c r="K225" s="3" t="s">
        <v>27</v>
      </c>
      <c r="L225" s="3" t="s">
        <v>43</v>
      </c>
      <c r="M225" s="3" t="s">
        <v>16</v>
      </c>
      <c r="N225" s="3" t="s">
        <v>17</v>
      </c>
    </row>
    <row r="226" spans="1:14" x14ac:dyDescent="0.3">
      <c r="A226" s="2" t="s">
        <v>9086</v>
      </c>
      <c r="B226" s="2" t="s">
        <v>2298</v>
      </c>
      <c r="C226" s="2" t="s">
        <v>42</v>
      </c>
      <c r="D226" s="2" t="s">
        <v>160</v>
      </c>
      <c r="E226" s="2" t="s">
        <v>29</v>
      </c>
      <c r="F226" s="2">
        <v>1</v>
      </c>
      <c r="G226" s="2">
        <v>119803.25</v>
      </c>
      <c r="H226" s="2">
        <v>119803.25</v>
      </c>
      <c r="I226" s="2" t="s">
        <v>3232</v>
      </c>
      <c r="J226" s="2">
        <v>314</v>
      </c>
      <c r="K226" s="2" t="s">
        <v>21</v>
      </c>
      <c r="L226" s="2" t="s">
        <v>23</v>
      </c>
      <c r="M226" s="2" t="s">
        <v>16</v>
      </c>
      <c r="N226" s="2" t="s">
        <v>17</v>
      </c>
    </row>
    <row r="227" spans="1:14" x14ac:dyDescent="0.3">
      <c r="A227" s="3" t="s">
        <v>9087</v>
      </c>
      <c r="B227" s="3" t="s">
        <v>3325</v>
      </c>
      <c r="C227" s="3" t="s">
        <v>42</v>
      </c>
      <c r="D227" s="3" t="s">
        <v>443</v>
      </c>
      <c r="E227" s="3" t="s">
        <v>22</v>
      </c>
      <c r="F227" s="3">
        <v>23</v>
      </c>
      <c r="G227" s="3">
        <v>80858.36</v>
      </c>
      <c r="H227" s="3">
        <v>3515.58</v>
      </c>
      <c r="I227" s="3" t="s">
        <v>1777</v>
      </c>
      <c r="J227" s="3">
        <v>12</v>
      </c>
      <c r="K227" s="3" t="s">
        <v>28</v>
      </c>
      <c r="L227" s="3" t="s">
        <v>15</v>
      </c>
      <c r="M227" s="3" t="s">
        <v>24</v>
      </c>
      <c r="N227" s="3" t="s">
        <v>25</v>
      </c>
    </row>
    <row r="228" spans="1:14" x14ac:dyDescent="0.3">
      <c r="A228" s="2" t="s">
        <v>9088</v>
      </c>
      <c r="B228" s="2" t="s">
        <v>952</v>
      </c>
      <c r="C228" s="2" t="s">
        <v>18</v>
      </c>
      <c r="D228" s="2" t="s">
        <v>183</v>
      </c>
      <c r="E228" s="2" t="s">
        <v>14</v>
      </c>
      <c r="F228" s="2">
        <v>6</v>
      </c>
      <c r="G228" s="2">
        <v>115055.53</v>
      </c>
      <c r="H228" s="2">
        <v>19175.919999999998</v>
      </c>
      <c r="I228" s="2" t="s">
        <v>2806</v>
      </c>
      <c r="J228" s="2">
        <v>318</v>
      </c>
      <c r="K228" s="2" t="s">
        <v>27</v>
      </c>
      <c r="L228" s="2" t="s">
        <v>23</v>
      </c>
      <c r="M228" s="2" t="s">
        <v>16</v>
      </c>
      <c r="N228" s="2" t="s">
        <v>17</v>
      </c>
    </row>
    <row r="229" spans="1:14" x14ac:dyDescent="0.3">
      <c r="A229" s="3" t="s">
        <v>9089</v>
      </c>
      <c r="B229" s="3" t="s">
        <v>2257</v>
      </c>
      <c r="C229" s="3" t="s">
        <v>26</v>
      </c>
      <c r="D229" s="3" t="s">
        <v>254</v>
      </c>
      <c r="E229" s="3" t="s">
        <v>22</v>
      </c>
      <c r="F229" s="3">
        <v>20</v>
      </c>
      <c r="G229" s="3">
        <v>176953.41</v>
      </c>
      <c r="H229" s="3">
        <v>8847.67</v>
      </c>
      <c r="I229" s="3" t="s">
        <v>3765</v>
      </c>
      <c r="J229" s="3">
        <v>120</v>
      </c>
      <c r="K229" s="3" t="s">
        <v>19</v>
      </c>
      <c r="L229" s="3" t="s">
        <v>23</v>
      </c>
      <c r="M229" s="3" t="s">
        <v>16</v>
      </c>
      <c r="N229" s="3" t="s">
        <v>32</v>
      </c>
    </row>
    <row r="230" spans="1:14" x14ac:dyDescent="0.3">
      <c r="A230" s="2" t="s">
        <v>9090</v>
      </c>
      <c r="B230" s="2" t="s">
        <v>2067</v>
      </c>
      <c r="C230" s="2" t="s">
        <v>26</v>
      </c>
      <c r="D230" s="2" t="s">
        <v>193</v>
      </c>
      <c r="E230" s="2" t="s">
        <v>39</v>
      </c>
      <c r="F230" s="2">
        <v>5</v>
      </c>
      <c r="G230" s="2">
        <v>168600.26</v>
      </c>
      <c r="H230" s="2">
        <v>33720.050000000003</v>
      </c>
      <c r="I230" s="2" t="s">
        <v>3474</v>
      </c>
      <c r="J230" s="2">
        <v>363</v>
      </c>
      <c r="K230" s="2" t="s">
        <v>13</v>
      </c>
      <c r="L230" s="2" t="s">
        <v>48</v>
      </c>
      <c r="M230" s="2" t="s">
        <v>16</v>
      </c>
      <c r="N230" s="2" t="s">
        <v>17</v>
      </c>
    </row>
    <row r="231" spans="1:14" x14ac:dyDescent="0.3">
      <c r="A231" s="3" t="s">
        <v>9091</v>
      </c>
      <c r="B231" s="3" t="s">
        <v>1590</v>
      </c>
      <c r="C231" s="3" t="s">
        <v>18</v>
      </c>
      <c r="D231" s="3" t="s">
        <v>254</v>
      </c>
      <c r="E231" s="3" t="s">
        <v>22</v>
      </c>
      <c r="F231" s="3">
        <v>2</v>
      </c>
      <c r="G231" s="3">
        <v>62265.4</v>
      </c>
      <c r="H231" s="3">
        <v>31132.7</v>
      </c>
      <c r="I231" s="3" t="s">
        <v>2293</v>
      </c>
      <c r="J231" s="3">
        <v>161</v>
      </c>
      <c r="K231" s="3" t="s">
        <v>21</v>
      </c>
      <c r="L231" s="3" t="s">
        <v>23</v>
      </c>
      <c r="M231" s="3" t="s">
        <v>24</v>
      </c>
      <c r="N231" s="3" t="s">
        <v>32</v>
      </c>
    </row>
    <row r="232" spans="1:14" x14ac:dyDescent="0.3">
      <c r="A232" s="2" t="s">
        <v>9092</v>
      </c>
      <c r="B232" s="2" t="s">
        <v>1253</v>
      </c>
      <c r="C232" s="2" t="s">
        <v>42</v>
      </c>
      <c r="D232" s="2" t="s">
        <v>254</v>
      </c>
      <c r="E232" s="2" t="s">
        <v>22</v>
      </c>
      <c r="F232" s="2">
        <v>2</v>
      </c>
      <c r="G232" s="2">
        <v>75478.97</v>
      </c>
      <c r="H232" s="2">
        <v>37739.49</v>
      </c>
      <c r="I232" s="2" t="s">
        <v>6667</v>
      </c>
      <c r="J232" s="2">
        <v>268</v>
      </c>
      <c r="K232" s="2" t="s">
        <v>21</v>
      </c>
      <c r="L232" s="2" t="s">
        <v>40</v>
      </c>
      <c r="M232" s="2" t="s">
        <v>24</v>
      </c>
      <c r="N232" s="2" t="s">
        <v>17</v>
      </c>
    </row>
    <row r="233" spans="1:14" x14ac:dyDescent="0.3">
      <c r="A233" s="3" t="s">
        <v>9093</v>
      </c>
      <c r="B233" s="3" t="s">
        <v>478</v>
      </c>
      <c r="C233" s="3" t="s">
        <v>33</v>
      </c>
      <c r="D233" s="3" t="s">
        <v>183</v>
      </c>
      <c r="E233" s="3" t="s">
        <v>14</v>
      </c>
      <c r="F233" s="3">
        <v>7</v>
      </c>
      <c r="G233" s="3">
        <v>45141.91</v>
      </c>
      <c r="H233" s="3">
        <v>6448.84</v>
      </c>
      <c r="I233" s="3" t="s">
        <v>718</v>
      </c>
      <c r="J233" s="3">
        <v>136</v>
      </c>
      <c r="K233" s="3" t="s">
        <v>27</v>
      </c>
      <c r="L233" s="3" t="s">
        <v>15</v>
      </c>
      <c r="M233" s="3" t="s">
        <v>31</v>
      </c>
      <c r="N233" s="3" t="s">
        <v>32</v>
      </c>
    </row>
    <row r="234" spans="1:14" x14ac:dyDescent="0.3">
      <c r="A234" s="2" t="s">
        <v>7936</v>
      </c>
      <c r="B234" s="2" t="s">
        <v>1426</v>
      </c>
      <c r="C234" s="2" t="s">
        <v>42</v>
      </c>
      <c r="D234" s="2" t="s">
        <v>193</v>
      </c>
      <c r="E234" s="2" t="s">
        <v>39</v>
      </c>
      <c r="F234" s="2">
        <v>6</v>
      </c>
      <c r="G234" s="2">
        <v>96505.78</v>
      </c>
      <c r="H234" s="2">
        <v>16084.3</v>
      </c>
      <c r="I234" s="2" t="s">
        <v>1219</v>
      </c>
      <c r="J234" s="2">
        <v>251</v>
      </c>
      <c r="K234" s="2" t="s">
        <v>21</v>
      </c>
      <c r="L234" s="2" t="s">
        <v>47</v>
      </c>
      <c r="M234" s="2" t="s">
        <v>24</v>
      </c>
      <c r="N234" s="2" t="s">
        <v>17</v>
      </c>
    </row>
    <row r="235" spans="1:14" x14ac:dyDescent="0.3">
      <c r="A235" s="3" t="s">
        <v>9094</v>
      </c>
      <c r="B235" s="3" t="s">
        <v>2305</v>
      </c>
      <c r="C235" s="3" t="s">
        <v>42</v>
      </c>
      <c r="D235" s="3" t="s">
        <v>712</v>
      </c>
      <c r="E235" s="3" t="s">
        <v>14</v>
      </c>
      <c r="F235" s="3">
        <v>6</v>
      </c>
      <c r="G235" s="3">
        <v>196327.09</v>
      </c>
      <c r="H235" s="3">
        <v>32721.18</v>
      </c>
      <c r="I235" s="3" t="s">
        <v>516</v>
      </c>
      <c r="J235" s="3">
        <v>48</v>
      </c>
      <c r="K235" s="3" t="s">
        <v>28</v>
      </c>
      <c r="L235" s="3" t="s">
        <v>15</v>
      </c>
      <c r="M235" s="3" t="s">
        <v>16</v>
      </c>
      <c r="N235" s="3" t="s">
        <v>25</v>
      </c>
    </row>
    <row r="236" spans="1:14" x14ac:dyDescent="0.3">
      <c r="A236" s="2" t="s">
        <v>9095</v>
      </c>
      <c r="B236" s="2" t="s">
        <v>967</v>
      </c>
      <c r="C236" s="2" t="s">
        <v>33</v>
      </c>
      <c r="D236" s="2" t="s">
        <v>193</v>
      </c>
      <c r="E236" s="2" t="s">
        <v>39</v>
      </c>
      <c r="F236" s="2">
        <v>26</v>
      </c>
      <c r="G236" s="2">
        <v>84303.42</v>
      </c>
      <c r="H236" s="2">
        <v>3242.44</v>
      </c>
      <c r="I236" s="2" t="s">
        <v>1199</v>
      </c>
      <c r="J236" s="2">
        <v>336</v>
      </c>
      <c r="K236" s="2" t="s">
        <v>21</v>
      </c>
      <c r="L236" s="2" t="s">
        <v>47</v>
      </c>
      <c r="M236" s="2" t="s">
        <v>24</v>
      </c>
      <c r="N236" s="2" t="s">
        <v>17</v>
      </c>
    </row>
    <row r="237" spans="1:14" x14ac:dyDescent="0.3">
      <c r="A237" s="3" t="s">
        <v>9096</v>
      </c>
      <c r="B237" s="3" t="s">
        <v>1304</v>
      </c>
      <c r="C237" s="3" t="s">
        <v>26</v>
      </c>
      <c r="D237" s="3" t="s">
        <v>148</v>
      </c>
      <c r="E237" s="3" t="s">
        <v>29</v>
      </c>
      <c r="F237" s="3">
        <v>5</v>
      </c>
      <c r="G237" s="3">
        <v>46548.160000000003</v>
      </c>
      <c r="H237" s="3">
        <v>9309.6299999999992</v>
      </c>
      <c r="I237" s="3" t="s">
        <v>2929</v>
      </c>
      <c r="J237" s="3">
        <v>362</v>
      </c>
      <c r="K237" s="3" t="s">
        <v>13</v>
      </c>
      <c r="L237" s="3" t="s">
        <v>23</v>
      </c>
      <c r="M237" s="3" t="s">
        <v>31</v>
      </c>
      <c r="N237" s="3" t="s">
        <v>17</v>
      </c>
    </row>
    <row r="238" spans="1:14" x14ac:dyDescent="0.3">
      <c r="A238" s="2" t="s">
        <v>9097</v>
      </c>
      <c r="B238" s="2" t="s">
        <v>3436</v>
      </c>
      <c r="C238" s="2" t="s">
        <v>42</v>
      </c>
      <c r="D238" s="2" t="s">
        <v>148</v>
      </c>
      <c r="E238" s="2" t="s">
        <v>29</v>
      </c>
      <c r="F238" s="2">
        <v>3</v>
      </c>
      <c r="G238" s="2">
        <v>119067.83</v>
      </c>
      <c r="H238" s="2">
        <v>39689.279999999999</v>
      </c>
      <c r="I238" s="2" t="s">
        <v>2518</v>
      </c>
      <c r="J238" s="2">
        <v>57</v>
      </c>
      <c r="K238" s="2" t="s">
        <v>19</v>
      </c>
      <c r="L238" s="2" t="s">
        <v>43</v>
      </c>
      <c r="M238" s="2" t="s">
        <v>16</v>
      </c>
      <c r="N238" s="2" t="s">
        <v>25</v>
      </c>
    </row>
    <row r="239" spans="1:14" x14ac:dyDescent="0.3">
      <c r="A239" s="3" t="s">
        <v>7583</v>
      </c>
      <c r="B239" s="3" t="s">
        <v>1304</v>
      </c>
      <c r="C239" s="3" t="s">
        <v>26</v>
      </c>
      <c r="D239" s="3" t="s">
        <v>109</v>
      </c>
      <c r="E239" s="3" t="s">
        <v>39</v>
      </c>
      <c r="F239" s="3">
        <v>5</v>
      </c>
      <c r="G239" s="3">
        <v>111414.44</v>
      </c>
      <c r="H239" s="3">
        <v>22282.89</v>
      </c>
      <c r="I239" s="3" t="s">
        <v>5308</v>
      </c>
      <c r="J239" s="3">
        <v>236</v>
      </c>
      <c r="K239" s="3" t="s">
        <v>28</v>
      </c>
      <c r="L239" s="3" t="s">
        <v>43</v>
      </c>
      <c r="M239" s="3" t="s">
        <v>16</v>
      </c>
      <c r="N239" s="3" t="s">
        <v>17</v>
      </c>
    </row>
    <row r="240" spans="1:14" x14ac:dyDescent="0.3">
      <c r="A240" s="2" t="s">
        <v>9098</v>
      </c>
      <c r="B240" s="2" t="s">
        <v>1899</v>
      </c>
      <c r="C240" s="2" t="s">
        <v>42</v>
      </c>
      <c r="D240" s="2" t="s">
        <v>334</v>
      </c>
      <c r="E240" s="2" t="s">
        <v>29</v>
      </c>
      <c r="F240" s="2">
        <v>26</v>
      </c>
      <c r="G240" s="2">
        <v>38589.64</v>
      </c>
      <c r="H240" s="2">
        <v>1484.22</v>
      </c>
      <c r="I240" s="2" t="s">
        <v>7784</v>
      </c>
      <c r="J240" s="2">
        <v>21</v>
      </c>
      <c r="K240" s="2" t="s">
        <v>28</v>
      </c>
      <c r="L240" s="2" t="s">
        <v>15</v>
      </c>
      <c r="M240" s="2" t="s">
        <v>31</v>
      </c>
      <c r="N240" s="2" t="s">
        <v>25</v>
      </c>
    </row>
    <row r="241" spans="1:14" x14ac:dyDescent="0.3">
      <c r="A241" s="3" t="s">
        <v>9099</v>
      </c>
      <c r="B241" s="3" t="s">
        <v>3848</v>
      </c>
      <c r="C241" s="3" t="s">
        <v>26</v>
      </c>
      <c r="D241" s="3" t="s">
        <v>427</v>
      </c>
      <c r="E241" s="3" t="s">
        <v>29</v>
      </c>
      <c r="F241" s="3">
        <v>2</v>
      </c>
      <c r="G241" s="3">
        <v>87239.73</v>
      </c>
      <c r="H241" s="3">
        <v>43619.86</v>
      </c>
      <c r="I241" s="3" t="s">
        <v>3186</v>
      </c>
      <c r="J241" s="3">
        <v>187</v>
      </c>
      <c r="K241" s="3" t="s">
        <v>19</v>
      </c>
      <c r="L241" s="3" t="s">
        <v>30</v>
      </c>
      <c r="M241" s="3" t="s">
        <v>24</v>
      </c>
      <c r="N241" s="3" t="s">
        <v>17</v>
      </c>
    </row>
    <row r="242" spans="1:14" x14ac:dyDescent="0.3">
      <c r="A242" s="2" t="s">
        <v>9100</v>
      </c>
      <c r="B242" s="2" t="s">
        <v>716</v>
      </c>
      <c r="C242" s="2" t="s">
        <v>33</v>
      </c>
      <c r="D242" s="2" t="s">
        <v>225</v>
      </c>
      <c r="E242" s="2" t="s">
        <v>39</v>
      </c>
      <c r="F242" s="2">
        <v>19</v>
      </c>
      <c r="G242" s="2">
        <v>75782.509999999995</v>
      </c>
      <c r="H242" s="2">
        <v>3988.55</v>
      </c>
      <c r="I242" s="2" t="s">
        <v>1554</v>
      </c>
      <c r="J242" s="2">
        <v>215</v>
      </c>
      <c r="K242" s="2" t="s">
        <v>27</v>
      </c>
      <c r="L242" s="2" t="s">
        <v>47</v>
      </c>
      <c r="M242" s="2" t="s">
        <v>24</v>
      </c>
      <c r="N242" s="2" t="s">
        <v>17</v>
      </c>
    </row>
    <row r="243" spans="1:14" x14ac:dyDescent="0.3">
      <c r="A243" s="3" t="s">
        <v>9101</v>
      </c>
      <c r="B243" s="3" t="s">
        <v>231</v>
      </c>
      <c r="C243" s="3" t="s">
        <v>33</v>
      </c>
      <c r="D243" s="3" t="s">
        <v>712</v>
      </c>
      <c r="E243" s="3" t="s">
        <v>14</v>
      </c>
      <c r="F243" s="3">
        <v>29</v>
      </c>
      <c r="G243" s="3">
        <v>21181.97</v>
      </c>
      <c r="H243" s="3">
        <v>730.41</v>
      </c>
      <c r="I243" s="3" t="s">
        <v>1220</v>
      </c>
      <c r="J243" s="3">
        <v>250</v>
      </c>
      <c r="K243" s="3" t="s">
        <v>21</v>
      </c>
      <c r="L243" s="3" t="s">
        <v>43</v>
      </c>
      <c r="M243" s="3" t="s">
        <v>31</v>
      </c>
      <c r="N243" s="3" t="s">
        <v>17</v>
      </c>
    </row>
    <row r="244" spans="1:14" x14ac:dyDescent="0.3">
      <c r="A244" s="2" t="s">
        <v>9102</v>
      </c>
      <c r="B244" s="2" t="s">
        <v>368</v>
      </c>
      <c r="C244" s="2" t="s">
        <v>26</v>
      </c>
      <c r="D244" s="2" t="s">
        <v>254</v>
      </c>
      <c r="E244" s="2" t="s">
        <v>22</v>
      </c>
      <c r="F244" s="2">
        <v>6</v>
      </c>
      <c r="G244" s="2">
        <v>53646.05</v>
      </c>
      <c r="H244" s="2">
        <v>8941.01</v>
      </c>
      <c r="I244" s="2" t="s">
        <v>2928</v>
      </c>
      <c r="J244" s="2">
        <v>364</v>
      </c>
      <c r="K244" s="2" t="s">
        <v>28</v>
      </c>
      <c r="L244" s="2" t="s">
        <v>30</v>
      </c>
      <c r="M244" s="2" t="s">
        <v>24</v>
      </c>
      <c r="N244" s="2" t="s">
        <v>17</v>
      </c>
    </row>
    <row r="245" spans="1:14" x14ac:dyDescent="0.3">
      <c r="A245" s="3" t="s">
        <v>9103</v>
      </c>
      <c r="B245" s="3" t="s">
        <v>1293</v>
      </c>
      <c r="C245" s="3" t="s">
        <v>26</v>
      </c>
      <c r="D245" s="3" t="s">
        <v>324</v>
      </c>
      <c r="E245" s="3" t="s">
        <v>39</v>
      </c>
      <c r="F245" s="3">
        <v>21</v>
      </c>
      <c r="G245" s="3">
        <v>39098.31</v>
      </c>
      <c r="H245" s="3">
        <v>1861.82</v>
      </c>
      <c r="I245" s="3" t="s">
        <v>2547</v>
      </c>
      <c r="J245" s="3">
        <v>334</v>
      </c>
      <c r="K245" s="3" t="s">
        <v>19</v>
      </c>
      <c r="L245" s="3" t="s">
        <v>47</v>
      </c>
      <c r="M245" s="3" t="s">
        <v>31</v>
      </c>
      <c r="N245" s="3" t="s">
        <v>17</v>
      </c>
    </row>
    <row r="246" spans="1:14" x14ac:dyDescent="0.3">
      <c r="A246" s="2" t="s">
        <v>9104</v>
      </c>
      <c r="B246" s="2" t="s">
        <v>1097</v>
      </c>
      <c r="C246" s="2" t="s">
        <v>42</v>
      </c>
      <c r="D246" s="2" t="s">
        <v>95</v>
      </c>
      <c r="E246" s="2" t="s">
        <v>14</v>
      </c>
      <c r="F246" s="2">
        <v>10</v>
      </c>
      <c r="G246" s="2">
        <v>128717.9</v>
      </c>
      <c r="H246" s="2">
        <v>12871.79</v>
      </c>
      <c r="I246" s="2" t="s">
        <v>4498</v>
      </c>
      <c r="J246" s="2">
        <v>147</v>
      </c>
      <c r="K246" s="2" t="s">
        <v>27</v>
      </c>
      <c r="L246" s="2" t="s">
        <v>48</v>
      </c>
      <c r="M246" s="2" t="s">
        <v>16</v>
      </c>
      <c r="N246" s="2" t="s">
        <v>32</v>
      </c>
    </row>
    <row r="247" spans="1:14" x14ac:dyDescent="0.3">
      <c r="A247" s="3" t="s">
        <v>9105</v>
      </c>
      <c r="B247" s="3" t="s">
        <v>5584</v>
      </c>
      <c r="C247" s="3" t="s">
        <v>18</v>
      </c>
      <c r="D247" s="3" t="s">
        <v>95</v>
      </c>
      <c r="E247" s="3" t="s">
        <v>14</v>
      </c>
      <c r="F247" s="3">
        <v>19</v>
      </c>
      <c r="G247" s="3">
        <v>74841.7</v>
      </c>
      <c r="H247" s="3">
        <v>3939.04</v>
      </c>
      <c r="I247" s="3" t="s">
        <v>131</v>
      </c>
      <c r="J247" s="3">
        <v>121</v>
      </c>
      <c r="K247" s="3" t="s">
        <v>19</v>
      </c>
      <c r="L247" s="3" t="s">
        <v>23</v>
      </c>
      <c r="M247" s="3" t="s">
        <v>24</v>
      </c>
      <c r="N247" s="3" t="s">
        <v>32</v>
      </c>
    </row>
    <row r="248" spans="1:14" x14ac:dyDescent="0.3">
      <c r="A248" s="2" t="s">
        <v>5040</v>
      </c>
      <c r="B248" s="2" t="s">
        <v>1091</v>
      </c>
      <c r="C248" s="2" t="s">
        <v>18</v>
      </c>
      <c r="D248" s="2" t="s">
        <v>254</v>
      </c>
      <c r="E248" s="2" t="s">
        <v>22</v>
      </c>
      <c r="F248" s="2">
        <v>1</v>
      </c>
      <c r="G248" s="2">
        <v>61017.75</v>
      </c>
      <c r="H248" s="2">
        <v>61017.75</v>
      </c>
      <c r="I248" s="2" t="s">
        <v>2554</v>
      </c>
      <c r="J248" s="2">
        <v>169</v>
      </c>
      <c r="K248" s="2" t="s">
        <v>27</v>
      </c>
      <c r="L248" s="2" t="s">
        <v>48</v>
      </c>
      <c r="M248" s="2" t="s">
        <v>24</v>
      </c>
      <c r="N248" s="2" t="s">
        <v>32</v>
      </c>
    </row>
    <row r="249" spans="1:14" x14ac:dyDescent="0.3">
      <c r="A249" s="3" t="s">
        <v>9106</v>
      </c>
      <c r="B249" s="3" t="s">
        <v>1177</v>
      </c>
      <c r="C249" s="3" t="s">
        <v>33</v>
      </c>
      <c r="D249" s="3" t="s">
        <v>171</v>
      </c>
      <c r="E249" s="3" t="s">
        <v>14</v>
      </c>
      <c r="F249" s="3">
        <v>3</v>
      </c>
      <c r="G249" s="3">
        <v>152820.62</v>
      </c>
      <c r="H249" s="3">
        <v>50940.21</v>
      </c>
      <c r="I249" s="3" t="s">
        <v>580</v>
      </c>
      <c r="J249" s="3">
        <v>295</v>
      </c>
      <c r="K249" s="3" t="s">
        <v>13</v>
      </c>
      <c r="L249" s="3" t="s">
        <v>43</v>
      </c>
      <c r="M249" s="3" t="s">
        <v>16</v>
      </c>
      <c r="N249" s="3" t="s">
        <v>17</v>
      </c>
    </row>
    <row r="250" spans="1:14" x14ac:dyDescent="0.3">
      <c r="A250" s="2" t="s">
        <v>9107</v>
      </c>
      <c r="B250" s="2" t="s">
        <v>1792</v>
      </c>
      <c r="C250" s="2" t="s">
        <v>18</v>
      </c>
      <c r="D250" s="2" t="s">
        <v>324</v>
      </c>
      <c r="E250" s="2" t="s">
        <v>39</v>
      </c>
      <c r="F250" s="2">
        <v>12</v>
      </c>
      <c r="G250" s="2">
        <v>52555.64</v>
      </c>
      <c r="H250" s="2">
        <v>4379.6400000000003</v>
      </c>
      <c r="I250" s="2" t="s">
        <v>801</v>
      </c>
      <c r="J250" s="2">
        <v>196</v>
      </c>
      <c r="K250" s="2" t="s">
        <v>21</v>
      </c>
      <c r="L250" s="2" t="s">
        <v>43</v>
      </c>
      <c r="M250" s="2" t="s">
        <v>24</v>
      </c>
      <c r="N250" s="2" t="s">
        <v>17</v>
      </c>
    </row>
    <row r="251" spans="1:14" x14ac:dyDescent="0.3">
      <c r="A251" s="3" t="s">
        <v>9108</v>
      </c>
      <c r="B251" s="3" t="s">
        <v>4068</v>
      </c>
      <c r="C251" s="3" t="s">
        <v>33</v>
      </c>
      <c r="D251" s="3" t="s">
        <v>324</v>
      </c>
      <c r="E251" s="3" t="s">
        <v>39</v>
      </c>
      <c r="F251" s="3">
        <v>6</v>
      </c>
      <c r="G251" s="3">
        <v>198334.58</v>
      </c>
      <c r="H251" s="3">
        <v>33055.760000000002</v>
      </c>
      <c r="I251" s="3" t="s">
        <v>514</v>
      </c>
      <c r="J251" s="3">
        <v>59</v>
      </c>
      <c r="K251" s="3" t="s">
        <v>13</v>
      </c>
      <c r="L251" s="3" t="s">
        <v>47</v>
      </c>
      <c r="M251" s="3" t="s">
        <v>16</v>
      </c>
      <c r="N251" s="3" t="s">
        <v>25</v>
      </c>
    </row>
    <row r="252" spans="1:14" x14ac:dyDescent="0.3">
      <c r="A252" s="2" t="s">
        <v>3900</v>
      </c>
      <c r="B252" s="2" t="s">
        <v>768</v>
      </c>
      <c r="C252" s="2" t="s">
        <v>18</v>
      </c>
      <c r="D252" s="2" t="s">
        <v>215</v>
      </c>
      <c r="E252" s="2" t="s">
        <v>14</v>
      </c>
      <c r="F252" s="2">
        <v>14</v>
      </c>
      <c r="G252" s="2">
        <v>151576.46</v>
      </c>
      <c r="H252" s="2">
        <v>10826.89</v>
      </c>
      <c r="I252" s="2" t="s">
        <v>1776</v>
      </c>
      <c r="J252" s="2">
        <v>13</v>
      </c>
      <c r="K252" s="2" t="s">
        <v>13</v>
      </c>
      <c r="L252" s="2" t="s">
        <v>15</v>
      </c>
      <c r="M252" s="2" t="s">
        <v>16</v>
      </c>
      <c r="N252" s="2" t="s">
        <v>25</v>
      </c>
    </row>
    <row r="253" spans="1:14" x14ac:dyDescent="0.3">
      <c r="A253" s="3" t="s">
        <v>9109</v>
      </c>
      <c r="B253" s="3" t="s">
        <v>1989</v>
      </c>
      <c r="C253" s="3" t="s">
        <v>18</v>
      </c>
      <c r="D253" s="3" t="s">
        <v>834</v>
      </c>
      <c r="E253" s="3" t="s">
        <v>29</v>
      </c>
      <c r="F253" s="3">
        <v>2</v>
      </c>
      <c r="G253" s="3">
        <v>52640.87</v>
      </c>
      <c r="H253" s="3">
        <v>26320.44</v>
      </c>
      <c r="I253" s="3" t="s">
        <v>612</v>
      </c>
      <c r="J253" s="3">
        <v>326</v>
      </c>
      <c r="K253" s="3" t="s">
        <v>27</v>
      </c>
      <c r="L253" s="3" t="s">
        <v>48</v>
      </c>
      <c r="M253" s="3" t="s">
        <v>24</v>
      </c>
      <c r="N253" s="3" t="s">
        <v>17</v>
      </c>
    </row>
    <row r="254" spans="1:14" x14ac:dyDescent="0.3">
      <c r="A254" s="2" t="s">
        <v>9110</v>
      </c>
      <c r="B254" s="2" t="s">
        <v>210</v>
      </c>
      <c r="C254" s="2" t="s">
        <v>18</v>
      </c>
      <c r="D254" s="2" t="s">
        <v>160</v>
      </c>
      <c r="E254" s="2" t="s">
        <v>29</v>
      </c>
      <c r="F254" s="2">
        <v>28</v>
      </c>
      <c r="G254" s="2">
        <v>23050.14</v>
      </c>
      <c r="H254" s="2">
        <v>823.22</v>
      </c>
      <c r="I254" s="2" t="s">
        <v>1617</v>
      </c>
      <c r="J254" s="2">
        <v>225</v>
      </c>
      <c r="K254" s="2" t="s">
        <v>21</v>
      </c>
      <c r="L254" s="2" t="s">
        <v>15</v>
      </c>
      <c r="M254" s="2" t="s">
        <v>31</v>
      </c>
      <c r="N254" s="2" t="s">
        <v>17</v>
      </c>
    </row>
    <row r="255" spans="1:14" x14ac:dyDescent="0.3">
      <c r="A255" s="3" t="s">
        <v>9111</v>
      </c>
      <c r="B255" s="3" t="s">
        <v>495</v>
      </c>
      <c r="C255" s="3" t="s">
        <v>42</v>
      </c>
      <c r="D255" s="3" t="s">
        <v>324</v>
      </c>
      <c r="E255" s="3" t="s">
        <v>39</v>
      </c>
      <c r="F255" s="3">
        <v>24</v>
      </c>
      <c r="G255" s="3">
        <v>3484.62</v>
      </c>
      <c r="H255" s="3">
        <v>145.19</v>
      </c>
      <c r="I255" s="3" t="s">
        <v>906</v>
      </c>
      <c r="J255" s="3">
        <v>78</v>
      </c>
      <c r="K255" s="3" t="s">
        <v>27</v>
      </c>
      <c r="L255" s="3" t="s">
        <v>43</v>
      </c>
      <c r="M255" s="3" t="s">
        <v>41</v>
      </c>
      <c r="N255" s="3" t="s">
        <v>25</v>
      </c>
    </row>
    <row r="256" spans="1:14" x14ac:dyDescent="0.3">
      <c r="A256" s="2" t="s">
        <v>9112</v>
      </c>
      <c r="B256" s="2" t="s">
        <v>768</v>
      </c>
      <c r="C256" s="2" t="s">
        <v>42</v>
      </c>
      <c r="D256" s="2" t="s">
        <v>334</v>
      </c>
      <c r="E256" s="2" t="s">
        <v>29</v>
      </c>
      <c r="F256" s="2">
        <v>6</v>
      </c>
      <c r="G256" s="2">
        <v>23323.58</v>
      </c>
      <c r="H256" s="2">
        <v>3887.26</v>
      </c>
      <c r="I256" s="2" t="s">
        <v>3651</v>
      </c>
      <c r="J256" s="2">
        <v>301</v>
      </c>
      <c r="K256" s="2" t="s">
        <v>13</v>
      </c>
      <c r="L256" s="2" t="s">
        <v>47</v>
      </c>
      <c r="M256" s="2" t="s">
        <v>31</v>
      </c>
      <c r="N256" s="2" t="s">
        <v>17</v>
      </c>
    </row>
    <row r="257" spans="1:14" x14ac:dyDescent="0.3">
      <c r="A257" s="3" t="s">
        <v>9113</v>
      </c>
      <c r="B257" s="3" t="s">
        <v>1464</v>
      </c>
      <c r="C257" s="3" t="s">
        <v>26</v>
      </c>
      <c r="D257" s="3" t="s">
        <v>834</v>
      </c>
      <c r="E257" s="3" t="s">
        <v>29</v>
      </c>
      <c r="F257" s="3">
        <v>4</v>
      </c>
      <c r="G257" s="3">
        <v>148553.72</v>
      </c>
      <c r="H257" s="3">
        <v>37138.43</v>
      </c>
      <c r="I257" s="3" t="s">
        <v>612</v>
      </c>
      <c r="J257" s="3">
        <v>326</v>
      </c>
      <c r="K257" s="3" t="s">
        <v>13</v>
      </c>
      <c r="L257" s="3" t="s">
        <v>40</v>
      </c>
      <c r="M257" s="3" t="s">
        <v>16</v>
      </c>
      <c r="N257" s="3" t="s">
        <v>17</v>
      </c>
    </row>
    <row r="258" spans="1:14" x14ac:dyDescent="0.3">
      <c r="A258" s="2" t="s">
        <v>9114</v>
      </c>
      <c r="B258" s="2" t="s">
        <v>2286</v>
      </c>
      <c r="C258" s="2" t="s">
        <v>26</v>
      </c>
      <c r="D258" s="2" t="s">
        <v>283</v>
      </c>
      <c r="E258" s="2" t="s">
        <v>22</v>
      </c>
      <c r="F258" s="2">
        <v>19</v>
      </c>
      <c r="G258" s="2">
        <v>27689.89</v>
      </c>
      <c r="H258" s="2">
        <v>1457.36</v>
      </c>
      <c r="I258" s="2" t="s">
        <v>1307</v>
      </c>
      <c r="J258" s="2">
        <v>262</v>
      </c>
      <c r="K258" s="2" t="s">
        <v>21</v>
      </c>
      <c r="L258" s="2" t="s">
        <v>15</v>
      </c>
      <c r="M258" s="2" t="s">
        <v>31</v>
      </c>
      <c r="N258" s="2" t="s">
        <v>17</v>
      </c>
    </row>
    <row r="259" spans="1:14" x14ac:dyDescent="0.3">
      <c r="A259" s="3" t="s">
        <v>9115</v>
      </c>
      <c r="B259" s="3" t="s">
        <v>2097</v>
      </c>
      <c r="C259" s="3" t="s">
        <v>26</v>
      </c>
      <c r="D259" s="3" t="s">
        <v>225</v>
      </c>
      <c r="E259" s="3" t="s">
        <v>39</v>
      </c>
      <c r="F259" s="3">
        <v>17</v>
      </c>
      <c r="G259" s="3">
        <v>129504</v>
      </c>
      <c r="H259" s="3">
        <v>7617.88</v>
      </c>
      <c r="I259" s="3" t="s">
        <v>415</v>
      </c>
      <c r="J259" s="3">
        <v>289</v>
      </c>
      <c r="K259" s="3" t="s">
        <v>21</v>
      </c>
      <c r="L259" s="3" t="s">
        <v>48</v>
      </c>
      <c r="M259" s="3" t="s">
        <v>16</v>
      </c>
      <c r="N259" s="3" t="s">
        <v>17</v>
      </c>
    </row>
    <row r="260" spans="1:14" x14ac:dyDescent="0.3">
      <c r="A260" s="2" t="s">
        <v>9116</v>
      </c>
      <c r="B260" s="2" t="s">
        <v>4049</v>
      </c>
      <c r="C260" s="2" t="s">
        <v>42</v>
      </c>
      <c r="D260" s="2" t="s">
        <v>712</v>
      </c>
      <c r="E260" s="2" t="s">
        <v>14</v>
      </c>
      <c r="F260" s="2">
        <v>8</v>
      </c>
      <c r="G260" s="2">
        <v>60895.28</v>
      </c>
      <c r="H260" s="2">
        <v>7611.91</v>
      </c>
      <c r="I260" s="2" t="s">
        <v>244</v>
      </c>
      <c r="J260" s="2">
        <v>95</v>
      </c>
      <c r="K260" s="2" t="s">
        <v>28</v>
      </c>
      <c r="L260" s="2" t="s">
        <v>30</v>
      </c>
      <c r="M260" s="2" t="s">
        <v>24</v>
      </c>
      <c r="N260" s="2" t="s">
        <v>32</v>
      </c>
    </row>
    <row r="261" spans="1:14" x14ac:dyDescent="0.3">
      <c r="A261" s="3" t="s">
        <v>7839</v>
      </c>
      <c r="B261" s="3" t="s">
        <v>1433</v>
      </c>
      <c r="C261" s="3" t="s">
        <v>18</v>
      </c>
      <c r="D261" s="3" t="s">
        <v>109</v>
      </c>
      <c r="E261" s="3" t="s">
        <v>39</v>
      </c>
      <c r="F261" s="3">
        <v>29</v>
      </c>
      <c r="G261" s="3">
        <v>87659.57</v>
      </c>
      <c r="H261" s="3">
        <v>3022.74</v>
      </c>
      <c r="I261" s="3" t="s">
        <v>3797</v>
      </c>
      <c r="J261" s="3">
        <v>84</v>
      </c>
      <c r="K261" s="3" t="s">
        <v>13</v>
      </c>
      <c r="L261" s="3" t="s">
        <v>43</v>
      </c>
      <c r="M261" s="3" t="s">
        <v>24</v>
      </c>
      <c r="N261" s="3" t="s">
        <v>25</v>
      </c>
    </row>
    <row r="262" spans="1:14" x14ac:dyDescent="0.3">
      <c r="A262" s="2" t="s">
        <v>5570</v>
      </c>
      <c r="B262" s="2" t="s">
        <v>4049</v>
      </c>
      <c r="C262" s="2" t="s">
        <v>26</v>
      </c>
      <c r="D262" s="2" t="s">
        <v>122</v>
      </c>
      <c r="E262" s="2" t="s">
        <v>22</v>
      </c>
      <c r="F262" s="2">
        <v>18</v>
      </c>
      <c r="G262" s="2">
        <v>119810.4</v>
      </c>
      <c r="H262" s="2">
        <v>6656.13</v>
      </c>
      <c r="I262" s="2" t="s">
        <v>1688</v>
      </c>
      <c r="J262" s="2">
        <v>302</v>
      </c>
      <c r="K262" s="2" t="s">
        <v>21</v>
      </c>
      <c r="L262" s="2" t="s">
        <v>23</v>
      </c>
      <c r="M262" s="2" t="s">
        <v>16</v>
      </c>
      <c r="N262" s="2" t="s">
        <v>17</v>
      </c>
    </row>
    <row r="263" spans="1:14" x14ac:dyDescent="0.3">
      <c r="A263" s="3" t="s">
        <v>9117</v>
      </c>
      <c r="B263" s="3" t="s">
        <v>1286</v>
      </c>
      <c r="C263" s="3" t="s">
        <v>42</v>
      </c>
      <c r="D263" s="3" t="s">
        <v>160</v>
      </c>
      <c r="E263" s="3" t="s">
        <v>29</v>
      </c>
      <c r="F263" s="3">
        <v>7</v>
      </c>
      <c r="G263" s="3">
        <v>145781.56</v>
      </c>
      <c r="H263" s="3">
        <v>20825.939999999999</v>
      </c>
      <c r="I263" s="3" t="s">
        <v>4498</v>
      </c>
      <c r="J263" s="3">
        <v>147</v>
      </c>
      <c r="K263" s="3" t="s">
        <v>13</v>
      </c>
      <c r="L263" s="3" t="s">
        <v>47</v>
      </c>
      <c r="M263" s="3" t="s">
        <v>16</v>
      </c>
      <c r="N263" s="3" t="s">
        <v>32</v>
      </c>
    </row>
    <row r="264" spans="1:14" x14ac:dyDescent="0.3">
      <c r="A264" s="2" t="s">
        <v>9118</v>
      </c>
      <c r="B264" s="2" t="s">
        <v>339</v>
      </c>
      <c r="C264" s="2" t="s">
        <v>18</v>
      </c>
      <c r="D264" s="2" t="s">
        <v>712</v>
      </c>
      <c r="E264" s="2" t="s">
        <v>14</v>
      </c>
      <c r="F264" s="2">
        <v>19</v>
      </c>
      <c r="G264" s="2">
        <v>76910.27</v>
      </c>
      <c r="H264" s="2">
        <v>4047.91</v>
      </c>
      <c r="I264" s="2" t="s">
        <v>2153</v>
      </c>
      <c r="J264" s="2">
        <v>235</v>
      </c>
      <c r="K264" s="2" t="s">
        <v>28</v>
      </c>
      <c r="L264" s="2" t="s">
        <v>30</v>
      </c>
      <c r="M264" s="2" t="s">
        <v>24</v>
      </c>
      <c r="N264" s="2" t="s">
        <v>17</v>
      </c>
    </row>
    <row r="265" spans="1:14" x14ac:dyDescent="0.3">
      <c r="A265" s="3" t="s">
        <v>239</v>
      </c>
      <c r="B265" s="3" t="s">
        <v>2231</v>
      </c>
      <c r="C265" s="3" t="s">
        <v>33</v>
      </c>
      <c r="D265" s="3" t="s">
        <v>427</v>
      </c>
      <c r="E265" s="3" t="s">
        <v>29</v>
      </c>
      <c r="F265" s="3">
        <v>15</v>
      </c>
      <c r="G265" s="3">
        <v>130622.03</v>
      </c>
      <c r="H265" s="3">
        <v>8708.14</v>
      </c>
      <c r="I265" s="3" t="s">
        <v>1563</v>
      </c>
      <c r="J265" s="3">
        <v>204</v>
      </c>
      <c r="K265" s="3" t="s">
        <v>13</v>
      </c>
      <c r="L265" s="3" t="s">
        <v>47</v>
      </c>
      <c r="M265" s="3" t="s">
        <v>16</v>
      </c>
      <c r="N265" s="3" t="s">
        <v>17</v>
      </c>
    </row>
    <row r="266" spans="1:14" x14ac:dyDescent="0.3">
      <c r="A266" s="2" t="s">
        <v>829</v>
      </c>
      <c r="B266" s="2" t="s">
        <v>2147</v>
      </c>
      <c r="C266" s="2" t="s">
        <v>33</v>
      </c>
      <c r="D266" s="2" t="s">
        <v>314</v>
      </c>
      <c r="E266" s="2" t="s">
        <v>39</v>
      </c>
      <c r="F266" s="2">
        <v>2</v>
      </c>
      <c r="G266" s="2">
        <v>22799.48</v>
      </c>
      <c r="H266" s="2">
        <v>11399.74</v>
      </c>
      <c r="I266" s="2" t="s">
        <v>1256</v>
      </c>
      <c r="J266" s="2">
        <v>153</v>
      </c>
      <c r="K266" s="2" t="s">
        <v>28</v>
      </c>
      <c r="L266" s="2" t="s">
        <v>30</v>
      </c>
      <c r="M266" s="2" t="s">
        <v>31</v>
      </c>
      <c r="N266" s="2" t="s">
        <v>32</v>
      </c>
    </row>
    <row r="267" spans="1:14" x14ac:dyDescent="0.3">
      <c r="A267" s="3" t="s">
        <v>9119</v>
      </c>
      <c r="B267" s="3" t="s">
        <v>1505</v>
      </c>
      <c r="C267" s="3" t="s">
        <v>18</v>
      </c>
      <c r="D267" s="3" t="s">
        <v>254</v>
      </c>
      <c r="E267" s="3" t="s">
        <v>22</v>
      </c>
      <c r="F267" s="3">
        <v>26</v>
      </c>
      <c r="G267" s="3">
        <v>71839.38</v>
      </c>
      <c r="H267" s="3">
        <v>2763.05</v>
      </c>
      <c r="I267" s="3" t="s">
        <v>1784</v>
      </c>
      <c r="J267" s="3">
        <v>214</v>
      </c>
      <c r="K267" s="3" t="s">
        <v>13</v>
      </c>
      <c r="L267" s="3" t="s">
        <v>30</v>
      </c>
      <c r="M267" s="3" t="s">
        <v>24</v>
      </c>
      <c r="N267" s="3" t="s">
        <v>17</v>
      </c>
    </row>
    <row r="268" spans="1:14" x14ac:dyDescent="0.3">
      <c r="A268" s="2" t="s">
        <v>9120</v>
      </c>
      <c r="B268" s="2" t="s">
        <v>3848</v>
      </c>
      <c r="C268" s="2" t="s">
        <v>26</v>
      </c>
      <c r="D268" s="2" t="s">
        <v>193</v>
      </c>
      <c r="E268" s="2" t="s">
        <v>39</v>
      </c>
      <c r="F268" s="2">
        <v>27</v>
      </c>
      <c r="G268" s="2">
        <v>180762.17</v>
      </c>
      <c r="H268" s="2">
        <v>6694.9</v>
      </c>
      <c r="I268" s="2" t="s">
        <v>2542</v>
      </c>
      <c r="J268" s="2">
        <v>357</v>
      </c>
      <c r="K268" s="2" t="s">
        <v>13</v>
      </c>
      <c r="L268" s="2" t="s">
        <v>40</v>
      </c>
      <c r="M268" s="2" t="s">
        <v>16</v>
      </c>
      <c r="N268" s="2" t="s">
        <v>17</v>
      </c>
    </row>
    <row r="269" spans="1:14" x14ac:dyDescent="0.3">
      <c r="A269" s="3" t="s">
        <v>9121</v>
      </c>
      <c r="B269" s="3" t="s">
        <v>104</v>
      </c>
      <c r="C269" s="3" t="s">
        <v>18</v>
      </c>
      <c r="D269" s="3" t="s">
        <v>834</v>
      </c>
      <c r="E269" s="3" t="s">
        <v>29</v>
      </c>
      <c r="F269" s="3">
        <v>20</v>
      </c>
      <c r="G269" s="3">
        <v>113243.19</v>
      </c>
      <c r="H269" s="3">
        <v>5662.16</v>
      </c>
      <c r="I269" s="3" t="s">
        <v>2328</v>
      </c>
      <c r="J269" s="3">
        <v>105</v>
      </c>
      <c r="K269" s="3" t="s">
        <v>19</v>
      </c>
      <c r="L269" s="3" t="s">
        <v>48</v>
      </c>
      <c r="M269" s="3" t="s">
        <v>16</v>
      </c>
      <c r="N269" s="3" t="s">
        <v>32</v>
      </c>
    </row>
    <row r="270" spans="1:14" x14ac:dyDescent="0.3">
      <c r="A270" s="2" t="s">
        <v>9122</v>
      </c>
      <c r="B270" s="2" t="s">
        <v>1246</v>
      </c>
      <c r="C270" s="2" t="s">
        <v>18</v>
      </c>
      <c r="D270" s="2" t="s">
        <v>148</v>
      </c>
      <c r="E270" s="2" t="s">
        <v>29</v>
      </c>
      <c r="F270" s="2">
        <v>20</v>
      </c>
      <c r="G270" s="2">
        <v>28702.89</v>
      </c>
      <c r="H270" s="2">
        <v>1435.14</v>
      </c>
      <c r="I270" s="2" t="s">
        <v>3200</v>
      </c>
      <c r="J270" s="2">
        <v>229</v>
      </c>
      <c r="K270" s="2" t="s">
        <v>21</v>
      </c>
      <c r="L270" s="2" t="s">
        <v>15</v>
      </c>
      <c r="M270" s="2" t="s">
        <v>31</v>
      </c>
      <c r="N270" s="2" t="s">
        <v>17</v>
      </c>
    </row>
    <row r="271" spans="1:14" x14ac:dyDescent="0.3">
      <c r="A271" s="3" t="s">
        <v>9123</v>
      </c>
      <c r="B271" s="3" t="s">
        <v>1077</v>
      </c>
      <c r="C271" s="3" t="s">
        <v>26</v>
      </c>
      <c r="D271" s="3" t="s">
        <v>183</v>
      </c>
      <c r="E271" s="3" t="s">
        <v>14</v>
      </c>
      <c r="F271" s="3">
        <v>6</v>
      </c>
      <c r="G271" s="3">
        <v>33048</v>
      </c>
      <c r="H271" s="3">
        <v>5508</v>
      </c>
      <c r="I271" s="3" t="s">
        <v>565</v>
      </c>
      <c r="J271" s="3">
        <v>80</v>
      </c>
      <c r="K271" s="3" t="s">
        <v>19</v>
      </c>
      <c r="L271" s="3" t="s">
        <v>23</v>
      </c>
      <c r="M271" s="3" t="s">
        <v>31</v>
      </c>
      <c r="N271" s="3" t="s">
        <v>25</v>
      </c>
    </row>
    <row r="272" spans="1:14" x14ac:dyDescent="0.3">
      <c r="A272" s="2" t="s">
        <v>9124</v>
      </c>
      <c r="B272" s="2" t="s">
        <v>4342</v>
      </c>
      <c r="C272" s="2" t="s">
        <v>33</v>
      </c>
      <c r="D272" s="2" t="s">
        <v>225</v>
      </c>
      <c r="E272" s="2" t="s">
        <v>39</v>
      </c>
      <c r="F272" s="2">
        <v>29</v>
      </c>
      <c r="G272" s="2">
        <v>194489.83</v>
      </c>
      <c r="H272" s="2">
        <v>6706.55</v>
      </c>
      <c r="I272" s="2" t="s">
        <v>5295</v>
      </c>
      <c r="J272" s="2">
        <v>129</v>
      </c>
      <c r="K272" s="2" t="s">
        <v>19</v>
      </c>
      <c r="L272" s="2" t="s">
        <v>30</v>
      </c>
      <c r="M272" s="2" t="s">
        <v>16</v>
      </c>
      <c r="N272" s="2" t="s">
        <v>32</v>
      </c>
    </row>
    <row r="273" spans="1:14" x14ac:dyDescent="0.3">
      <c r="A273" s="3" t="s">
        <v>9125</v>
      </c>
      <c r="B273" s="3" t="s">
        <v>4342</v>
      </c>
      <c r="C273" s="3" t="s">
        <v>18</v>
      </c>
      <c r="D273" s="3" t="s">
        <v>283</v>
      </c>
      <c r="E273" s="3" t="s">
        <v>22</v>
      </c>
      <c r="F273" s="3">
        <v>27</v>
      </c>
      <c r="G273" s="3">
        <v>133900.04</v>
      </c>
      <c r="H273" s="3">
        <v>4959.26</v>
      </c>
      <c r="I273" s="3" t="s">
        <v>1211</v>
      </c>
      <c r="J273" s="3">
        <v>128</v>
      </c>
      <c r="K273" s="3" t="s">
        <v>19</v>
      </c>
      <c r="L273" s="3" t="s">
        <v>43</v>
      </c>
      <c r="M273" s="3" t="s">
        <v>16</v>
      </c>
      <c r="N273" s="3" t="s">
        <v>32</v>
      </c>
    </row>
    <row r="274" spans="1:14" x14ac:dyDescent="0.3">
      <c r="A274" s="2" t="s">
        <v>9126</v>
      </c>
      <c r="B274" s="2" t="s">
        <v>1395</v>
      </c>
      <c r="C274" s="2" t="s">
        <v>26</v>
      </c>
      <c r="D274" s="2" t="s">
        <v>324</v>
      </c>
      <c r="E274" s="2" t="s">
        <v>39</v>
      </c>
      <c r="F274" s="2">
        <v>23</v>
      </c>
      <c r="G274" s="2">
        <v>132129.31</v>
      </c>
      <c r="H274" s="2">
        <v>5744.75</v>
      </c>
      <c r="I274" s="2" t="s">
        <v>975</v>
      </c>
      <c r="J274" s="2">
        <v>69</v>
      </c>
      <c r="K274" s="2" t="s">
        <v>28</v>
      </c>
      <c r="L274" s="2" t="s">
        <v>40</v>
      </c>
      <c r="M274" s="2" t="s">
        <v>16</v>
      </c>
      <c r="N274" s="2" t="s">
        <v>25</v>
      </c>
    </row>
    <row r="275" spans="1:14" x14ac:dyDescent="0.3">
      <c r="A275" s="3" t="s">
        <v>9127</v>
      </c>
      <c r="B275" s="3" t="s">
        <v>1590</v>
      </c>
      <c r="C275" s="3" t="s">
        <v>26</v>
      </c>
      <c r="D275" s="3" t="s">
        <v>712</v>
      </c>
      <c r="E275" s="3" t="s">
        <v>14</v>
      </c>
      <c r="F275" s="3">
        <v>14</v>
      </c>
      <c r="G275" s="3">
        <v>88997.2</v>
      </c>
      <c r="H275" s="3">
        <v>6356.94</v>
      </c>
      <c r="I275" s="3" t="s">
        <v>1256</v>
      </c>
      <c r="J275" s="3">
        <v>153</v>
      </c>
      <c r="K275" s="3" t="s">
        <v>19</v>
      </c>
      <c r="L275" s="3" t="s">
        <v>30</v>
      </c>
      <c r="M275" s="3" t="s">
        <v>24</v>
      </c>
      <c r="N275" s="3" t="s">
        <v>32</v>
      </c>
    </row>
    <row r="276" spans="1:14" x14ac:dyDescent="0.3">
      <c r="A276" s="2" t="s">
        <v>9128</v>
      </c>
      <c r="B276" s="2" t="s">
        <v>3865</v>
      </c>
      <c r="C276" s="2" t="s">
        <v>33</v>
      </c>
      <c r="D276" s="2" t="s">
        <v>225</v>
      </c>
      <c r="E276" s="2" t="s">
        <v>39</v>
      </c>
      <c r="F276" s="2">
        <v>26</v>
      </c>
      <c r="G276" s="2">
        <v>118764.37</v>
      </c>
      <c r="H276" s="2">
        <v>4567.8599999999997</v>
      </c>
      <c r="I276" s="2" t="s">
        <v>2328</v>
      </c>
      <c r="J276" s="2">
        <v>105</v>
      </c>
      <c r="K276" s="2" t="s">
        <v>19</v>
      </c>
      <c r="L276" s="2" t="s">
        <v>47</v>
      </c>
      <c r="M276" s="2" t="s">
        <v>16</v>
      </c>
      <c r="N276" s="2" t="s">
        <v>32</v>
      </c>
    </row>
    <row r="277" spans="1:14" x14ac:dyDescent="0.3">
      <c r="A277" s="3" t="s">
        <v>9129</v>
      </c>
      <c r="B277" s="3" t="s">
        <v>1286</v>
      </c>
      <c r="C277" s="3" t="s">
        <v>33</v>
      </c>
      <c r="D277" s="3" t="s">
        <v>122</v>
      </c>
      <c r="E277" s="3" t="s">
        <v>22</v>
      </c>
      <c r="F277" s="3">
        <v>20</v>
      </c>
      <c r="G277" s="3">
        <v>93240.16</v>
      </c>
      <c r="H277" s="3">
        <v>4662.01</v>
      </c>
      <c r="I277" s="3" t="s">
        <v>1480</v>
      </c>
      <c r="J277" s="3">
        <v>286</v>
      </c>
      <c r="K277" s="3" t="s">
        <v>28</v>
      </c>
      <c r="L277" s="3" t="s">
        <v>47</v>
      </c>
      <c r="M277" s="3" t="s">
        <v>24</v>
      </c>
      <c r="N277" s="3" t="s">
        <v>17</v>
      </c>
    </row>
    <row r="278" spans="1:14" x14ac:dyDescent="0.3">
      <c r="A278" s="2" t="s">
        <v>9130</v>
      </c>
      <c r="B278" s="2" t="s">
        <v>221</v>
      </c>
      <c r="C278" s="2" t="s">
        <v>33</v>
      </c>
      <c r="D278" s="2" t="s">
        <v>254</v>
      </c>
      <c r="E278" s="2" t="s">
        <v>22</v>
      </c>
      <c r="F278" s="2">
        <v>14</v>
      </c>
      <c r="G278" s="2">
        <v>82147.679999999993</v>
      </c>
      <c r="H278" s="2">
        <v>5867.69</v>
      </c>
      <c r="I278" s="2" t="s">
        <v>887</v>
      </c>
      <c r="J278" s="2">
        <v>203</v>
      </c>
      <c r="K278" s="2" t="s">
        <v>28</v>
      </c>
      <c r="L278" s="2" t="s">
        <v>15</v>
      </c>
      <c r="M278" s="2" t="s">
        <v>24</v>
      </c>
      <c r="N278" s="2" t="s">
        <v>17</v>
      </c>
    </row>
    <row r="279" spans="1:14" x14ac:dyDescent="0.3">
      <c r="A279" s="3" t="s">
        <v>9131</v>
      </c>
      <c r="B279" s="3" t="s">
        <v>1637</v>
      </c>
      <c r="C279" s="3" t="s">
        <v>42</v>
      </c>
      <c r="D279" s="3" t="s">
        <v>334</v>
      </c>
      <c r="E279" s="3" t="s">
        <v>29</v>
      </c>
      <c r="F279" s="3">
        <v>8</v>
      </c>
      <c r="G279" s="3">
        <v>57027.38</v>
      </c>
      <c r="H279" s="3">
        <v>7128.42</v>
      </c>
      <c r="I279" s="3" t="s">
        <v>3797</v>
      </c>
      <c r="J279" s="3">
        <v>84</v>
      </c>
      <c r="K279" s="3" t="s">
        <v>19</v>
      </c>
      <c r="L279" s="3" t="s">
        <v>48</v>
      </c>
      <c r="M279" s="3" t="s">
        <v>24</v>
      </c>
      <c r="N279" s="3" t="s">
        <v>25</v>
      </c>
    </row>
    <row r="280" spans="1:14" x14ac:dyDescent="0.3">
      <c r="A280" s="2" t="s">
        <v>2362</v>
      </c>
      <c r="B280" s="2" t="s">
        <v>155</v>
      </c>
      <c r="C280" s="2" t="s">
        <v>33</v>
      </c>
      <c r="D280" s="2" t="s">
        <v>283</v>
      </c>
      <c r="E280" s="2" t="s">
        <v>22</v>
      </c>
      <c r="F280" s="2">
        <v>2</v>
      </c>
      <c r="G280" s="2">
        <v>125017.11</v>
      </c>
      <c r="H280" s="2">
        <v>62508.56</v>
      </c>
      <c r="I280" s="2" t="s">
        <v>2248</v>
      </c>
      <c r="J280" s="2">
        <v>258</v>
      </c>
      <c r="K280" s="2" t="s">
        <v>27</v>
      </c>
      <c r="L280" s="2" t="s">
        <v>47</v>
      </c>
      <c r="M280" s="2" t="s">
        <v>16</v>
      </c>
      <c r="N280" s="2" t="s">
        <v>17</v>
      </c>
    </row>
    <row r="281" spans="1:14" x14ac:dyDescent="0.3">
      <c r="A281" s="3" t="s">
        <v>9132</v>
      </c>
      <c r="B281" s="3" t="s">
        <v>3436</v>
      </c>
      <c r="C281" s="3" t="s">
        <v>42</v>
      </c>
      <c r="D281" s="3" t="s">
        <v>324</v>
      </c>
      <c r="E281" s="3" t="s">
        <v>39</v>
      </c>
      <c r="F281" s="3">
        <v>20</v>
      </c>
      <c r="G281" s="3">
        <v>158869.54</v>
      </c>
      <c r="H281" s="3">
        <v>7943.48</v>
      </c>
      <c r="I281" s="3" t="s">
        <v>2409</v>
      </c>
      <c r="J281" s="3">
        <v>155</v>
      </c>
      <c r="K281" s="3" t="s">
        <v>27</v>
      </c>
      <c r="L281" s="3" t="s">
        <v>48</v>
      </c>
      <c r="M281" s="3" t="s">
        <v>16</v>
      </c>
      <c r="N281" s="3" t="s">
        <v>32</v>
      </c>
    </row>
    <row r="282" spans="1:14" x14ac:dyDescent="0.3">
      <c r="A282" s="2" t="s">
        <v>9133</v>
      </c>
      <c r="B282" s="2" t="s">
        <v>1484</v>
      </c>
      <c r="C282" s="2" t="s">
        <v>26</v>
      </c>
      <c r="D282" s="2" t="s">
        <v>183</v>
      </c>
      <c r="E282" s="2" t="s">
        <v>14</v>
      </c>
      <c r="F282" s="2">
        <v>4</v>
      </c>
      <c r="G282" s="2">
        <v>62644.53</v>
      </c>
      <c r="H282" s="2">
        <v>15661.13</v>
      </c>
      <c r="I282" s="2" t="s">
        <v>7458</v>
      </c>
      <c r="J282" s="2">
        <v>178</v>
      </c>
      <c r="K282" s="2" t="s">
        <v>27</v>
      </c>
      <c r="L282" s="2" t="s">
        <v>48</v>
      </c>
      <c r="M282" s="2" t="s">
        <v>24</v>
      </c>
      <c r="N282" s="2" t="s">
        <v>32</v>
      </c>
    </row>
    <row r="283" spans="1:14" x14ac:dyDescent="0.3">
      <c r="A283" s="3" t="s">
        <v>9134</v>
      </c>
      <c r="B283" s="3" t="s">
        <v>1792</v>
      </c>
      <c r="C283" s="3" t="s">
        <v>42</v>
      </c>
      <c r="D283" s="3" t="s">
        <v>193</v>
      </c>
      <c r="E283" s="3" t="s">
        <v>39</v>
      </c>
      <c r="F283" s="3">
        <v>1</v>
      </c>
      <c r="G283" s="3">
        <v>143796.34</v>
      </c>
      <c r="H283" s="3">
        <v>143796.34</v>
      </c>
      <c r="I283" s="3" t="s">
        <v>2328</v>
      </c>
      <c r="J283" s="3">
        <v>105</v>
      </c>
      <c r="K283" s="3" t="s">
        <v>13</v>
      </c>
      <c r="L283" s="3" t="s">
        <v>40</v>
      </c>
      <c r="M283" s="3" t="s">
        <v>16</v>
      </c>
      <c r="N283" s="3" t="s">
        <v>32</v>
      </c>
    </row>
    <row r="284" spans="1:14" x14ac:dyDescent="0.3">
      <c r="A284" s="2" t="s">
        <v>9135</v>
      </c>
      <c r="B284" s="2" t="s">
        <v>1981</v>
      </c>
      <c r="C284" s="2" t="s">
        <v>42</v>
      </c>
      <c r="D284" s="2" t="s">
        <v>324</v>
      </c>
      <c r="E284" s="2" t="s">
        <v>39</v>
      </c>
      <c r="F284" s="2">
        <v>12</v>
      </c>
      <c r="G284" s="2">
        <v>118940.49</v>
      </c>
      <c r="H284" s="2">
        <v>9911.7099999999991</v>
      </c>
      <c r="I284" s="2" t="s">
        <v>2414</v>
      </c>
      <c r="J284" s="2">
        <v>228</v>
      </c>
      <c r="K284" s="2" t="s">
        <v>19</v>
      </c>
      <c r="L284" s="2" t="s">
        <v>30</v>
      </c>
      <c r="M284" s="2" t="s">
        <v>16</v>
      </c>
      <c r="N284" s="2" t="s">
        <v>17</v>
      </c>
    </row>
    <row r="285" spans="1:14" x14ac:dyDescent="0.3">
      <c r="A285" s="3" t="s">
        <v>9136</v>
      </c>
      <c r="B285" s="3" t="s">
        <v>1683</v>
      </c>
      <c r="C285" s="3" t="s">
        <v>18</v>
      </c>
      <c r="D285" s="3" t="s">
        <v>95</v>
      </c>
      <c r="E285" s="3" t="s">
        <v>14</v>
      </c>
      <c r="F285" s="3">
        <v>12</v>
      </c>
      <c r="G285" s="3">
        <v>94525.42</v>
      </c>
      <c r="H285" s="3">
        <v>7877.12</v>
      </c>
      <c r="I285" s="3" t="s">
        <v>1971</v>
      </c>
      <c r="J285" s="3">
        <v>148</v>
      </c>
      <c r="K285" s="3" t="s">
        <v>27</v>
      </c>
      <c r="L285" s="3" t="s">
        <v>47</v>
      </c>
      <c r="M285" s="3" t="s">
        <v>24</v>
      </c>
      <c r="N285" s="3" t="s">
        <v>32</v>
      </c>
    </row>
    <row r="286" spans="1:14" x14ac:dyDescent="0.3">
      <c r="A286" s="2" t="s">
        <v>9137</v>
      </c>
      <c r="B286" s="2" t="s">
        <v>487</v>
      </c>
      <c r="C286" s="2" t="s">
        <v>33</v>
      </c>
      <c r="D286" s="2" t="s">
        <v>160</v>
      </c>
      <c r="E286" s="2" t="s">
        <v>29</v>
      </c>
      <c r="F286" s="2">
        <v>8</v>
      </c>
      <c r="G286" s="2">
        <v>66308.210000000006</v>
      </c>
      <c r="H286" s="2">
        <v>8288.5300000000007</v>
      </c>
      <c r="I286" s="2" t="s">
        <v>3610</v>
      </c>
      <c r="J286" s="2">
        <v>61</v>
      </c>
      <c r="K286" s="2" t="s">
        <v>13</v>
      </c>
      <c r="L286" s="2" t="s">
        <v>23</v>
      </c>
      <c r="M286" s="2" t="s">
        <v>24</v>
      </c>
      <c r="N286" s="2" t="s">
        <v>25</v>
      </c>
    </row>
    <row r="287" spans="1:14" x14ac:dyDescent="0.3">
      <c r="A287" s="3" t="s">
        <v>9138</v>
      </c>
      <c r="B287" s="3" t="s">
        <v>1644</v>
      </c>
      <c r="C287" s="3" t="s">
        <v>42</v>
      </c>
      <c r="D287" s="3" t="s">
        <v>283</v>
      </c>
      <c r="E287" s="3" t="s">
        <v>22</v>
      </c>
      <c r="F287" s="3">
        <v>3</v>
      </c>
      <c r="G287" s="3">
        <v>178507.29</v>
      </c>
      <c r="H287" s="3">
        <v>59502.43</v>
      </c>
      <c r="I287" s="3" t="s">
        <v>1778</v>
      </c>
      <c r="J287" s="3">
        <v>4</v>
      </c>
      <c r="K287" s="3" t="s">
        <v>27</v>
      </c>
      <c r="L287" s="3" t="s">
        <v>40</v>
      </c>
      <c r="M287" s="3" t="s">
        <v>16</v>
      </c>
      <c r="N287" s="3" t="s">
        <v>25</v>
      </c>
    </row>
    <row r="288" spans="1:14" x14ac:dyDescent="0.3">
      <c r="A288" s="2" t="s">
        <v>9139</v>
      </c>
      <c r="B288" s="2" t="s">
        <v>2286</v>
      </c>
      <c r="C288" s="2" t="s">
        <v>18</v>
      </c>
      <c r="D288" s="2" t="s">
        <v>109</v>
      </c>
      <c r="E288" s="2" t="s">
        <v>39</v>
      </c>
      <c r="F288" s="2">
        <v>11</v>
      </c>
      <c r="G288" s="2">
        <v>82187.03</v>
      </c>
      <c r="H288" s="2">
        <v>7471.55</v>
      </c>
      <c r="I288" s="2" t="s">
        <v>1047</v>
      </c>
      <c r="J288" s="2">
        <v>44</v>
      </c>
      <c r="K288" s="2" t="s">
        <v>27</v>
      </c>
      <c r="L288" s="2" t="s">
        <v>43</v>
      </c>
      <c r="M288" s="2" t="s">
        <v>24</v>
      </c>
      <c r="N288" s="2" t="s">
        <v>25</v>
      </c>
    </row>
    <row r="289" spans="1:14" x14ac:dyDescent="0.3">
      <c r="A289" s="3" t="s">
        <v>9140</v>
      </c>
      <c r="B289" s="3" t="s">
        <v>1395</v>
      </c>
      <c r="C289" s="3" t="s">
        <v>42</v>
      </c>
      <c r="D289" s="3" t="s">
        <v>834</v>
      </c>
      <c r="E289" s="3" t="s">
        <v>29</v>
      </c>
      <c r="F289" s="3">
        <v>26</v>
      </c>
      <c r="G289" s="3">
        <v>90249.52</v>
      </c>
      <c r="H289" s="3">
        <v>3471.14</v>
      </c>
      <c r="I289" s="3" t="s">
        <v>1906</v>
      </c>
      <c r="J289" s="3">
        <v>47</v>
      </c>
      <c r="K289" s="3" t="s">
        <v>27</v>
      </c>
      <c r="L289" s="3" t="s">
        <v>47</v>
      </c>
      <c r="M289" s="3" t="s">
        <v>24</v>
      </c>
      <c r="N289" s="3" t="s">
        <v>25</v>
      </c>
    </row>
    <row r="290" spans="1:14" x14ac:dyDescent="0.3">
      <c r="A290" s="2" t="s">
        <v>9141</v>
      </c>
      <c r="B290" s="2" t="s">
        <v>1253</v>
      </c>
      <c r="C290" s="2" t="s">
        <v>42</v>
      </c>
      <c r="D290" s="2" t="s">
        <v>283</v>
      </c>
      <c r="E290" s="2" t="s">
        <v>22</v>
      </c>
      <c r="F290" s="2">
        <v>26</v>
      </c>
      <c r="G290" s="2">
        <v>160621.84</v>
      </c>
      <c r="H290" s="2">
        <v>6177.76</v>
      </c>
      <c r="I290" s="2" t="s">
        <v>2542</v>
      </c>
      <c r="J290" s="2">
        <v>357</v>
      </c>
      <c r="K290" s="2" t="s">
        <v>19</v>
      </c>
      <c r="L290" s="2" t="s">
        <v>40</v>
      </c>
      <c r="M290" s="2" t="s">
        <v>16</v>
      </c>
      <c r="N290" s="2" t="s">
        <v>17</v>
      </c>
    </row>
    <row r="291" spans="1:14" x14ac:dyDescent="0.3">
      <c r="A291" s="3" t="s">
        <v>9142</v>
      </c>
      <c r="B291" s="3" t="s">
        <v>782</v>
      </c>
      <c r="C291" s="3" t="s">
        <v>26</v>
      </c>
      <c r="D291" s="3" t="s">
        <v>160</v>
      </c>
      <c r="E291" s="3" t="s">
        <v>29</v>
      </c>
      <c r="F291" s="3">
        <v>5</v>
      </c>
      <c r="G291" s="3">
        <v>153167.12</v>
      </c>
      <c r="H291" s="3">
        <v>30633.42</v>
      </c>
      <c r="I291" s="3" t="s">
        <v>2665</v>
      </c>
      <c r="J291" s="3">
        <v>197</v>
      </c>
      <c r="K291" s="3" t="s">
        <v>13</v>
      </c>
      <c r="L291" s="3" t="s">
        <v>30</v>
      </c>
      <c r="M291" s="3" t="s">
        <v>16</v>
      </c>
      <c r="N291" s="3" t="s">
        <v>17</v>
      </c>
    </row>
    <row r="292" spans="1:14" x14ac:dyDescent="0.3">
      <c r="A292" s="2" t="s">
        <v>7369</v>
      </c>
      <c r="B292" s="2" t="s">
        <v>1253</v>
      </c>
      <c r="C292" s="2" t="s">
        <v>26</v>
      </c>
      <c r="D292" s="2" t="s">
        <v>712</v>
      </c>
      <c r="E292" s="2" t="s">
        <v>14</v>
      </c>
      <c r="F292" s="2">
        <v>20</v>
      </c>
      <c r="G292" s="2">
        <v>115907.01</v>
      </c>
      <c r="H292" s="2">
        <v>5795.35</v>
      </c>
      <c r="I292" s="2" t="s">
        <v>2552</v>
      </c>
      <c r="J292" s="2">
        <v>175</v>
      </c>
      <c r="K292" s="2" t="s">
        <v>13</v>
      </c>
      <c r="L292" s="2" t="s">
        <v>43</v>
      </c>
      <c r="M292" s="2" t="s">
        <v>16</v>
      </c>
      <c r="N292" s="2" t="s">
        <v>32</v>
      </c>
    </row>
    <row r="293" spans="1:14" x14ac:dyDescent="0.3">
      <c r="A293" s="3" t="s">
        <v>1523</v>
      </c>
      <c r="B293" s="3" t="s">
        <v>743</v>
      </c>
      <c r="C293" s="3" t="s">
        <v>33</v>
      </c>
      <c r="D293" s="3" t="s">
        <v>334</v>
      </c>
      <c r="E293" s="3" t="s">
        <v>29</v>
      </c>
      <c r="F293" s="3">
        <v>4</v>
      </c>
      <c r="G293" s="3">
        <v>120589.33</v>
      </c>
      <c r="H293" s="3">
        <v>30147.33</v>
      </c>
      <c r="I293" s="3" t="s">
        <v>1199</v>
      </c>
      <c r="J293" s="3">
        <v>336</v>
      </c>
      <c r="K293" s="3" t="s">
        <v>19</v>
      </c>
      <c r="L293" s="3" t="s">
        <v>40</v>
      </c>
      <c r="M293" s="3" t="s">
        <v>16</v>
      </c>
      <c r="N293" s="3" t="s">
        <v>17</v>
      </c>
    </row>
    <row r="294" spans="1:14" x14ac:dyDescent="0.3">
      <c r="A294" s="2" t="s">
        <v>724</v>
      </c>
      <c r="B294" s="2" t="s">
        <v>3938</v>
      </c>
      <c r="C294" s="2" t="s">
        <v>42</v>
      </c>
      <c r="D294" s="2" t="s">
        <v>314</v>
      </c>
      <c r="E294" s="2" t="s">
        <v>39</v>
      </c>
      <c r="F294" s="2">
        <v>24</v>
      </c>
      <c r="G294" s="2">
        <v>115813.78</v>
      </c>
      <c r="H294" s="2">
        <v>4825.57</v>
      </c>
      <c r="I294" s="2" t="s">
        <v>2153</v>
      </c>
      <c r="J294" s="2">
        <v>235</v>
      </c>
      <c r="K294" s="2" t="s">
        <v>13</v>
      </c>
      <c r="L294" s="2" t="s">
        <v>40</v>
      </c>
      <c r="M294" s="2" t="s">
        <v>16</v>
      </c>
      <c r="N294" s="2" t="s">
        <v>17</v>
      </c>
    </row>
    <row r="295" spans="1:14" x14ac:dyDescent="0.3">
      <c r="A295" s="3" t="s">
        <v>9143</v>
      </c>
      <c r="B295" s="3" t="s">
        <v>1038</v>
      </c>
      <c r="C295" s="3" t="s">
        <v>26</v>
      </c>
      <c r="D295" s="3" t="s">
        <v>334</v>
      </c>
      <c r="E295" s="3" t="s">
        <v>29</v>
      </c>
      <c r="F295" s="3">
        <v>28</v>
      </c>
      <c r="G295" s="3">
        <v>70155.8</v>
      </c>
      <c r="H295" s="3">
        <v>2505.56</v>
      </c>
      <c r="I295" s="3" t="s">
        <v>1766</v>
      </c>
      <c r="J295" s="3">
        <v>257</v>
      </c>
      <c r="K295" s="3" t="s">
        <v>27</v>
      </c>
      <c r="L295" s="3" t="s">
        <v>40</v>
      </c>
      <c r="M295" s="3" t="s">
        <v>24</v>
      </c>
      <c r="N295" s="3" t="s">
        <v>17</v>
      </c>
    </row>
    <row r="296" spans="1:14" x14ac:dyDescent="0.3">
      <c r="A296" s="2" t="s">
        <v>4256</v>
      </c>
      <c r="B296" s="2" t="s">
        <v>799</v>
      </c>
      <c r="C296" s="2" t="s">
        <v>18</v>
      </c>
      <c r="D296" s="2" t="s">
        <v>193</v>
      </c>
      <c r="E296" s="2" t="s">
        <v>39</v>
      </c>
      <c r="F296" s="2">
        <v>25</v>
      </c>
      <c r="G296" s="2">
        <v>132417.93</v>
      </c>
      <c r="H296" s="2">
        <v>5296.72</v>
      </c>
      <c r="I296" s="2" t="s">
        <v>2899</v>
      </c>
      <c r="J296" s="2">
        <v>277</v>
      </c>
      <c r="K296" s="2" t="s">
        <v>27</v>
      </c>
      <c r="L296" s="2" t="s">
        <v>43</v>
      </c>
      <c r="M296" s="2" t="s">
        <v>16</v>
      </c>
      <c r="N296" s="2" t="s">
        <v>17</v>
      </c>
    </row>
    <row r="297" spans="1:14" x14ac:dyDescent="0.3">
      <c r="A297" s="3" t="s">
        <v>9144</v>
      </c>
      <c r="B297" s="3" t="s">
        <v>2534</v>
      </c>
      <c r="C297" s="3" t="s">
        <v>33</v>
      </c>
      <c r="D297" s="3" t="s">
        <v>109</v>
      </c>
      <c r="E297" s="3" t="s">
        <v>39</v>
      </c>
      <c r="F297" s="3">
        <v>26</v>
      </c>
      <c r="G297" s="3">
        <v>6417.9</v>
      </c>
      <c r="H297" s="3">
        <v>246.84</v>
      </c>
      <c r="I297" s="3" t="s">
        <v>3301</v>
      </c>
      <c r="J297" s="3">
        <v>163</v>
      </c>
      <c r="K297" s="3" t="s">
        <v>27</v>
      </c>
      <c r="L297" s="3" t="s">
        <v>15</v>
      </c>
      <c r="M297" s="3" t="s">
        <v>41</v>
      </c>
      <c r="N297" s="3" t="s">
        <v>32</v>
      </c>
    </row>
    <row r="298" spans="1:14" x14ac:dyDescent="0.3">
      <c r="A298" s="2" t="s">
        <v>9145</v>
      </c>
      <c r="B298" s="2" t="s">
        <v>3903</v>
      </c>
      <c r="C298" s="2" t="s">
        <v>18</v>
      </c>
      <c r="D298" s="2" t="s">
        <v>443</v>
      </c>
      <c r="E298" s="2" t="s">
        <v>22</v>
      </c>
      <c r="F298" s="2">
        <v>18</v>
      </c>
      <c r="G298" s="2">
        <v>39820.74</v>
      </c>
      <c r="H298" s="2">
        <v>2212.2600000000002</v>
      </c>
      <c r="I298" s="2" t="s">
        <v>580</v>
      </c>
      <c r="J298" s="2">
        <v>295</v>
      </c>
      <c r="K298" s="2" t="s">
        <v>27</v>
      </c>
      <c r="L298" s="2" t="s">
        <v>15</v>
      </c>
      <c r="M298" s="2" t="s">
        <v>31</v>
      </c>
      <c r="N298" s="2" t="s">
        <v>17</v>
      </c>
    </row>
    <row r="299" spans="1:14" x14ac:dyDescent="0.3">
      <c r="A299" s="3" t="s">
        <v>9146</v>
      </c>
      <c r="B299" s="3" t="s">
        <v>143</v>
      </c>
      <c r="C299" s="3" t="s">
        <v>18</v>
      </c>
      <c r="D299" s="3" t="s">
        <v>95</v>
      </c>
      <c r="E299" s="3" t="s">
        <v>14</v>
      </c>
      <c r="F299" s="3">
        <v>16</v>
      </c>
      <c r="G299" s="3">
        <v>151231.03</v>
      </c>
      <c r="H299" s="3">
        <v>9451.94</v>
      </c>
      <c r="I299" s="3" t="s">
        <v>3802</v>
      </c>
      <c r="J299" s="3">
        <v>145</v>
      </c>
      <c r="K299" s="3" t="s">
        <v>19</v>
      </c>
      <c r="L299" s="3" t="s">
        <v>48</v>
      </c>
      <c r="M299" s="3" t="s">
        <v>16</v>
      </c>
      <c r="N299" s="3" t="s">
        <v>32</v>
      </c>
    </row>
    <row r="300" spans="1:14" x14ac:dyDescent="0.3">
      <c r="A300" s="2" t="s">
        <v>9147</v>
      </c>
      <c r="B300" s="2" t="s">
        <v>840</v>
      </c>
      <c r="C300" s="2" t="s">
        <v>18</v>
      </c>
      <c r="D300" s="2" t="s">
        <v>183</v>
      </c>
      <c r="E300" s="2" t="s">
        <v>14</v>
      </c>
      <c r="F300" s="2">
        <v>4</v>
      </c>
      <c r="G300" s="2">
        <v>34681.42</v>
      </c>
      <c r="H300" s="2">
        <v>8670.35</v>
      </c>
      <c r="I300" s="2" t="s">
        <v>3559</v>
      </c>
      <c r="J300" s="2">
        <v>140</v>
      </c>
      <c r="K300" s="2" t="s">
        <v>27</v>
      </c>
      <c r="L300" s="2" t="s">
        <v>43</v>
      </c>
      <c r="M300" s="2" t="s">
        <v>31</v>
      </c>
      <c r="N300" s="2" t="s">
        <v>32</v>
      </c>
    </row>
    <row r="301" spans="1:14" x14ac:dyDescent="0.3">
      <c r="A301" s="3" t="s">
        <v>9148</v>
      </c>
      <c r="B301" s="3" t="s">
        <v>1196</v>
      </c>
      <c r="C301" s="3" t="s">
        <v>18</v>
      </c>
      <c r="D301" s="3" t="s">
        <v>254</v>
      </c>
      <c r="E301" s="3" t="s">
        <v>22</v>
      </c>
      <c r="F301" s="3">
        <v>3</v>
      </c>
      <c r="G301" s="3">
        <v>49659.69</v>
      </c>
      <c r="H301" s="3">
        <v>16553.23</v>
      </c>
      <c r="I301" s="3" t="s">
        <v>3191</v>
      </c>
      <c r="J301" s="3">
        <v>347</v>
      </c>
      <c r="K301" s="3" t="s">
        <v>21</v>
      </c>
      <c r="L301" s="3" t="s">
        <v>48</v>
      </c>
      <c r="M301" s="3" t="s">
        <v>31</v>
      </c>
      <c r="N301" s="3" t="s">
        <v>17</v>
      </c>
    </row>
    <row r="302" spans="1:14" x14ac:dyDescent="0.3">
      <c r="A302" s="2" t="s">
        <v>9149</v>
      </c>
      <c r="B302" s="2" t="s">
        <v>934</v>
      </c>
      <c r="C302" s="2" t="s">
        <v>33</v>
      </c>
      <c r="D302" s="2" t="s">
        <v>834</v>
      </c>
      <c r="E302" s="2" t="s">
        <v>29</v>
      </c>
      <c r="F302" s="2">
        <v>12</v>
      </c>
      <c r="G302" s="2">
        <v>172664.71</v>
      </c>
      <c r="H302" s="2">
        <v>14388.73</v>
      </c>
      <c r="I302" s="2" t="s">
        <v>263</v>
      </c>
      <c r="J302" s="2">
        <v>114</v>
      </c>
      <c r="K302" s="2" t="s">
        <v>13</v>
      </c>
      <c r="L302" s="2" t="s">
        <v>43</v>
      </c>
      <c r="M302" s="2" t="s">
        <v>16</v>
      </c>
      <c r="N302" s="2" t="s">
        <v>32</v>
      </c>
    </row>
    <row r="303" spans="1:14" x14ac:dyDescent="0.3">
      <c r="A303" s="3" t="s">
        <v>9150</v>
      </c>
      <c r="B303" s="3" t="s">
        <v>3848</v>
      </c>
      <c r="C303" s="3" t="s">
        <v>26</v>
      </c>
      <c r="D303" s="3" t="s">
        <v>160</v>
      </c>
      <c r="E303" s="3" t="s">
        <v>29</v>
      </c>
      <c r="F303" s="3">
        <v>24</v>
      </c>
      <c r="G303" s="3">
        <v>141000.43</v>
      </c>
      <c r="H303" s="3">
        <v>5875.02</v>
      </c>
      <c r="I303" s="3" t="s">
        <v>2927</v>
      </c>
      <c r="J303" s="3">
        <v>365</v>
      </c>
      <c r="K303" s="3" t="s">
        <v>28</v>
      </c>
      <c r="L303" s="3" t="s">
        <v>43</v>
      </c>
      <c r="M303" s="3" t="s">
        <v>16</v>
      </c>
      <c r="N303" s="3" t="s">
        <v>17</v>
      </c>
    </row>
    <row r="304" spans="1:14" x14ac:dyDescent="0.3">
      <c r="A304" s="2" t="s">
        <v>9151</v>
      </c>
      <c r="B304" s="2" t="s">
        <v>1730</v>
      </c>
      <c r="C304" s="2" t="s">
        <v>42</v>
      </c>
      <c r="D304" s="2" t="s">
        <v>834</v>
      </c>
      <c r="E304" s="2" t="s">
        <v>29</v>
      </c>
      <c r="F304" s="2">
        <v>25</v>
      </c>
      <c r="G304" s="2">
        <v>123096.18</v>
      </c>
      <c r="H304" s="2">
        <v>4923.8500000000004</v>
      </c>
      <c r="I304" s="2" t="s">
        <v>777</v>
      </c>
      <c r="J304" s="2">
        <v>88</v>
      </c>
      <c r="K304" s="2" t="s">
        <v>28</v>
      </c>
      <c r="L304" s="2" t="s">
        <v>43</v>
      </c>
      <c r="M304" s="2" t="s">
        <v>16</v>
      </c>
      <c r="N304" s="2" t="s">
        <v>25</v>
      </c>
    </row>
    <row r="305" spans="1:14" x14ac:dyDescent="0.3">
      <c r="A305" s="3" t="s">
        <v>9152</v>
      </c>
      <c r="B305" s="3" t="s">
        <v>1177</v>
      </c>
      <c r="C305" s="3" t="s">
        <v>42</v>
      </c>
      <c r="D305" s="3" t="s">
        <v>171</v>
      </c>
      <c r="E305" s="3" t="s">
        <v>14</v>
      </c>
      <c r="F305" s="3">
        <v>12</v>
      </c>
      <c r="G305" s="3">
        <v>199412.84</v>
      </c>
      <c r="H305" s="3">
        <v>16617.740000000002</v>
      </c>
      <c r="I305" s="3" t="s">
        <v>6188</v>
      </c>
      <c r="J305" s="3">
        <v>168</v>
      </c>
      <c r="K305" s="3" t="s">
        <v>28</v>
      </c>
      <c r="L305" s="3" t="s">
        <v>48</v>
      </c>
      <c r="M305" s="3" t="s">
        <v>16</v>
      </c>
      <c r="N305" s="3" t="s">
        <v>32</v>
      </c>
    </row>
    <row r="306" spans="1:14" x14ac:dyDescent="0.3">
      <c r="A306" s="2" t="s">
        <v>9153</v>
      </c>
      <c r="B306" s="2" t="s">
        <v>1885</v>
      </c>
      <c r="C306" s="2" t="s">
        <v>42</v>
      </c>
      <c r="D306" s="2" t="s">
        <v>193</v>
      </c>
      <c r="E306" s="2" t="s">
        <v>39</v>
      </c>
      <c r="F306" s="2">
        <v>10</v>
      </c>
      <c r="G306" s="2">
        <v>93386.35</v>
      </c>
      <c r="H306" s="2">
        <v>9338.64</v>
      </c>
      <c r="I306" s="2" t="s">
        <v>1688</v>
      </c>
      <c r="J306" s="2">
        <v>302</v>
      </c>
      <c r="K306" s="2" t="s">
        <v>27</v>
      </c>
      <c r="L306" s="2" t="s">
        <v>23</v>
      </c>
      <c r="M306" s="2" t="s">
        <v>24</v>
      </c>
      <c r="N306" s="2" t="s">
        <v>17</v>
      </c>
    </row>
    <row r="307" spans="1:14" x14ac:dyDescent="0.3">
      <c r="A307" s="3" t="s">
        <v>9154</v>
      </c>
      <c r="B307" s="3" t="s">
        <v>3903</v>
      </c>
      <c r="C307" s="3" t="s">
        <v>18</v>
      </c>
      <c r="D307" s="3" t="s">
        <v>834</v>
      </c>
      <c r="E307" s="3" t="s">
        <v>29</v>
      </c>
      <c r="F307" s="3">
        <v>13</v>
      </c>
      <c r="G307" s="3">
        <v>172226.11</v>
      </c>
      <c r="H307" s="3">
        <v>13248.16</v>
      </c>
      <c r="I307" s="3" t="s">
        <v>169</v>
      </c>
      <c r="J307" s="3">
        <v>329</v>
      </c>
      <c r="K307" s="3" t="s">
        <v>27</v>
      </c>
      <c r="L307" s="3" t="s">
        <v>47</v>
      </c>
      <c r="M307" s="3" t="s">
        <v>16</v>
      </c>
      <c r="N307" s="3" t="s">
        <v>17</v>
      </c>
    </row>
    <row r="308" spans="1:14" x14ac:dyDescent="0.3">
      <c r="A308" s="2" t="s">
        <v>9155</v>
      </c>
      <c r="B308" s="2" t="s">
        <v>1911</v>
      </c>
      <c r="C308" s="2" t="s">
        <v>33</v>
      </c>
      <c r="D308" s="2" t="s">
        <v>443</v>
      </c>
      <c r="E308" s="2" t="s">
        <v>22</v>
      </c>
      <c r="F308" s="2">
        <v>2</v>
      </c>
      <c r="G308" s="2">
        <v>41617.65</v>
      </c>
      <c r="H308" s="2">
        <v>20808.830000000002</v>
      </c>
      <c r="I308" s="2" t="s">
        <v>2376</v>
      </c>
      <c r="J308" s="2">
        <v>93</v>
      </c>
      <c r="K308" s="2" t="s">
        <v>21</v>
      </c>
      <c r="L308" s="2" t="s">
        <v>48</v>
      </c>
      <c r="M308" s="2" t="s">
        <v>31</v>
      </c>
      <c r="N308" s="2" t="s">
        <v>32</v>
      </c>
    </row>
    <row r="309" spans="1:14" x14ac:dyDescent="0.3">
      <c r="A309" s="3" t="s">
        <v>9156</v>
      </c>
      <c r="B309" s="3" t="s">
        <v>863</v>
      </c>
      <c r="C309" s="3" t="s">
        <v>26</v>
      </c>
      <c r="D309" s="3" t="s">
        <v>712</v>
      </c>
      <c r="E309" s="3" t="s">
        <v>14</v>
      </c>
      <c r="F309" s="3">
        <v>9</v>
      </c>
      <c r="G309" s="3">
        <v>94427.12</v>
      </c>
      <c r="H309" s="3">
        <v>10491.9</v>
      </c>
      <c r="I309" s="3" t="s">
        <v>3534</v>
      </c>
      <c r="J309" s="3">
        <v>132</v>
      </c>
      <c r="K309" s="3" t="s">
        <v>28</v>
      </c>
      <c r="L309" s="3" t="s">
        <v>15</v>
      </c>
      <c r="M309" s="3" t="s">
        <v>24</v>
      </c>
      <c r="N309" s="3" t="s">
        <v>32</v>
      </c>
    </row>
    <row r="310" spans="1:14" x14ac:dyDescent="0.3">
      <c r="A310" s="2" t="s">
        <v>9157</v>
      </c>
      <c r="B310" s="2" t="s">
        <v>2136</v>
      </c>
      <c r="C310" s="2" t="s">
        <v>26</v>
      </c>
      <c r="D310" s="2" t="s">
        <v>215</v>
      </c>
      <c r="E310" s="2" t="s">
        <v>14</v>
      </c>
      <c r="F310" s="2">
        <v>16</v>
      </c>
      <c r="G310" s="2">
        <v>192806.57</v>
      </c>
      <c r="H310" s="2">
        <v>12050.41</v>
      </c>
      <c r="I310" s="2" t="s">
        <v>2409</v>
      </c>
      <c r="J310" s="2">
        <v>155</v>
      </c>
      <c r="K310" s="2" t="s">
        <v>13</v>
      </c>
      <c r="L310" s="2" t="s">
        <v>47</v>
      </c>
      <c r="M310" s="2" t="s">
        <v>16</v>
      </c>
      <c r="N310" s="2" t="s">
        <v>32</v>
      </c>
    </row>
    <row r="311" spans="1:14" x14ac:dyDescent="0.3">
      <c r="A311" s="3" t="s">
        <v>9158</v>
      </c>
      <c r="B311" s="3" t="s">
        <v>249</v>
      </c>
      <c r="C311" s="3" t="s">
        <v>18</v>
      </c>
      <c r="D311" s="3" t="s">
        <v>109</v>
      </c>
      <c r="E311" s="3" t="s">
        <v>39</v>
      </c>
      <c r="F311" s="3">
        <v>21</v>
      </c>
      <c r="G311" s="3">
        <v>82504.38</v>
      </c>
      <c r="H311" s="3">
        <v>3928.78</v>
      </c>
      <c r="I311" s="3" t="s">
        <v>3186</v>
      </c>
      <c r="J311" s="3">
        <v>187</v>
      </c>
      <c r="K311" s="3" t="s">
        <v>19</v>
      </c>
      <c r="L311" s="3" t="s">
        <v>48</v>
      </c>
      <c r="M311" s="3" t="s">
        <v>24</v>
      </c>
      <c r="N311" s="3" t="s">
        <v>17</v>
      </c>
    </row>
    <row r="312" spans="1:14" x14ac:dyDescent="0.3">
      <c r="A312" s="2" t="s">
        <v>6043</v>
      </c>
      <c r="B312" s="2" t="s">
        <v>1261</v>
      </c>
      <c r="C312" s="2" t="s">
        <v>18</v>
      </c>
      <c r="D312" s="2" t="s">
        <v>314</v>
      </c>
      <c r="E312" s="2" t="s">
        <v>39</v>
      </c>
      <c r="F312" s="2">
        <v>7</v>
      </c>
      <c r="G312" s="2">
        <v>16359.53</v>
      </c>
      <c r="H312" s="2">
        <v>2337.08</v>
      </c>
      <c r="I312" s="2" t="s">
        <v>3651</v>
      </c>
      <c r="J312" s="2">
        <v>301</v>
      </c>
      <c r="K312" s="2" t="s">
        <v>13</v>
      </c>
      <c r="L312" s="2" t="s">
        <v>15</v>
      </c>
      <c r="M312" s="2" t="s">
        <v>31</v>
      </c>
      <c r="N312" s="2" t="s">
        <v>17</v>
      </c>
    </row>
    <row r="313" spans="1:14" x14ac:dyDescent="0.3">
      <c r="A313" s="3" t="s">
        <v>9159</v>
      </c>
      <c r="B313" s="3" t="s">
        <v>840</v>
      </c>
      <c r="C313" s="3" t="s">
        <v>18</v>
      </c>
      <c r="D313" s="3" t="s">
        <v>95</v>
      </c>
      <c r="E313" s="3" t="s">
        <v>14</v>
      </c>
      <c r="F313" s="3">
        <v>13</v>
      </c>
      <c r="G313" s="3">
        <v>128144.84</v>
      </c>
      <c r="H313" s="3">
        <v>9857.2999999999993</v>
      </c>
      <c r="I313" s="3" t="s">
        <v>580</v>
      </c>
      <c r="J313" s="3">
        <v>295</v>
      </c>
      <c r="K313" s="3" t="s">
        <v>13</v>
      </c>
      <c r="L313" s="3" t="s">
        <v>43</v>
      </c>
      <c r="M313" s="3" t="s">
        <v>16</v>
      </c>
      <c r="N313" s="3" t="s">
        <v>17</v>
      </c>
    </row>
    <row r="314" spans="1:14" x14ac:dyDescent="0.3">
      <c r="A314" s="2" t="s">
        <v>9160</v>
      </c>
      <c r="B314" s="2" t="s">
        <v>1097</v>
      </c>
      <c r="C314" s="2" t="s">
        <v>33</v>
      </c>
      <c r="D314" s="2" t="s">
        <v>324</v>
      </c>
      <c r="E314" s="2" t="s">
        <v>39</v>
      </c>
      <c r="F314" s="2">
        <v>20</v>
      </c>
      <c r="G314" s="2">
        <v>196896.48</v>
      </c>
      <c r="H314" s="2">
        <v>9844.82</v>
      </c>
      <c r="I314" s="2" t="s">
        <v>3261</v>
      </c>
      <c r="J314" s="2">
        <v>7</v>
      </c>
      <c r="K314" s="2" t="s">
        <v>21</v>
      </c>
      <c r="L314" s="2" t="s">
        <v>43</v>
      </c>
      <c r="M314" s="2" t="s">
        <v>16</v>
      </c>
      <c r="N314" s="2" t="s">
        <v>25</v>
      </c>
    </row>
    <row r="315" spans="1:14" x14ac:dyDescent="0.3">
      <c r="A315" s="3" t="s">
        <v>9161</v>
      </c>
      <c r="B315" s="3" t="s">
        <v>2877</v>
      </c>
      <c r="C315" s="3" t="s">
        <v>18</v>
      </c>
      <c r="D315" s="3" t="s">
        <v>215</v>
      </c>
      <c r="E315" s="3" t="s">
        <v>14</v>
      </c>
      <c r="F315" s="3">
        <v>19</v>
      </c>
      <c r="G315" s="3">
        <v>199353.56</v>
      </c>
      <c r="H315" s="3">
        <v>10492.29</v>
      </c>
      <c r="I315" s="3" t="s">
        <v>3872</v>
      </c>
      <c r="J315" s="3">
        <v>267</v>
      </c>
      <c r="K315" s="3" t="s">
        <v>27</v>
      </c>
      <c r="L315" s="3" t="s">
        <v>15</v>
      </c>
      <c r="M315" s="3" t="s">
        <v>16</v>
      </c>
      <c r="N315" s="3" t="s">
        <v>17</v>
      </c>
    </row>
    <row r="316" spans="1:14" x14ac:dyDescent="0.3">
      <c r="A316" s="2" t="s">
        <v>9162</v>
      </c>
      <c r="B316" s="2" t="s">
        <v>3250</v>
      </c>
      <c r="C316" s="2" t="s">
        <v>33</v>
      </c>
      <c r="D316" s="2" t="s">
        <v>738</v>
      </c>
      <c r="E316" s="2" t="s">
        <v>22</v>
      </c>
      <c r="F316" s="2">
        <v>20</v>
      </c>
      <c r="G316" s="2">
        <v>133182.13</v>
      </c>
      <c r="H316" s="2">
        <v>6659.11</v>
      </c>
      <c r="I316" s="2" t="s">
        <v>2069</v>
      </c>
      <c r="J316" s="2">
        <v>138</v>
      </c>
      <c r="K316" s="2" t="s">
        <v>28</v>
      </c>
      <c r="L316" s="2" t="s">
        <v>43</v>
      </c>
      <c r="M316" s="2" t="s">
        <v>16</v>
      </c>
      <c r="N316" s="2" t="s">
        <v>32</v>
      </c>
    </row>
    <row r="317" spans="1:14" x14ac:dyDescent="0.3">
      <c r="A317" s="3" t="s">
        <v>9163</v>
      </c>
      <c r="B317" s="3" t="s">
        <v>2729</v>
      </c>
      <c r="C317" s="3" t="s">
        <v>42</v>
      </c>
      <c r="D317" s="3" t="s">
        <v>95</v>
      </c>
      <c r="E317" s="3" t="s">
        <v>14</v>
      </c>
      <c r="F317" s="3">
        <v>2</v>
      </c>
      <c r="G317" s="3">
        <v>168890.11</v>
      </c>
      <c r="H317" s="3">
        <v>84445.05</v>
      </c>
      <c r="I317" s="3" t="s">
        <v>1113</v>
      </c>
      <c r="J317" s="3">
        <v>45</v>
      </c>
      <c r="K317" s="3" t="s">
        <v>13</v>
      </c>
      <c r="L317" s="3" t="s">
        <v>48</v>
      </c>
      <c r="M317" s="3" t="s">
        <v>16</v>
      </c>
      <c r="N317" s="3" t="s">
        <v>25</v>
      </c>
    </row>
    <row r="318" spans="1:14" x14ac:dyDescent="0.3">
      <c r="A318" s="2" t="s">
        <v>9164</v>
      </c>
      <c r="B318" s="2" t="s">
        <v>348</v>
      </c>
      <c r="C318" s="2" t="s">
        <v>18</v>
      </c>
      <c r="D318" s="2" t="s">
        <v>109</v>
      </c>
      <c r="E318" s="2" t="s">
        <v>39</v>
      </c>
      <c r="F318" s="2">
        <v>5</v>
      </c>
      <c r="G318" s="2">
        <v>47504.22</v>
      </c>
      <c r="H318" s="2">
        <v>9500.84</v>
      </c>
      <c r="I318" s="2" t="s">
        <v>243</v>
      </c>
      <c r="J318" s="2">
        <v>98</v>
      </c>
      <c r="K318" s="2" t="s">
        <v>19</v>
      </c>
      <c r="L318" s="2" t="s">
        <v>43</v>
      </c>
      <c r="M318" s="2" t="s">
        <v>31</v>
      </c>
      <c r="N318" s="2" t="s">
        <v>32</v>
      </c>
    </row>
    <row r="319" spans="1:14" x14ac:dyDescent="0.3">
      <c r="A319" s="3" t="s">
        <v>9165</v>
      </c>
      <c r="B319" s="3" t="s">
        <v>3432</v>
      </c>
      <c r="C319" s="3" t="s">
        <v>42</v>
      </c>
      <c r="D319" s="3" t="s">
        <v>193</v>
      </c>
      <c r="E319" s="3" t="s">
        <v>39</v>
      </c>
      <c r="F319" s="3">
        <v>13</v>
      </c>
      <c r="G319" s="3">
        <v>106469.57</v>
      </c>
      <c r="H319" s="3">
        <v>8189.97</v>
      </c>
      <c r="I319" s="3" t="s">
        <v>3765</v>
      </c>
      <c r="J319" s="3">
        <v>120</v>
      </c>
      <c r="K319" s="3" t="s">
        <v>19</v>
      </c>
      <c r="L319" s="3" t="s">
        <v>40</v>
      </c>
      <c r="M319" s="3" t="s">
        <v>16</v>
      </c>
      <c r="N319" s="3" t="s">
        <v>32</v>
      </c>
    </row>
    <row r="320" spans="1:14" x14ac:dyDescent="0.3">
      <c r="A320" s="2" t="s">
        <v>4685</v>
      </c>
      <c r="B320" s="2" t="s">
        <v>2460</v>
      </c>
      <c r="C320" s="2" t="s">
        <v>42</v>
      </c>
      <c r="D320" s="2" t="s">
        <v>160</v>
      </c>
      <c r="E320" s="2" t="s">
        <v>29</v>
      </c>
      <c r="F320" s="2">
        <v>5</v>
      </c>
      <c r="G320" s="2">
        <v>62304.13</v>
      </c>
      <c r="H320" s="2">
        <v>12460.83</v>
      </c>
      <c r="I320" s="2" t="s">
        <v>1907</v>
      </c>
      <c r="J320" s="2">
        <v>39</v>
      </c>
      <c r="K320" s="2" t="s">
        <v>27</v>
      </c>
      <c r="L320" s="2" t="s">
        <v>30</v>
      </c>
      <c r="M320" s="2" t="s">
        <v>24</v>
      </c>
      <c r="N320" s="2" t="s">
        <v>25</v>
      </c>
    </row>
    <row r="321" spans="1:14" x14ac:dyDescent="0.3">
      <c r="A321" s="3" t="s">
        <v>9166</v>
      </c>
      <c r="B321" s="3" t="s">
        <v>300</v>
      </c>
      <c r="C321" s="3" t="s">
        <v>18</v>
      </c>
      <c r="D321" s="3" t="s">
        <v>834</v>
      </c>
      <c r="E321" s="3" t="s">
        <v>29</v>
      </c>
      <c r="F321" s="3">
        <v>26</v>
      </c>
      <c r="G321" s="3">
        <v>160166.88</v>
      </c>
      <c r="H321" s="3">
        <v>6160.26</v>
      </c>
      <c r="I321" s="3" t="s">
        <v>1265</v>
      </c>
      <c r="J321" s="3">
        <v>243</v>
      </c>
      <c r="K321" s="3" t="s">
        <v>21</v>
      </c>
      <c r="L321" s="3" t="s">
        <v>43</v>
      </c>
      <c r="M321" s="3" t="s">
        <v>16</v>
      </c>
      <c r="N321" s="3" t="s">
        <v>17</v>
      </c>
    </row>
    <row r="322" spans="1:14" x14ac:dyDescent="0.3">
      <c r="A322" s="2" t="s">
        <v>9167</v>
      </c>
      <c r="B322" s="2" t="s">
        <v>563</v>
      </c>
      <c r="C322" s="2" t="s">
        <v>26</v>
      </c>
      <c r="D322" s="2" t="s">
        <v>324</v>
      </c>
      <c r="E322" s="2" t="s">
        <v>39</v>
      </c>
      <c r="F322" s="2">
        <v>7</v>
      </c>
      <c r="G322" s="2">
        <v>164625.45000000001</v>
      </c>
      <c r="H322" s="2">
        <v>23517.919999999998</v>
      </c>
      <c r="I322" s="2" t="s">
        <v>1256</v>
      </c>
      <c r="J322" s="2">
        <v>153</v>
      </c>
      <c r="K322" s="2" t="s">
        <v>21</v>
      </c>
      <c r="L322" s="2" t="s">
        <v>15</v>
      </c>
      <c r="M322" s="2" t="s">
        <v>16</v>
      </c>
      <c r="N322" s="2" t="s">
        <v>32</v>
      </c>
    </row>
    <row r="323" spans="1:14" x14ac:dyDescent="0.3">
      <c r="A323" s="3" t="s">
        <v>4828</v>
      </c>
      <c r="B323" s="3" t="s">
        <v>1364</v>
      </c>
      <c r="C323" s="3" t="s">
        <v>33</v>
      </c>
      <c r="D323" s="3" t="s">
        <v>834</v>
      </c>
      <c r="E323" s="3" t="s">
        <v>29</v>
      </c>
      <c r="F323" s="3">
        <v>16</v>
      </c>
      <c r="G323" s="3">
        <v>15880.76</v>
      </c>
      <c r="H323" s="3">
        <v>992.55</v>
      </c>
      <c r="I323" s="3" t="s">
        <v>2552</v>
      </c>
      <c r="J323" s="3">
        <v>175</v>
      </c>
      <c r="K323" s="3" t="s">
        <v>19</v>
      </c>
      <c r="L323" s="3" t="s">
        <v>48</v>
      </c>
      <c r="M323" s="3" t="s">
        <v>31</v>
      </c>
      <c r="N323" s="3" t="s">
        <v>32</v>
      </c>
    </row>
    <row r="324" spans="1:14" x14ac:dyDescent="0.3">
      <c r="A324" s="2" t="s">
        <v>9168</v>
      </c>
      <c r="B324" s="2" t="s">
        <v>2141</v>
      </c>
      <c r="C324" s="2" t="s">
        <v>18</v>
      </c>
      <c r="D324" s="2" t="s">
        <v>324</v>
      </c>
      <c r="E324" s="2" t="s">
        <v>39</v>
      </c>
      <c r="F324" s="2">
        <v>27</v>
      </c>
      <c r="G324" s="2">
        <v>171247.6</v>
      </c>
      <c r="H324" s="2">
        <v>6342.5</v>
      </c>
      <c r="I324" s="2" t="s">
        <v>4808</v>
      </c>
      <c r="J324" s="2">
        <v>103</v>
      </c>
      <c r="K324" s="2" t="s">
        <v>27</v>
      </c>
      <c r="L324" s="2" t="s">
        <v>43</v>
      </c>
      <c r="M324" s="2" t="s">
        <v>16</v>
      </c>
      <c r="N324" s="2" t="s">
        <v>32</v>
      </c>
    </row>
    <row r="325" spans="1:14" x14ac:dyDescent="0.3">
      <c r="A325" s="3" t="s">
        <v>9169</v>
      </c>
      <c r="B325" s="3" t="s">
        <v>210</v>
      </c>
      <c r="C325" s="3" t="s">
        <v>33</v>
      </c>
      <c r="D325" s="3" t="s">
        <v>183</v>
      </c>
      <c r="E325" s="3" t="s">
        <v>14</v>
      </c>
      <c r="F325" s="3">
        <v>28</v>
      </c>
      <c r="G325" s="3">
        <v>162779.10999999999</v>
      </c>
      <c r="H325" s="3">
        <v>5813.54</v>
      </c>
      <c r="I325" s="3" t="s">
        <v>2271</v>
      </c>
      <c r="J325" s="3">
        <v>36</v>
      </c>
      <c r="K325" s="3" t="s">
        <v>28</v>
      </c>
      <c r="L325" s="3" t="s">
        <v>23</v>
      </c>
      <c r="M325" s="3" t="s">
        <v>16</v>
      </c>
      <c r="N325" s="3" t="s">
        <v>25</v>
      </c>
    </row>
    <row r="326" spans="1:14" x14ac:dyDescent="0.3">
      <c r="A326" s="2" t="s">
        <v>9170</v>
      </c>
      <c r="B326" s="2" t="s">
        <v>4049</v>
      </c>
      <c r="C326" s="2" t="s">
        <v>26</v>
      </c>
      <c r="D326" s="2" t="s">
        <v>225</v>
      </c>
      <c r="E326" s="2" t="s">
        <v>39</v>
      </c>
      <c r="F326" s="2">
        <v>4</v>
      </c>
      <c r="G326" s="2">
        <v>43485.95</v>
      </c>
      <c r="H326" s="2">
        <v>10871.49</v>
      </c>
      <c r="I326" s="2" t="s">
        <v>5977</v>
      </c>
      <c r="J326" s="2">
        <v>247</v>
      </c>
      <c r="K326" s="2" t="s">
        <v>19</v>
      </c>
      <c r="L326" s="2" t="s">
        <v>43</v>
      </c>
      <c r="M326" s="2" t="s">
        <v>31</v>
      </c>
      <c r="N326" s="2" t="s">
        <v>17</v>
      </c>
    </row>
    <row r="327" spans="1:14" x14ac:dyDescent="0.3">
      <c r="A327" s="3" t="s">
        <v>9171</v>
      </c>
      <c r="B327" s="3" t="s">
        <v>918</v>
      </c>
      <c r="C327" s="3" t="s">
        <v>26</v>
      </c>
      <c r="D327" s="3" t="s">
        <v>193</v>
      </c>
      <c r="E327" s="3" t="s">
        <v>39</v>
      </c>
      <c r="F327" s="3">
        <v>6</v>
      </c>
      <c r="G327" s="3">
        <v>184410.52</v>
      </c>
      <c r="H327" s="3">
        <v>30735.09</v>
      </c>
      <c r="I327" s="3" t="s">
        <v>906</v>
      </c>
      <c r="J327" s="3">
        <v>78</v>
      </c>
      <c r="K327" s="3" t="s">
        <v>27</v>
      </c>
      <c r="L327" s="3" t="s">
        <v>40</v>
      </c>
      <c r="M327" s="3" t="s">
        <v>16</v>
      </c>
      <c r="N327" s="3" t="s">
        <v>25</v>
      </c>
    </row>
    <row r="328" spans="1:14" x14ac:dyDescent="0.3">
      <c r="A328" s="2" t="s">
        <v>9172</v>
      </c>
      <c r="B328" s="2" t="s">
        <v>422</v>
      </c>
      <c r="C328" s="2" t="s">
        <v>18</v>
      </c>
      <c r="D328" s="2" t="s">
        <v>443</v>
      </c>
      <c r="E328" s="2" t="s">
        <v>22</v>
      </c>
      <c r="F328" s="2">
        <v>9</v>
      </c>
      <c r="G328" s="2">
        <v>194952.35</v>
      </c>
      <c r="H328" s="2">
        <v>21661.37</v>
      </c>
      <c r="I328" s="2" t="s">
        <v>1240</v>
      </c>
      <c r="J328" s="2">
        <v>305</v>
      </c>
      <c r="K328" s="2" t="s">
        <v>21</v>
      </c>
      <c r="L328" s="2" t="s">
        <v>23</v>
      </c>
      <c r="M328" s="2" t="s">
        <v>16</v>
      </c>
      <c r="N328" s="2" t="s">
        <v>17</v>
      </c>
    </row>
    <row r="329" spans="1:14" x14ac:dyDescent="0.3">
      <c r="A329" s="3" t="s">
        <v>1411</v>
      </c>
      <c r="B329" s="3" t="s">
        <v>1246</v>
      </c>
      <c r="C329" s="3" t="s">
        <v>42</v>
      </c>
      <c r="D329" s="3" t="s">
        <v>427</v>
      </c>
      <c r="E329" s="3" t="s">
        <v>29</v>
      </c>
      <c r="F329" s="3">
        <v>8</v>
      </c>
      <c r="G329" s="3">
        <v>17172.8</v>
      </c>
      <c r="H329" s="3">
        <v>2146.6</v>
      </c>
      <c r="I329" s="3" t="s">
        <v>1480</v>
      </c>
      <c r="J329" s="3">
        <v>286</v>
      </c>
      <c r="K329" s="3" t="s">
        <v>28</v>
      </c>
      <c r="L329" s="3" t="s">
        <v>47</v>
      </c>
      <c r="M329" s="3" t="s">
        <v>31</v>
      </c>
      <c r="N329" s="3" t="s">
        <v>17</v>
      </c>
    </row>
    <row r="330" spans="1:14" x14ac:dyDescent="0.3">
      <c r="A330" s="2" t="s">
        <v>9173</v>
      </c>
      <c r="B330" s="2" t="s">
        <v>155</v>
      </c>
      <c r="C330" s="2" t="s">
        <v>42</v>
      </c>
      <c r="D330" s="2" t="s">
        <v>183</v>
      </c>
      <c r="E330" s="2" t="s">
        <v>14</v>
      </c>
      <c r="F330" s="2">
        <v>6</v>
      </c>
      <c r="G330" s="2">
        <v>97368.89</v>
      </c>
      <c r="H330" s="2">
        <v>16228.15</v>
      </c>
      <c r="I330" s="2" t="s">
        <v>3615</v>
      </c>
      <c r="J330" s="2">
        <v>41</v>
      </c>
      <c r="K330" s="2" t="s">
        <v>27</v>
      </c>
      <c r="L330" s="2" t="s">
        <v>43</v>
      </c>
      <c r="M330" s="2" t="s">
        <v>24</v>
      </c>
      <c r="N330" s="2" t="s">
        <v>25</v>
      </c>
    </row>
    <row r="331" spans="1:14" x14ac:dyDescent="0.3">
      <c r="A331" s="3" t="s">
        <v>5085</v>
      </c>
      <c r="B331" s="3" t="s">
        <v>973</v>
      </c>
      <c r="C331" s="3" t="s">
        <v>42</v>
      </c>
      <c r="D331" s="3" t="s">
        <v>95</v>
      </c>
      <c r="E331" s="3" t="s">
        <v>14</v>
      </c>
      <c r="F331" s="3">
        <v>17</v>
      </c>
      <c r="G331" s="3">
        <v>35625.58</v>
      </c>
      <c r="H331" s="3">
        <v>2095.62</v>
      </c>
      <c r="I331" s="3" t="s">
        <v>262</v>
      </c>
      <c r="J331" s="3">
        <v>116</v>
      </c>
      <c r="K331" s="3" t="s">
        <v>19</v>
      </c>
      <c r="L331" s="3" t="s">
        <v>47</v>
      </c>
      <c r="M331" s="3" t="s">
        <v>31</v>
      </c>
      <c r="N331" s="3" t="s">
        <v>32</v>
      </c>
    </row>
    <row r="332" spans="1:14" x14ac:dyDescent="0.3">
      <c r="A332" s="2" t="s">
        <v>9174</v>
      </c>
      <c r="B332" s="2" t="s">
        <v>1644</v>
      </c>
      <c r="C332" s="2" t="s">
        <v>42</v>
      </c>
      <c r="D332" s="2" t="s">
        <v>334</v>
      </c>
      <c r="E332" s="2" t="s">
        <v>29</v>
      </c>
      <c r="F332" s="2">
        <v>8</v>
      </c>
      <c r="G332" s="2">
        <v>7898.62</v>
      </c>
      <c r="H332" s="2">
        <v>987.33</v>
      </c>
      <c r="I332" s="2" t="s">
        <v>4498</v>
      </c>
      <c r="J332" s="2">
        <v>147</v>
      </c>
      <c r="K332" s="2" t="s">
        <v>21</v>
      </c>
      <c r="L332" s="2" t="s">
        <v>23</v>
      </c>
      <c r="M332" s="2" t="s">
        <v>41</v>
      </c>
      <c r="N332" s="2" t="s">
        <v>32</v>
      </c>
    </row>
    <row r="333" spans="1:14" x14ac:dyDescent="0.3">
      <c r="A333" s="3" t="s">
        <v>9175</v>
      </c>
      <c r="B333" s="3" t="s">
        <v>2124</v>
      </c>
      <c r="C333" s="3" t="s">
        <v>26</v>
      </c>
      <c r="D333" s="3" t="s">
        <v>193</v>
      </c>
      <c r="E333" s="3" t="s">
        <v>39</v>
      </c>
      <c r="F333" s="3">
        <v>14</v>
      </c>
      <c r="G333" s="3">
        <v>111064.8</v>
      </c>
      <c r="H333" s="3">
        <v>7933.2</v>
      </c>
      <c r="I333" s="3" t="s">
        <v>937</v>
      </c>
      <c r="J333" s="3">
        <v>238</v>
      </c>
      <c r="K333" s="3" t="s">
        <v>28</v>
      </c>
      <c r="L333" s="3" t="s">
        <v>23</v>
      </c>
      <c r="M333" s="3" t="s">
        <v>16</v>
      </c>
      <c r="N333" s="3" t="s">
        <v>17</v>
      </c>
    </row>
    <row r="334" spans="1:14" x14ac:dyDescent="0.3">
      <c r="A334" s="2" t="s">
        <v>9176</v>
      </c>
      <c r="B334" s="2" t="s">
        <v>4964</v>
      </c>
      <c r="C334" s="2" t="s">
        <v>42</v>
      </c>
      <c r="D334" s="2" t="s">
        <v>183</v>
      </c>
      <c r="E334" s="2" t="s">
        <v>14</v>
      </c>
      <c r="F334" s="2">
        <v>22</v>
      </c>
      <c r="G334" s="2">
        <v>62615.85</v>
      </c>
      <c r="H334" s="2">
        <v>2846.17</v>
      </c>
      <c r="I334" s="2" t="s">
        <v>777</v>
      </c>
      <c r="J334" s="2">
        <v>88</v>
      </c>
      <c r="K334" s="2" t="s">
        <v>19</v>
      </c>
      <c r="L334" s="2" t="s">
        <v>43</v>
      </c>
      <c r="M334" s="2" t="s">
        <v>24</v>
      </c>
      <c r="N334" s="2" t="s">
        <v>25</v>
      </c>
    </row>
    <row r="335" spans="1:14" x14ac:dyDescent="0.3">
      <c r="A335" s="3" t="s">
        <v>9177</v>
      </c>
      <c r="B335" s="3" t="s">
        <v>1038</v>
      </c>
      <c r="C335" s="3" t="s">
        <v>42</v>
      </c>
      <c r="D335" s="3" t="s">
        <v>183</v>
      </c>
      <c r="E335" s="3" t="s">
        <v>14</v>
      </c>
      <c r="F335" s="3">
        <v>18</v>
      </c>
      <c r="G335" s="3">
        <v>165768.06</v>
      </c>
      <c r="H335" s="3">
        <v>9209.34</v>
      </c>
      <c r="I335" s="3" t="s">
        <v>4268</v>
      </c>
      <c r="J335" s="3">
        <v>33</v>
      </c>
      <c r="K335" s="3" t="s">
        <v>27</v>
      </c>
      <c r="L335" s="3" t="s">
        <v>48</v>
      </c>
      <c r="M335" s="3" t="s">
        <v>16</v>
      </c>
      <c r="N335" s="3" t="s">
        <v>25</v>
      </c>
    </row>
    <row r="336" spans="1:14" x14ac:dyDescent="0.3">
      <c r="A336" s="2" t="s">
        <v>9178</v>
      </c>
      <c r="B336" s="2" t="s">
        <v>521</v>
      </c>
      <c r="C336" s="2" t="s">
        <v>42</v>
      </c>
      <c r="D336" s="2" t="s">
        <v>109</v>
      </c>
      <c r="E336" s="2" t="s">
        <v>39</v>
      </c>
      <c r="F336" s="2">
        <v>1</v>
      </c>
      <c r="G336" s="2">
        <v>103264.88</v>
      </c>
      <c r="H336" s="2">
        <v>103264.88</v>
      </c>
      <c r="I336" s="2" t="s">
        <v>416</v>
      </c>
      <c r="J336" s="2">
        <v>283</v>
      </c>
      <c r="K336" s="2" t="s">
        <v>28</v>
      </c>
      <c r="L336" s="2" t="s">
        <v>43</v>
      </c>
      <c r="M336" s="2" t="s">
        <v>16</v>
      </c>
      <c r="N336" s="2" t="s">
        <v>17</v>
      </c>
    </row>
    <row r="337" spans="1:14" x14ac:dyDescent="0.3">
      <c r="A337" s="3" t="s">
        <v>9179</v>
      </c>
      <c r="B337" s="3" t="s">
        <v>847</v>
      </c>
      <c r="C337" s="3" t="s">
        <v>33</v>
      </c>
      <c r="D337" s="3" t="s">
        <v>834</v>
      </c>
      <c r="E337" s="3" t="s">
        <v>29</v>
      </c>
      <c r="F337" s="3">
        <v>21</v>
      </c>
      <c r="G337" s="3">
        <v>190031.89</v>
      </c>
      <c r="H337" s="3">
        <v>9049.14</v>
      </c>
      <c r="I337" s="3" t="s">
        <v>3610</v>
      </c>
      <c r="J337" s="3">
        <v>61</v>
      </c>
      <c r="K337" s="3" t="s">
        <v>27</v>
      </c>
      <c r="L337" s="3" t="s">
        <v>23</v>
      </c>
      <c r="M337" s="3" t="s">
        <v>16</v>
      </c>
      <c r="N337" s="3" t="s">
        <v>25</v>
      </c>
    </row>
    <row r="338" spans="1:14" x14ac:dyDescent="0.3">
      <c r="A338" s="2" t="s">
        <v>9180</v>
      </c>
      <c r="B338" s="2" t="s">
        <v>3848</v>
      </c>
      <c r="C338" s="2" t="s">
        <v>26</v>
      </c>
      <c r="D338" s="2" t="s">
        <v>183</v>
      </c>
      <c r="E338" s="2" t="s">
        <v>14</v>
      </c>
      <c r="F338" s="2">
        <v>13</v>
      </c>
      <c r="G338" s="2">
        <v>47789</v>
      </c>
      <c r="H338" s="2">
        <v>3676.08</v>
      </c>
      <c r="I338" s="2" t="s">
        <v>6124</v>
      </c>
      <c r="J338" s="2">
        <v>10</v>
      </c>
      <c r="K338" s="2" t="s">
        <v>13</v>
      </c>
      <c r="L338" s="2" t="s">
        <v>40</v>
      </c>
      <c r="M338" s="2" t="s">
        <v>31</v>
      </c>
      <c r="N338" s="2" t="s">
        <v>25</v>
      </c>
    </row>
    <row r="339" spans="1:14" x14ac:dyDescent="0.3">
      <c r="A339" s="3" t="s">
        <v>2175</v>
      </c>
      <c r="B339" s="3" t="s">
        <v>1426</v>
      </c>
      <c r="C339" s="3" t="s">
        <v>18</v>
      </c>
      <c r="D339" s="3" t="s">
        <v>215</v>
      </c>
      <c r="E339" s="3" t="s">
        <v>14</v>
      </c>
      <c r="F339" s="3">
        <v>5</v>
      </c>
      <c r="G339" s="3">
        <v>178514.66</v>
      </c>
      <c r="H339" s="3">
        <v>35702.93</v>
      </c>
      <c r="I339" s="3" t="s">
        <v>581</v>
      </c>
      <c r="J339" s="3">
        <v>294</v>
      </c>
      <c r="K339" s="3" t="s">
        <v>19</v>
      </c>
      <c r="L339" s="3" t="s">
        <v>40</v>
      </c>
      <c r="M339" s="3" t="s">
        <v>16</v>
      </c>
      <c r="N339" s="3" t="s">
        <v>17</v>
      </c>
    </row>
    <row r="340" spans="1:14" x14ac:dyDescent="0.3">
      <c r="A340" s="2" t="s">
        <v>9181</v>
      </c>
      <c r="B340" s="2" t="s">
        <v>733</v>
      </c>
      <c r="C340" s="2" t="s">
        <v>18</v>
      </c>
      <c r="D340" s="2" t="s">
        <v>738</v>
      </c>
      <c r="E340" s="2" t="s">
        <v>22</v>
      </c>
      <c r="F340" s="2">
        <v>1</v>
      </c>
      <c r="G340" s="2">
        <v>157189.32</v>
      </c>
      <c r="H340" s="2">
        <v>157189.32</v>
      </c>
      <c r="I340" s="2" t="s">
        <v>937</v>
      </c>
      <c r="J340" s="2">
        <v>238</v>
      </c>
      <c r="K340" s="2" t="s">
        <v>28</v>
      </c>
      <c r="L340" s="2" t="s">
        <v>15</v>
      </c>
      <c r="M340" s="2" t="s">
        <v>16</v>
      </c>
      <c r="N340" s="2" t="s">
        <v>17</v>
      </c>
    </row>
    <row r="341" spans="1:14" x14ac:dyDescent="0.3">
      <c r="A341" s="3" t="s">
        <v>9182</v>
      </c>
      <c r="B341" s="3" t="s">
        <v>260</v>
      </c>
      <c r="C341" s="3" t="s">
        <v>33</v>
      </c>
      <c r="D341" s="3" t="s">
        <v>334</v>
      </c>
      <c r="E341" s="3" t="s">
        <v>29</v>
      </c>
      <c r="F341" s="3">
        <v>8</v>
      </c>
      <c r="G341" s="3">
        <v>40819.32</v>
      </c>
      <c r="H341" s="3">
        <v>5102.41</v>
      </c>
      <c r="I341" s="3" t="s">
        <v>1750</v>
      </c>
      <c r="J341" s="3">
        <v>27</v>
      </c>
      <c r="K341" s="3" t="s">
        <v>27</v>
      </c>
      <c r="L341" s="3" t="s">
        <v>40</v>
      </c>
      <c r="M341" s="3" t="s">
        <v>31</v>
      </c>
      <c r="N341" s="3" t="s">
        <v>25</v>
      </c>
    </row>
    <row r="342" spans="1:14" x14ac:dyDescent="0.3">
      <c r="A342" s="2" t="s">
        <v>9183</v>
      </c>
      <c r="B342" s="2" t="s">
        <v>2067</v>
      </c>
      <c r="C342" s="2" t="s">
        <v>26</v>
      </c>
      <c r="D342" s="2" t="s">
        <v>122</v>
      </c>
      <c r="E342" s="2" t="s">
        <v>22</v>
      </c>
      <c r="F342" s="2">
        <v>13</v>
      </c>
      <c r="G342" s="2">
        <v>48461.09</v>
      </c>
      <c r="H342" s="2">
        <v>3727.78</v>
      </c>
      <c r="I342" s="2" t="s">
        <v>5308</v>
      </c>
      <c r="J342" s="2">
        <v>236</v>
      </c>
      <c r="K342" s="2" t="s">
        <v>27</v>
      </c>
      <c r="L342" s="2" t="s">
        <v>30</v>
      </c>
      <c r="M342" s="2" t="s">
        <v>31</v>
      </c>
      <c r="N342" s="2" t="s">
        <v>17</v>
      </c>
    </row>
    <row r="343" spans="1:14" x14ac:dyDescent="0.3">
      <c r="A343" s="3" t="s">
        <v>9184</v>
      </c>
      <c r="B343" s="3" t="s">
        <v>1233</v>
      </c>
      <c r="C343" s="3" t="s">
        <v>18</v>
      </c>
      <c r="D343" s="3" t="s">
        <v>183</v>
      </c>
      <c r="E343" s="3" t="s">
        <v>14</v>
      </c>
      <c r="F343" s="3">
        <v>21</v>
      </c>
      <c r="G343" s="3">
        <v>140375.92000000001</v>
      </c>
      <c r="H343" s="3">
        <v>6684.57</v>
      </c>
      <c r="I343" s="3" t="s">
        <v>7031</v>
      </c>
      <c r="J343" s="3">
        <v>188</v>
      </c>
      <c r="K343" s="3" t="s">
        <v>21</v>
      </c>
      <c r="L343" s="3" t="s">
        <v>43</v>
      </c>
      <c r="M343" s="3" t="s">
        <v>16</v>
      </c>
      <c r="N343" s="3" t="s">
        <v>17</v>
      </c>
    </row>
    <row r="344" spans="1:14" x14ac:dyDescent="0.3">
      <c r="A344" s="2" t="s">
        <v>7573</v>
      </c>
      <c r="B344" s="2" t="s">
        <v>1451</v>
      </c>
      <c r="C344" s="2" t="s">
        <v>42</v>
      </c>
      <c r="D344" s="2" t="s">
        <v>160</v>
      </c>
      <c r="E344" s="2" t="s">
        <v>29</v>
      </c>
      <c r="F344" s="2">
        <v>17</v>
      </c>
      <c r="G344" s="2">
        <v>166318.20000000001</v>
      </c>
      <c r="H344" s="2">
        <v>9783.42</v>
      </c>
      <c r="I344" s="2" t="s">
        <v>2248</v>
      </c>
      <c r="J344" s="2">
        <v>258</v>
      </c>
      <c r="K344" s="2" t="s">
        <v>13</v>
      </c>
      <c r="L344" s="2" t="s">
        <v>43</v>
      </c>
      <c r="M344" s="2" t="s">
        <v>16</v>
      </c>
      <c r="N344" s="2" t="s">
        <v>17</v>
      </c>
    </row>
    <row r="345" spans="1:14" x14ac:dyDescent="0.3">
      <c r="A345" s="3" t="s">
        <v>9185</v>
      </c>
      <c r="B345" s="3" t="s">
        <v>1166</v>
      </c>
      <c r="C345" s="3" t="s">
        <v>26</v>
      </c>
      <c r="D345" s="3" t="s">
        <v>324</v>
      </c>
      <c r="E345" s="3" t="s">
        <v>39</v>
      </c>
      <c r="F345" s="3">
        <v>27</v>
      </c>
      <c r="G345" s="3">
        <v>86506.54</v>
      </c>
      <c r="H345" s="3">
        <v>3203.95</v>
      </c>
      <c r="I345" s="3" t="s">
        <v>1240</v>
      </c>
      <c r="J345" s="3">
        <v>305</v>
      </c>
      <c r="K345" s="3" t="s">
        <v>28</v>
      </c>
      <c r="L345" s="3" t="s">
        <v>47</v>
      </c>
      <c r="M345" s="3" t="s">
        <v>24</v>
      </c>
      <c r="N345" s="3" t="s">
        <v>17</v>
      </c>
    </row>
    <row r="346" spans="1:14" x14ac:dyDescent="0.3">
      <c r="A346" s="2" t="s">
        <v>9186</v>
      </c>
      <c r="B346" s="2" t="s">
        <v>377</v>
      </c>
      <c r="C346" s="2" t="s">
        <v>18</v>
      </c>
      <c r="D346" s="2" t="s">
        <v>283</v>
      </c>
      <c r="E346" s="2" t="s">
        <v>22</v>
      </c>
      <c r="F346" s="2">
        <v>18</v>
      </c>
      <c r="G346" s="2">
        <v>177956.7</v>
      </c>
      <c r="H346" s="2">
        <v>9886.48</v>
      </c>
      <c r="I346" s="2" t="s">
        <v>1093</v>
      </c>
      <c r="J346" s="2">
        <v>325</v>
      </c>
      <c r="K346" s="2" t="s">
        <v>19</v>
      </c>
      <c r="L346" s="2" t="s">
        <v>15</v>
      </c>
      <c r="M346" s="2" t="s">
        <v>16</v>
      </c>
      <c r="N346" s="2" t="s">
        <v>17</v>
      </c>
    </row>
    <row r="347" spans="1:14" x14ac:dyDescent="0.3">
      <c r="A347" s="3" t="s">
        <v>9187</v>
      </c>
      <c r="B347" s="3" t="s">
        <v>309</v>
      </c>
      <c r="C347" s="3" t="s">
        <v>42</v>
      </c>
      <c r="D347" s="3" t="s">
        <v>443</v>
      </c>
      <c r="E347" s="3" t="s">
        <v>22</v>
      </c>
      <c r="F347" s="3">
        <v>24</v>
      </c>
      <c r="G347" s="3">
        <v>135182.32999999999</v>
      </c>
      <c r="H347" s="3">
        <v>5632.6</v>
      </c>
      <c r="I347" s="3" t="s">
        <v>272</v>
      </c>
      <c r="J347" s="3">
        <v>324</v>
      </c>
      <c r="K347" s="3" t="s">
        <v>28</v>
      </c>
      <c r="L347" s="3" t="s">
        <v>47</v>
      </c>
      <c r="M347" s="3" t="s">
        <v>16</v>
      </c>
      <c r="N347" s="3" t="s">
        <v>17</v>
      </c>
    </row>
    <row r="348" spans="1:14" x14ac:dyDescent="0.3">
      <c r="A348" s="2" t="s">
        <v>9188</v>
      </c>
      <c r="B348" s="2" t="s">
        <v>358</v>
      </c>
      <c r="C348" s="2" t="s">
        <v>33</v>
      </c>
      <c r="D348" s="2" t="s">
        <v>314</v>
      </c>
      <c r="E348" s="2" t="s">
        <v>39</v>
      </c>
      <c r="F348" s="2">
        <v>20</v>
      </c>
      <c r="G348" s="2">
        <v>734.35</v>
      </c>
      <c r="H348" s="2">
        <v>36.72</v>
      </c>
      <c r="I348" s="2" t="s">
        <v>1725</v>
      </c>
      <c r="J348" s="2">
        <v>298</v>
      </c>
      <c r="K348" s="2" t="s">
        <v>21</v>
      </c>
      <c r="L348" s="2" t="s">
        <v>48</v>
      </c>
      <c r="M348" s="2" t="s">
        <v>41</v>
      </c>
      <c r="N348" s="2" t="s">
        <v>17</v>
      </c>
    </row>
    <row r="349" spans="1:14" x14ac:dyDescent="0.3">
      <c r="A349" s="3" t="s">
        <v>9189</v>
      </c>
      <c r="B349" s="3" t="s">
        <v>1038</v>
      </c>
      <c r="C349" s="3" t="s">
        <v>26</v>
      </c>
      <c r="D349" s="3" t="s">
        <v>427</v>
      </c>
      <c r="E349" s="3" t="s">
        <v>29</v>
      </c>
      <c r="F349" s="3">
        <v>24</v>
      </c>
      <c r="G349" s="3">
        <v>105947.86</v>
      </c>
      <c r="H349" s="3">
        <v>4414.49</v>
      </c>
      <c r="I349" s="3" t="s">
        <v>416</v>
      </c>
      <c r="J349" s="3">
        <v>283</v>
      </c>
      <c r="K349" s="3" t="s">
        <v>13</v>
      </c>
      <c r="L349" s="3" t="s">
        <v>23</v>
      </c>
      <c r="M349" s="3" t="s">
        <v>16</v>
      </c>
      <c r="N349" s="3" t="s">
        <v>17</v>
      </c>
    </row>
    <row r="350" spans="1:14" x14ac:dyDescent="0.3">
      <c r="A350" s="2" t="s">
        <v>8757</v>
      </c>
      <c r="B350" s="2" t="s">
        <v>1253</v>
      </c>
      <c r="C350" s="2" t="s">
        <v>18</v>
      </c>
      <c r="D350" s="2" t="s">
        <v>183</v>
      </c>
      <c r="E350" s="2" t="s">
        <v>14</v>
      </c>
      <c r="F350" s="2">
        <v>6</v>
      </c>
      <c r="G350" s="2">
        <v>149147.96</v>
      </c>
      <c r="H350" s="2">
        <v>24857.99</v>
      </c>
      <c r="I350" s="2" t="s">
        <v>1695</v>
      </c>
      <c r="J350" s="2">
        <v>353</v>
      </c>
      <c r="K350" s="2" t="s">
        <v>19</v>
      </c>
      <c r="L350" s="2" t="s">
        <v>30</v>
      </c>
      <c r="M350" s="2" t="s">
        <v>16</v>
      </c>
      <c r="N350" s="2" t="s">
        <v>17</v>
      </c>
    </row>
    <row r="351" spans="1:14" x14ac:dyDescent="0.3">
      <c r="A351" s="3" t="s">
        <v>7536</v>
      </c>
      <c r="B351" s="3" t="s">
        <v>1152</v>
      </c>
      <c r="C351" s="3" t="s">
        <v>33</v>
      </c>
      <c r="D351" s="3" t="s">
        <v>427</v>
      </c>
      <c r="E351" s="3" t="s">
        <v>29</v>
      </c>
      <c r="F351" s="3">
        <v>17</v>
      </c>
      <c r="G351" s="3">
        <v>106427.44</v>
      </c>
      <c r="H351" s="3">
        <v>6260.44</v>
      </c>
      <c r="I351" s="3" t="s">
        <v>212</v>
      </c>
      <c r="J351" s="3">
        <v>89</v>
      </c>
      <c r="K351" s="3" t="s">
        <v>27</v>
      </c>
      <c r="L351" s="3" t="s">
        <v>15</v>
      </c>
      <c r="M351" s="3" t="s">
        <v>16</v>
      </c>
      <c r="N351" s="3" t="s">
        <v>25</v>
      </c>
    </row>
    <row r="352" spans="1:14" x14ac:dyDescent="0.3">
      <c r="A352" s="2" t="s">
        <v>2268</v>
      </c>
      <c r="B352" s="2" t="s">
        <v>4964</v>
      </c>
      <c r="C352" s="2" t="s">
        <v>26</v>
      </c>
      <c r="D352" s="2" t="s">
        <v>193</v>
      </c>
      <c r="E352" s="2" t="s">
        <v>39</v>
      </c>
      <c r="F352" s="2">
        <v>13</v>
      </c>
      <c r="G352" s="2">
        <v>142369.9</v>
      </c>
      <c r="H352" s="2">
        <v>10951.53</v>
      </c>
      <c r="I352" s="2" t="s">
        <v>1197</v>
      </c>
      <c r="J352" s="2">
        <v>339</v>
      </c>
      <c r="K352" s="2" t="s">
        <v>13</v>
      </c>
      <c r="L352" s="2" t="s">
        <v>15</v>
      </c>
      <c r="M352" s="2" t="s">
        <v>16</v>
      </c>
      <c r="N352" s="2" t="s">
        <v>17</v>
      </c>
    </row>
    <row r="353" spans="1:14" x14ac:dyDescent="0.3">
      <c r="A353" s="3" t="s">
        <v>9190</v>
      </c>
      <c r="B353" s="3" t="s">
        <v>1426</v>
      </c>
      <c r="C353" s="3" t="s">
        <v>42</v>
      </c>
      <c r="D353" s="3" t="s">
        <v>109</v>
      </c>
      <c r="E353" s="3" t="s">
        <v>39</v>
      </c>
      <c r="F353" s="3">
        <v>2</v>
      </c>
      <c r="G353" s="3">
        <v>11432.22</v>
      </c>
      <c r="H353" s="3">
        <v>5716.11</v>
      </c>
      <c r="I353" s="3" t="s">
        <v>2542</v>
      </c>
      <c r="J353" s="3">
        <v>357</v>
      </c>
      <c r="K353" s="3" t="s">
        <v>28</v>
      </c>
      <c r="L353" s="3" t="s">
        <v>23</v>
      </c>
      <c r="M353" s="3" t="s">
        <v>31</v>
      </c>
      <c r="N353" s="3" t="s">
        <v>17</v>
      </c>
    </row>
    <row r="354" spans="1:14" x14ac:dyDescent="0.3">
      <c r="A354" s="2" t="s">
        <v>6899</v>
      </c>
      <c r="B354" s="2" t="s">
        <v>855</v>
      </c>
      <c r="C354" s="2" t="s">
        <v>18</v>
      </c>
      <c r="D354" s="2" t="s">
        <v>834</v>
      </c>
      <c r="E354" s="2" t="s">
        <v>29</v>
      </c>
      <c r="F354" s="2">
        <v>28</v>
      </c>
      <c r="G354" s="2">
        <v>157666.68</v>
      </c>
      <c r="H354" s="2">
        <v>5630.95</v>
      </c>
      <c r="I354" s="2" t="s">
        <v>3015</v>
      </c>
      <c r="J354" s="2">
        <v>37</v>
      </c>
      <c r="K354" s="2" t="s">
        <v>27</v>
      </c>
      <c r="L354" s="2" t="s">
        <v>47</v>
      </c>
      <c r="M354" s="2" t="s">
        <v>16</v>
      </c>
      <c r="N354" s="2" t="s">
        <v>25</v>
      </c>
    </row>
    <row r="355" spans="1:14" x14ac:dyDescent="0.3">
      <c r="A355" s="3" t="s">
        <v>9191</v>
      </c>
      <c r="B355" s="3" t="s">
        <v>200</v>
      </c>
      <c r="C355" s="3" t="s">
        <v>18</v>
      </c>
      <c r="D355" s="3" t="s">
        <v>427</v>
      </c>
      <c r="E355" s="3" t="s">
        <v>29</v>
      </c>
      <c r="F355" s="3">
        <v>24</v>
      </c>
      <c r="G355" s="3">
        <v>40690.57</v>
      </c>
      <c r="H355" s="3">
        <v>1695.44</v>
      </c>
      <c r="I355" s="3" t="s">
        <v>1213</v>
      </c>
      <c r="J355" s="3">
        <v>119</v>
      </c>
      <c r="K355" s="3" t="s">
        <v>28</v>
      </c>
      <c r="L355" s="3" t="s">
        <v>48</v>
      </c>
      <c r="M355" s="3" t="s">
        <v>31</v>
      </c>
      <c r="N355" s="3" t="s">
        <v>32</v>
      </c>
    </row>
    <row r="356" spans="1:14" x14ac:dyDescent="0.3">
      <c r="A356" s="2" t="s">
        <v>9192</v>
      </c>
      <c r="B356" s="2" t="s">
        <v>1085</v>
      </c>
      <c r="C356" s="2" t="s">
        <v>42</v>
      </c>
      <c r="D356" s="2" t="s">
        <v>171</v>
      </c>
      <c r="E356" s="2" t="s">
        <v>14</v>
      </c>
      <c r="F356" s="2">
        <v>19</v>
      </c>
      <c r="G356" s="2">
        <v>27855.64</v>
      </c>
      <c r="H356" s="2">
        <v>1466.09</v>
      </c>
      <c r="I356" s="2" t="s">
        <v>242</v>
      </c>
      <c r="J356" s="2">
        <v>100</v>
      </c>
      <c r="K356" s="2" t="s">
        <v>13</v>
      </c>
      <c r="L356" s="2" t="s">
        <v>48</v>
      </c>
      <c r="M356" s="2" t="s">
        <v>31</v>
      </c>
      <c r="N356" s="2" t="s">
        <v>32</v>
      </c>
    </row>
    <row r="357" spans="1:14" x14ac:dyDescent="0.3">
      <c r="A357" s="3" t="s">
        <v>9193</v>
      </c>
      <c r="B357" s="3" t="s">
        <v>319</v>
      </c>
      <c r="C357" s="3" t="s">
        <v>42</v>
      </c>
      <c r="D357" s="3" t="s">
        <v>160</v>
      </c>
      <c r="E357" s="3" t="s">
        <v>29</v>
      </c>
      <c r="F357" s="3">
        <v>30</v>
      </c>
      <c r="G357" s="3">
        <v>6945.54</v>
      </c>
      <c r="H357" s="3">
        <v>231.52</v>
      </c>
      <c r="I357" s="3" t="s">
        <v>2341</v>
      </c>
      <c r="J357" s="3">
        <v>31</v>
      </c>
      <c r="K357" s="3" t="s">
        <v>13</v>
      </c>
      <c r="L357" s="3" t="s">
        <v>48</v>
      </c>
      <c r="M357" s="3" t="s">
        <v>41</v>
      </c>
      <c r="N357" s="3" t="s">
        <v>25</v>
      </c>
    </row>
    <row r="358" spans="1:14" x14ac:dyDescent="0.3">
      <c r="A358" s="2" t="s">
        <v>9194</v>
      </c>
      <c r="B358" s="2" t="s">
        <v>3865</v>
      </c>
      <c r="C358" s="2" t="s">
        <v>42</v>
      </c>
      <c r="D358" s="2" t="s">
        <v>148</v>
      </c>
      <c r="E358" s="2" t="s">
        <v>29</v>
      </c>
      <c r="F358" s="2">
        <v>30</v>
      </c>
      <c r="G358" s="2">
        <v>154204.66</v>
      </c>
      <c r="H358" s="2">
        <v>5140.16</v>
      </c>
      <c r="I358" s="2" t="s">
        <v>1907</v>
      </c>
      <c r="J358" s="2">
        <v>39</v>
      </c>
      <c r="K358" s="2" t="s">
        <v>13</v>
      </c>
      <c r="L358" s="2" t="s">
        <v>23</v>
      </c>
      <c r="M358" s="2" t="s">
        <v>16</v>
      </c>
      <c r="N358" s="2" t="s">
        <v>25</v>
      </c>
    </row>
    <row r="359" spans="1:14" x14ac:dyDescent="0.3">
      <c r="A359" s="3" t="s">
        <v>9195</v>
      </c>
      <c r="B359" s="3" t="s">
        <v>2882</v>
      </c>
      <c r="C359" s="3" t="s">
        <v>26</v>
      </c>
      <c r="D359" s="3" t="s">
        <v>183</v>
      </c>
      <c r="E359" s="3" t="s">
        <v>14</v>
      </c>
      <c r="F359" s="3">
        <v>29</v>
      </c>
      <c r="G359" s="3">
        <v>98605.45</v>
      </c>
      <c r="H359" s="3">
        <v>3400.19</v>
      </c>
      <c r="I359" s="3" t="s">
        <v>263</v>
      </c>
      <c r="J359" s="3">
        <v>114</v>
      </c>
      <c r="K359" s="3" t="s">
        <v>19</v>
      </c>
      <c r="L359" s="3" t="s">
        <v>40</v>
      </c>
      <c r="M359" s="3" t="s">
        <v>24</v>
      </c>
      <c r="N359" s="3" t="s">
        <v>32</v>
      </c>
    </row>
    <row r="360" spans="1:14" x14ac:dyDescent="0.3">
      <c r="A360" s="2" t="s">
        <v>9196</v>
      </c>
      <c r="B360" s="2" t="s">
        <v>642</v>
      </c>
      <c r="C360" s="2" t="s">
        <v>26</v>
      </c>
      <c r="D360" s="2" t="s">
        <v>193</v>
      </c>
      <c r="E360" s="2" t="s">
        <v>39</v>
      </c>
      <c r="F360" s="2">
        <v>25</v>
      </c>
      <c r="G360" s="2">
        <v>181141.54</v>
      </c>
      <c r="H360" s="2">
        <v>7245.66</v>
      </c>
      <c r="I360" s="2" t="s">
        <v>3591</v>
      </c>
      <c r="J360" s="2">
        <v>282</v>
      </c>
      <c r="K360" s="2" t="s">
        <v>19</v>
      </c>
      <c r="L360" s="2" t="s">
        <v>30</v>
      </c>
      <c r="M360" s="2" t="s">
        <v>16</v>
      </c>
      <c r="N360" s="2" t="s">
        <v>17</v>
      </c>
    </row>
    <row r="361" spans="1:14" x14ac:dyDescent="0.3">
      <c r="A361" s="3" t="s">
        <v>9197</v>
      </c>
      <c r="B361" s="3" t="s">
        <v>863</v>
      </c>
      <c r="C361" s="3" t="s">
        <v>26</v>
      </c>
      <c r="D361" s="3" t="s">
        <v>254</v>
      </c>
      <c r="E361" s="3" t="s">
        <v>22</v>
      </c>
      <c r="F361" s="3">
        <v>13</v>
      </c>
      <c r="G361" s="3">
        <v>19688.16</v>
      </c>
      <c r="H361" s="3">
        <v>1514.47</v>
      </c>
      <c r="I361" s="3" t="s">
        <v>3651</v>
      </c>
      <c r="J361" s="3">
        <v>301</v>
      </c>
      <c r="K361" s="3" t="s">
        <v>27</v>
      </c>
      <c r="L361" s="3" t="s">
        <v>48</v>
      </c>
      <c r="M361" s="3" t="s">
        <v>31</v>
      </c>
      <c r="N361" s="3" t="s">
        <v>17</v>
      </c>
    </row>
    <row r="362" spans="1:14" x14ac:dyDescent="0.3">
      <c r="A362" s="2" t="s">
        <v>9198</v>
      </c>
      <c r="B362" s="2" t="s">
        <v>393</v>
      </c>
      <c r="C362" s="2" t="s">
        <v>26</v>
      </c>
      <c r="D362" s="2" t="s">
        <v>95</v>
      </c>
      <c r="E362" s="2" t="s">
        <v>14</v>
      </c>
      <c r="F362" s="2">
        <v>21</v>
      </c>
      <c r="G362" s="2">
        <v>77169.929999999993</v>
      </c>
      <c r="H362" s="2">
        <v>3674.76</v>
      </c>
      <c r="I362" s="2" t="s">
        <v>3740</v>
      </c>
      <c r="J362" s="2">
        <v>164</v>
      </c>
      <c r="K362" s="2" t="s">
        <v>21</v>
      </c>
      <c r="L362" s="2" t="s">
        <v>48</v>
      </c>
      <c r="M362" s="2" t="s">
        <v>24</v>
      </c>
      <c r="N362" s="2" t="s">
        <v>32</v>
      </c>
    </row>
    <row r="363" spans="1:14" x14ac:dyDescent="0.3">
      <c r="A363" s="3" t="s">
        <v>1202</v>
      </c>
      <c r="B363" s="3" t="s">
        <v>1866</v>
      </c>
      <c r="C363" s="3" t="s">
        <v>18</v>
      </c>
      <c r="D363" s="3" t="s">
        <v>160</v>
      </c>
      <c r="E363" s="3" t="s">
        <v>29</v>
      </c>
      <c r="F363" s="3">
        <v>29</v>
      </c>
      <c r="G363" s="3">
        <v>194101.58</v>
      </c>
      <c r="H363" s="3">
        <v>6693.16</v>
      </c>
      <c r="I363" s="3" t="s">
        <v>3106</v>
      </c>
      <c r="J363" s="3">
        <v>288</v>
      </c>
      <c r="K363" s="3" t="s">
        <v>13</v>
      </c>
      <c r="L363" s="3" t="s">
        <v>43</v>
      </c>
      <c r="M363" s="3" t="s">
        <v>16</v>
      </c>
      <c r="N363" s="3" t="s">
        <v>17</v>
      </c>
    </row>
    <row r="364" spans="1:14" x14ac:dyDescent="0.3">
      <c r="A364" s="2" t="s">
        <v>9199</v>
      </c>
      <c r="B364" s="2" t="s">
        <v>4171</v>
      </c>
      <c r="C364" s="2" t="s">
        <v>26</v>
      </c>
      <c r="D364" s="2" t="s">
        <v>443</v>
      </c>
      <c r="E364" s="2" t="s">
        <v>22</v>
      </c>
      <c r="F364" s="2">
        <v>6</v>
      </c>
      <c r="G364" s="2">
        <v>152394.29999999999</v>
      </c>
      <c r="H364" s="2">
        <v>25399.05</v>
      </c>
      <c r="I364" s="2" t="s">
        <v>1906</v>
      </c>
      <c r="J364" s="2">
        <v>47</v>
      </c>
      <c r="K364" s="2" t="s">
        <v>13</v>
      </c>
      <c r="L364" s="2" t="s">
        <v>43</v>
      </c>
      <c r="M364" s="2" t="s">
        <v>16</v>
      </c>
      <c r="N364" s="2" t="s">
        <v>25</v>
      </c>
    </row>
    <row r="365" spans="1:14" x14ac:dyDescent="0.3">
      <c r="A365" s="3" t="s">
        <v>9200</v>
      </c>
      <c r="B365" s="3" t="s">
        <v>563</v>
      </c>
      <c r="C365" s="3" t="s">
        <v>26</v>
      </c>
      <c r="D365" s="3" t="s">
        <v>225</v>
      </c>
      <c r="E365" s="3" t="s">
        <v>39</v>
      </c>
      <c r="F365" s="3">
        <v>15</v>
      </c>
      <c r="G365" s="3">
        <v>59787.1</v>
      </c>
      <c r="H365" s="3">
        <v>3985.81</v>
      </c>
      <c r="I365" s="3" t="s">
        <v>3200</v>
      </c>
      <c r="J365" s="3">
        <v>229</v>
      </c>
      <c r="K365" s="3" t="s">
        <v>13</v>
      </c>
      <c r="L365" s="3" t="s">
        <v>48</v>
      </c>
      <c r="M365" s="3" t="s">
        <v>24</v>
      </c>
      <c r="N365" s="3" t="s">
        <v>17</v>
      </c>
    </row>
    <row r="366" spans="1:14" x14ac:dyDescent="0.3">
      <c r="A366" s="2" t="s">
        <v>7562</v>
      </c>
      <c r="B366" s="2" t="s">
        <v>689</v>
      </c>
      <c r="C366" s="2" t="s">
        <v>26</v>
      </c>
      <c r="D366" s="2" t="s">
        <v>148</v>
      </c>
      <c r="E366" s="2" t="s">
        <v>29</v>
      </c>
      <c r="F366" s="2">
        <v>9</v>
      </c>
      <c r="G366" s="2">
        <v>37785.69</v>
      </c>
      <c r="H366" s="2">
        <v>4198.41</v>
      </c>
      <c r="I366" s="2" t="s">
        <v>1040</v>
      </c>
      <c r="J366" s="2">
        <v>96</v>
      </c>
      <c r="K366" s="2" t="s">
        <v>19</v>
      </c>
      <c r="L366" s="2" t="s">
        <v>40</v>
      </c>
      <c r="M366" s="2" t="s">
        <v>31</v>
      </c>
      <c r="N366" s="2" t="s">
        <v>32</v>
      </c>
    </row>
    <row r="367" spans="1:14" x14ac:dyDescent="0.3">
      <c r="A367" s="3" t="s">
        <v>9201</v>
      </c>
      <c r="B367" s="3" t="s">
        <v>1395</v>
      </c>
      <c r="C367" s="3" t="s">
        <v>18</v>
      </c>
      <c r="D367" s="3" t="s">
        <v>283</v>
      </c>
      <c r="E367" s="3" t="s">
        <v>22</v>
      </c>
      <c r="F367" s="3">
        <v>12</v>
      </c>
      <c r="G367" s="3">
        <v>108756.16</v>
      </c>
      <c r="H367" s="3">
        <v>9063.01</v>
      </c>
      <c r="I367" s="3" t="s">
        <v>2385</v>
      </c>
      <c r="J367" s="3">
        <v>279</v>
      </c>
      <c r="K367" s="3" t="s">
        <v>19</v>
      </c>
      <c r="L367" s="3" t="s">
        <v>30</v>
      </c>
      <c r="M367" s="3" t="s">
        <v>16</v>
      </c>
      <c r="N367" s="3" t="s">
        <v>17</v>
      </c>
    </row>
    <row r="368" spans="1:14" x14ac:dyDescent="0.3">
      <c r="A368" s="2" t="s">
        <v>9202</v>
      </c>
      <c r="B368" s="2" t="s">
        <v>1054</v>
      </c>
      <c r="C368" s="2" t="s">
        <v>33</v>
      </c>
      <c r="D368" s="2" t="s">
        <v>148</v>
      </c>
      <c r="E368" s="2" t="s">
        <v>29</v>
      </c>
      <c r="F368" s="2">
        <v>12</v>
      </c>
      <c r="G368" s="2">
        <v>112920.06</v>
      </c>
      <c r="H368" s="2">
        <v>9410</v>
      </c>
      <c r="I368" s="2" t="s">
        <v>2899</v>
      </c>
      <c r="J368" s="2">
        <v>277</v>
      </c>
      <c r="K368" s="2" t="s">
        <v>13</v>
      </c>
      <c r="L368" s="2" t="s">
        <v>47</v>
      </c>
      <c r="M368" s="2" t="s">
        <v>16</v>
      </c>
      <c r="N368" s="2" t="s">
        <v>17</v>
      </c>
    </row>
    <row r="369" spans="1:14" x14ac:dyDescent="0.3">
      <c r="A369" s="3" t="s">
        <v>9203</v>
      </c>
      <c r="B369" s="3" t="s">
        <v>695</v>
      </c>
      <c r="C369" s="3" t="s">
        <v>42</v>
      </c>
      <c r="D369" s="3" t="s">
        <v>427</v>
      </c>
      <c r="E369" s="3" t="s">
        <v>29</v>
      </c>
      <c r="F369" s="3">
        <v>3</v>
      </c>
      <c r="G369" s="3">
        <v>15445.19</v>
      </c>
      <c r="H369" s="3">
        <v>5148.3999999999996</v>
      </c>
      <c r="I369" s="3" t="s">
        <v>4757</v>
      </c>
      <c r="J369" s="3">
        <v>51</v>
      </c>
      <c r="K369" s="3" t="s">
        <v>21</v>
      </c>
      <c r="L369" s="3" t="s">
        <v>48</v>
      </c>
      <c r="M369" s="3" t="s">
        <v>31</v>
      </c>
      <c r="N369" s="3" t="s">
        <v>25</v>
      </c>
    </row>
    <row r="370" spans="1:14" x14ac:dyDescent="0.3">
      <c r="A370" s="2" t="s">
        <v>9204</v>
      </c>
      <c r="B370" s="2" t="s">
        <v>1911</v>
      </c>
      <c r="C370" s="2" t="s">
        <v>26</v>
      </c>
      <c r="D370" s="2" t="s">
        <v>324</v>
      </c>
      <c r="E370" s="2" t="s">
        <v>39</v>
      </c>
      <c r="F370" s="2">
        <v>22</v>
      </c>
      <c r="G370" s="2">
        <v>180884.56</v>
      </c>
      <c r="H370" s="2">
        <v>8222.0300000000007</v>
      </c>
      <c r="I370" s="2" t="s">
        <v>311</v>
      </c>
      <c r="J370" s="2">
        <v>75</v>
      </c>
      <c r="K370" s="2" t="s">
        <v>21</v>
      </c>
      <c r="L370" s="2" t="s">
        <v>43</v>
      </c>
      <c r="M370" s="2" t="s">
        <v>16</v>
      </c>
      <c r="N370" s="2" t="s">
        <v>25</v>
      </c>
    </row>
    <row r="371" spans="1:14" x14ac:dyDescent="0.3">
      <c r="A371" s="3" t="s">
        <v>9205</v>
      </c>
      <c r="B371" s="3" t="s">
        <v>2590</v>
      </c>
      <c r="C371" s="3" t="s">
        <v>42</v>
      </c>
      <c r="D371" s="3" t="s">
        <v>283</v>
      </c>
      <c r="E371" s="3" t="s">
        <v>22</v>
      </c>
      <c r="F371" s="3">
        <v>23</v>
      </c>
      <c r="G371" s="3">
        <v>170613.95</v>
      </c>
      <c r="H371" s="3">
        <v>7418</v>
      </c>
      <c r="I371" s="3" t="s">
        <v>1049</v>
      </c>
      <c r="J371" s="3">
        <v>40</v>
      </c>
      <c r="K371" s="3" t="s">
        <v>27</v>
      </c>
      <c r="L371" s="3" t="s">
        <v>23</v>
      </c>
      <c r="M371" s="3" t="s">
        <v>16</v>
      </c>
      <c r="N371" s="3" t="s">
        <v>25</v>
      </c>
    </row>
    <row r="372" spans="1:14" x14ac:dyDescent="0.3">
      <c r="A372" s="2" t="s">
        <v>9206</v>
      </c>
      <c r="B372" s="2" t="s">
        <v>799</v>
      </c>
      <c r="C372" s="2" t="s">
        <v>26</v>
      </c>
      <c r="D372" s="2" t="s">
        <v>193</v>
      </c>
      <c r="E372" s="2" t="s">
        <v>39</v>
      </c>
      <c r="F372" s="2">
        <v>12</v>
      </c>
      <c r="G372" s="2">
        <v>69471.820000000007</v>
      </c>
      <c r="H372" s="2">
        <v>5789.32</v>
      </c>
      <c r="I372" s="2" t="s">
        <v>720</v>
      </c>
      <c r="J372" s="2">
        <v>130</v>
      </c>
      <c r="K372" s="2" t="s">
        <v>19</v>
      </c>
      <c r="L372" s="2" t="s">
        <v>43</v>
      </c>
      <c r="M372" s="2" t="s">
        <v>24</v>
      </c>
      <c r="N372" s="2" t="s">
        <v>32</v>
      </c>
    </row>
    <row r="373" spans="1:14" x14ac:dyDescent="0.3">
      <c r="A373" s="3" t="s">
        <v>9207</v>
      </c>
      <c r="B373" s="3" t="s">
        <v>422</v>
      </c>
      <c r="C373" s="3" t="s">
        <v>26</v>
      </c>
      <c r="D373" s="3" t="s">
        <v>254</v>
      </c>
      <c r="E373" s="3" t="s">
        <v>22</v>
      </c>
      <c r="F373" s="3">
        <v>16</v>
      </c>
      <c r="G373" s="3">
        <v>194450.93</v>
      </c>
      <c r="H373" s="3">
        <v>12153.18</v>
      </c>
      <c r="I373" s="3" t="s">
        <v>1219</v>
      </c>
      <c r="J373" s="3">
        <v>251</v>
      </c>
      <c r="K373" s="3" t="s">
        <v>21</v>
      </c>
      <c r="L373" s="3" t="s">
        <v>40</v>
      </c>
      <c r="M373" s="3" t="s">
        <v>16</v>
      </c>
      <c r="N373" s="3" t="s">
        <v>17</v>
      </c>
    </row>
    <row r="374" spans="1:14" x14ac:dyDescent="0.3">
      <c r="A374" s="2" t="s">
        <v>9208</v>
      </c>
      <c r="B374" s="2" t="s">
        <v>300</v>
      </c>
      <c r="C374" s="2" t="s">
        <v>26</v>
      </c>
      <c r="D374" s="2" t="s">
        <v>254</v>
      </c>
      <c r="E374" s="2" t="s">
        <v>22</v>
      </c>
      <c r="F374" s="2">
        <v>13</v>
      </c>
      <c r="G374" s="2">
        <v>47414</v>
      </c>
      <c r="H374" s="2">
        <v>3647.23</v>
      </c>
      <c r="I374" s="2" t="s">
        <v>5082</v>
      </c>
      <c r="J374" s="2">
        <v>143</v>
      </c>
      <c r="K374" s="2" t="s">
        <v>28</v>
      </c>
      <c r="L374" s="2" t="s">
        <v>30</v>
      </c>
      <c r="M374" s="2" t="s">
        <v>31</v>
      </c>
      <c r="N374" s="2" t="s">
        <v>32</v>
      </c>
    </row>
    <row r="375" spans="1:14" x14ac:dyDescent="0.3">
      <c r="A375" s="3" t="s">
        <v>9209</v>
      </c>
      <c r="B375" s="3" t="s">
        <v>1644</v>
      </c>
      <c r="C375" s="3" t="s">
        <v>33</v>
      </c>
      <c r="D375" s="3" t="s">
        <v>215</v>
      </c>
      <c r="E375" s="3" t="s">
        <v>14</v>
      </c>
      <c r="F375" s="3">
        <v>8</v>
      </c>
      <c r="G375" s="3">
        <v>185466.98</v>
      </c>
      <c r="H375" s="3">
        <v>23183.37</v>
      </c>
      <c r="I375" s="3" t="s">
        <v>242</v>
      </c>
      <c r="J375" s="3">
        <v>100</v>
      </c>
      <c r="K375" s="3" t="s">
        <v>27</v>
      </c>
      <c r="L375" s="3" t="s">
        <v>30</v>
      </c>
      <c r="M375" s="3" t="s">
        <v>16</v>
      </c>
      <c r="N375" s="3" t="s">
        <v>32</v>
      </c>
    </row>
    <row r="376" spans="1:14" x14ac:dyDescent="0.3">
      <c r="A376" s="2" t="s">
        <v>972</v>
      </c>
      <c r="B376" s="2" t="s">
        <v>231</v>
      </c>
      <c r="C376" s="2" t="s">
        <v>42</v>
      </c>
      <c r="D376" s="2" t="s">
        <v>160</v>
      </c>
      <c r="E376" s="2" t="s">
        <v>29</v>
      </c>
      <c r="F376" s="2">
        <v>14</v>
      </c>
      <c r="G376" s="2">
        <v>50016.56</v>
      </c>
      <c r="H376" s="2">
        <v>3572.61</v>
      </c>
      <c r="I376" s="2" t="s">
        <v>893</v>
      </c>
      <c r="J376" s="2">
        <v>194</v>
      </c>
      <c r="K376" s="2" t="s">
        <v>28</v>
      </c>
      <c r="L376" s="2" t="s">
        <v>43</v>
      </c>
      <c r="M376" s="2" t="s">
        <v>24</v>
      </c>
      <c r="N376" s="2" t="s">
        <v>17</v>
      </c>
    </row>
    <row r="377" spans="1:14" x14ac:dyDescent="0.3">
      <c r="A377" s="3" t="s">
        <v>9210</v>
      </c>
      <c r="B377" s="3" t="s">
        <v>3903</v>
      </c>
      <c r="C377" s="3" t="s">
        <v>42</v>
      </c>
      <c r="D377" s="3" t="s">
        <v>148</v>
      </c>
      <c r="E377" s="3" t="s">
        <v>29</v>
      </c>
      <c r="F377" s="3">
        <v>5</v>
      </c>
      <c r="G377" s="3">
        <v>47206.83</v>
      </c>
      <c r="H377" s="3">
        <v>9441.3700000000008</v>
      </c>
      <c r="I377" s="3" t="s">
        <v>2547</v>
      </c>
      <c r="J377" s="3">
        <v>334</v>
      </c>
      <c r="K377" s="3" t="s">
        <v>27</v>
      </c>
      <c r="L377" s="3" t="s">
        <v>40</v>
      </c>
      <c r="M377" s="3" t="s">
        <v>31</v>
      </c>
      <c r="N377" s="3" t="s">
        <v>17</v>
      </c>
    </row>
    <row r="378" spans="1:14" x14ac:dyDescent="0.3">
      <c r="A378" s="2" t="s">
        <v>9211</v>
      </c>
      <c r="B378" s="2" t="s">
        <v>4068</v>
      </c>
      <c r="C378" s="2" t="s">
        <v>33</v>
      </c>
      <c r="D378" s="2" t="s">
        <v>225</v>
      </c>
      <c r="E378" s="2" t="s">
        <v>39</v>
      </c>
      <c r="F378" s="2">
        <v>25</v>
      </c>
      <c r="G378" s="2">
        <v>118281.29</v>
      </c>
      <c r="H378" s="2">
        <v>4731.25</v>
      </c>
      <c r="I378" s="2" t="s">
        <v>1221</v>
      </c>
      <c r="J378" s="2">
        <v>245</v>
      </c>
      <c r="K378" s="2" t="s">
        <v>13</v>
      </c>
      <c r="L378" s="2" t="s">
        <v>47</v>
      </c>
      <c r="M378" s="2" t="s">
        <v>16</v>
      </c>
      <c r="N378" s="2" t="s">
        <v>17</v>
      </c>
    </row>
    <row r="379" spans="1:14" x14ac:dyDescent="0.3">
      <c r="A379" s="3" t="s">
        <v>9212</v>
      </c>
      <c r="B379" s="3" t="s">
        <v>1822</v>
      </c>
      <c r="C379" s="3" t="s">
        <v>42</v>
      </c>
      <c r="D379" s="3" t="s">
        <v>254</v>
      </c>
      <c r="E379" s="3" t="s">
        <v>22</v>
      </c>
      <c r="F379" s="3">
        <v>21</v>
      </c>
      <c r="G379" s="3">
        <v>144411.41</v>
      </c>
      <c r="H379" s="3">
        <v>6876.73</v>
      </c>
      <c r="I379" s="3" t="s">
        <v>2341</v>
      </c>
      <c r="J379" s="3">
        <v>31</v>
      </c>
      <c r="K379" s="3" t="s">
        <v>28</v>
      </c>
      <c r="L379" s="3" t="s">
        <v>30</v>
      </c>
      <c r="M379" s="3" t="s">
        <v>16</v>
      </c>
      <c r="N379" s="3" t="s">
        <v>25</v>
      </c>
    </row>
    <row r="380" spans="1:14" x14ac:dyDescent="0.3">
      <c r="A380" s="2" t="s">
        <v>7017</v>
      </c>
      <c r="B380" s="2" t="s">
        <v>1989</v>
      </c>
      <c r="C380" s="2" t="s">
        <v>42</v>
      </c>
      <c r="D380" s="2" t="s">
        <v>193</v>
      </c>
      <c r="E380" s="2" t="s">
        <v>39</v>
      </c>
      <c r="F380" s="2">
        <v>2</v>
      </c>
      <c r="G380" s="2">
        <v>76607.850000000006</v>
      </c>
      <c r="H380" s="2">
        <v>38303.93</v>
      </c>
      <c r="I380" s="2" t="s">
        <v>770</v>
      </c>
      <c r="J380" s="2">
        <v>107</v>
      </c>
      <c r="K380" s="2" t="s">
        <v>21</v>
      </c>
      <c r="L380" s="2" t="s">
        <v>15</v>
      </c>
      <c r="M380" s="2" t="s">
        <v>24</v>
      </c>
      <c r="N380" s="2" t="s">
        <v>32</v>
      </c>
    </row>
    <row r="381" spans="1:14" x14ac:dyDescent="0.3">
      <c r="A381" s="3" t="s">
        <v>9213</v>
      </c>
      <c r="B381" s="3" t="s">
        <v>2136</v>
      </c>
      <c r="C381" s="3" t="s">
        <v>42</v>
      </c>
      <c r="D381" s="3" t="s">
        <v>171</v>
      </c>
      <c r="E381" s="3" t="s">
        <v>14</v>
      </c>
      <c r="F381" s="3">
        <v>16</v>
      </c>
      <c r="G381" s="3">
        <v>74470.28</v>
      </c>
      <c r="H381" s="3">
        <v>4654.3900000000003</v>
      </c>
      <c r="I381" s="3" t="s">
        <v>1608</v>
      </c>
      <c r="J381" s="3">
        <v>152</v>
      </c>
      <c r="K381" s="3" t="s">
        <v>19</v>
      </c>
      <c r="L381" s="3" t="s">
        <v>23</v>
      </c>
      <c r="M381" s="3" t="s">
        <v>24</v>
      </c>
      <c r="N381" s="3" t="s">
        <v>32</v>
      </c>
    </row>
    <row r="382" spans="1:14" x14ac:dyDescent="0.3">
      <c r="A382" s="2" t="s">
        <v>9214</v>
      </c>
      <c r="B382" s="2" t="s">
        <v>1226</v>
      </c>
      <c r="C382" s="2" t="s">
        <v>42</v>
      </c>
      <c r="D382" s="2" t="s">
        <v>171</v>
      </c>
      <c r="E382" s="2" t="s">
        <v>14</v>
      </c>
      <c r="F382" s="2">
        <v>25</v>
      </c>
      <c r="G382" s="2">
        <v>172779.48</v>
      </c>
      <c r="H382" s="2">
        <v>6911.18</v>
      </c>
      <c r="I382" s="2" t="s">
        <v>3618</v>
      </c>
      <c r="J382" s="2">
        <v>343</v>
      </c>
      <c r="K382" s="2" t="s">
        <v>28</v>
      </c>
      <c r="L382" s="2" t="s">
        <v>30</v>
      </c>
      <c r="M382" s="2" t="s">
        <v>16</v>
      </c>
      <c r="N382" s="2" t="s">
        <v>17</v>
      </c>
    </row>
    <row r="383" spans="1:14" x14ac:dyDescent="0.3">
      <c r="A383" s="3" t="s">
        <v>4079</v>
      </c>
      <c r="B383" s="3" t="s">
        <v>1989</v>
      </c>
      <c r="C383" s="3" t="s">
        <v>42</v>
      </c>
      <c r="D383" s="3" t="s">
        <v>738</v>
      </c>
      <c r="E383" s="3" t="s">
        <v>22</v>
      </c>
      <c r="F383" s="3">
        <v>20</v>
      </c>
      <c r="G383" s="3">
        <v>178856.27</v>
      </c>
      <c r="H383" s="3">
        <v>8942.81</v>
      </c>
      <c r="I383" s="3" t="s">
        <v>2132</v>
      </c>
      <c r="J383" s="3">
        <v>177</v>
      </c>
      <c r="K383" s="3" t="s">
        <v>21</v>
      </c>
      <c r="L383" s="3" t="s">
        <v>23</v>
      </c>
      <c r="M383" s="3" t="s">
        <v>16</v>
      </c>
      <c r="N383" s="3" t="s">
        <v>32</v>
      </c>
    </row>
    <row r="384" spans="1:14" x14ac:dyDescent="0.3">
      <c r="A384" s="2" t="s">
        <v>9215</v>
      </c>
      <c r="B384" s="2" t="s">
        <v>495</v>
      </c>
      <c r="C384" s="2" t="s">
        <v>26</v>
      </c>
      <c r="D384" s="2" t="s">
        <v>324</v>
      </c>
      <c r="E384" s="2" t="s">
        <v>39</v>
      </c>
      <c r="F384" s="2">
        <v>29</v>
      </c>
      <c r="G384" s="2">
        <v>38940.22</v>
      </c>
      <c r="H384" s="2">
        <v>1342.77</v>
      </c>
      <c r="I384" s="2" t="s">
        <v>4209</v>
      </c>
      <c r="J384" s="2">
        <v>85</v>
      </c>
      <c r="K384" s="2" t="s">
        <v>13</v>
      </c>
      <c r="L384" s="2" t="s">
        <v>40</v>
      </c>
      <c r="M384" s="2" t="s">
        <v>31</v>
      </c>
      <c r="N384" s="2" t="s">
        <v>25</v>
      </c>
    </row>
    <row r="385" spans="1:14" x14ac:dyDescent="0.3">
      <c r="A385" s="3" t="s">
        <v>9216</v>
      </c>
      <c r="B385" s="3" t="s">
        <v>1166</v>
      </c>
      <c r="C385" s="3" t="s">
        <v>42</v>
      </c>
      <c r="D385" s="3" t="s">
        <v>712</v>
      </c>
      <c r="E385" s="3" t="s">
        <v>14</v>
      </c>
      <c r="F385" s="3">
        <v>18</v>
      </c>
      <c r="G385" s="3">
        <v>17741.150000000001</v>
      </c>
      <c r="H385" s="3">
        <v>985.62</v>
      </c>
      <c r="I385" s="3" t="s">
        <v>313</v>
      </c>
      <c r="J385" s="3">
        <v>64</v>
      </c>
      <c r="K385" s="3" t="s">
        <v>19</v>
      </c>
      <c r="L385" s="3" t="s">
        <v>23</v>
      </c>
      <c r="M385" s="3" t="s">
        <v>31</v>
      </c>
      <c r="N385" s="3" t="s">
        <v>25</v>
      </c>
    </row>
    <row r="386" spans="1:14" x14ac:dyDescent="0.3">
      <c r="A386" s="2" t="s">
        <v>9217</v>
      </c>
      <c r="B386" s="2" t="s">
        <v>1177</v>
      </c>
      <c r="C386" s="2" t="s">
        <v>33</v>
      </c>
      <c r="D386" s="2" t="s">
        <v>171</v>
      </c>
      <c r="E386" s="2" t="s">
        <v>14</v>
      </c>
      <c r="F386" s="2">
        <v>30</v>
      </c>
      <c r="G386" s="2">
        <v>56200.42</v>
      </c>
      <c r="H386" s="2">
        <v>1873.35</v>
      </c>
      <c r="I386" s="2" t="s">
        <v>2294</v>
      </c>
      <c r="J386" s="2">
        <v>157</v>
      </c>
      <c r="K386" s="2" t="s">
        <v>27</v>
      </c>
      <c r="L386" s="2" t="s">
        <v>48</v>
      </c>
      <c r="M386" s="2" t="s">
        <v>24</v>
      </c>
      <c r="N386" s="2" t="s">
        <v>32</v>
      </c>
    </row>
    <row r="387" spans="1:14" x14ac:dyDescent="0.3">
      <c r="A387" s="3" t="s">
        <v>9218</v>
      </c>
      <c r="B387" s="3" t="s">
        <v>1782</v>
      </c>
      <c r="C387" s="3" t="s">
        <v>18</v>
      </c>
      <c r="D387" s="3" t="s">
        <v>160</v>
      </c>
      <c r="E387" s="3" t="s">
        <v>29</v>
      </c>
      <c r="F387" s="3">
        <v>12</v>
      </c>
      <c r="G387" s="3">
        <v>189909.54</v>
      </c>
      <c r="H387" s="3">
        <v>15825.8</v>
      </c>
      <c r="I387" s="3" t="s">
        <v>2293</v>
      </c>
      <c r="J387" s="3">
        <v>161</v>
      </c>
      <c r="K387" s="3" t="s">
        <v>13</v>
      </c>
      <c r="L387" s="3" t="s">
        <v>23</v>
      </c>
      <c r="M387" s="3" t="s">
        <v>16</v>
      </c>
      <c r="N387" s="3" t="s">
        <v>32</v>
      </c>
    </row>
    <row r="388" spans="1:14" x14ac:dyDescent="0.3">
      <c r="A388" s="2" t="s">
        <v>9219</v>
      </c>
      <c r="B388" s="2" t="s">
        <v>2882</v>
      </c>
      <c r="C388" s="2" t="s">
        <v>42</v>
      </c>
      <c r="D388" s="2" t="s">
        <v>712</v>
      </c>
      <c r="E388" s="2" t="s">
        <v>14</v>
      </c>
      <c r="F388" s="2">
        <v>5</v>
      </c>
      <c r="G388" s="2">
        <v>148125.75</v>
      </c>
      <c r="H388" s="2">
        <v>29625.15</v>
      </c>
      <c r="I388" s="2" t="s">
        <v>1785</v>
      </c>
      <c r="J388" s="2">
        <v>211</v>
      </c>
      <c r="K388" s="2" t="s">
        <v>27</v>
      </c>
      <c r="L388" s="2" t="s">
        <v>30</v>
      </c>
      <c r="M388" s="2" t="s">
        <v>16</v>
      </c>
      <c r="N388" s="2" t="s">
        <v>17</v>
      </c>
    </row>
    <row r="389" spans="1:14" x14ac:dyDescent="0.3">
      <c r="A389" s="3" t="s">
        <v>9220</v>
      </c>
      <c r="B389" s="3" t="s">
        <v>967</v>
      </c>
      <c r="C389" s="3" t="s">
        <v>26</v>
      </c>
      <c r="D389" s="3" t="s">
        <v>225</v>
      </c>
      <c r="E389" s="3" t="s">
        <v>39</v>
      </c>
      <c r="F389" s="3">
        <v>17</v>
      </c>
      <c r="G389" s="3">
        <v>159233.93</v>
      </c>
      <c r="H389" s="3">
        <v>9366.7000000000007</v>
      </c>
      <c r="I389" s="3" t="s">
        <v>999</v>
      </c>
      <c r="J389" s="3">
        <v>49</v>
      </c>
      <c r="K389" s="3" t="s">
        <v>28</v>
      </c>
      <c r="L389" s="3" t="s">
        <v>47</v>
      </c>
      <c r="M389" s="3" t="s">
        <v>16</v>
      </c>
      <c r="N389" s="3" t="s">
        <v>25</v>
      </c>
    </row>
    <row r="390" spans="1:14" x14ac:dyDescent="0.3">
      <c r="A390" s="2" t="s">
        <v>9221</v>
      </c>
      <c r="B390" s="2" t="s">
        <v>2097</v>
      </c>
      <c r="C390" s="2" t="s">
        <v>26</v>
      </c>
      <c r="D390" s="2" t="s">
        <v>215</v>
      </c>
      <c r="E390" s="2" t="s">
        <v>14</v>
      </c>
      <c r="F390" s="2">
        <v>7</v>
      </c>
      <c r="G390" s="2">
        <v>160655.46</v>
      </c>
      <c r="H390" s="2">
        <v>22950.78</v>
      </c>
      <c r="I390" s="2" t="s">
        <v>3773</v>
      </c>
      <c r="J390" s="2">
        <v>309</v>
      </c>
      <c r="K390" s="2" t="s">
        <v>21</v>
      </c>
      <c r="L390" s="2" t="s">
        <v>40</v>
      </c>
      <c r="M390" s="2" t="s">
        <v>16</v>
      </c>
      <c r="N390" s="2" t="s">
        <v>17</v>
      </c>
    </row>
    <row r="391" spans="1:14" x14ac:dyDescent="0.3">
      <c r="A391" s="3" t="s">
        <v>9222</v>
      </c>
      <c r="B391" s="3" t="s">
        <v>716</v>
      </c>
      <c r="C391" s="3" t="s">
        <v>18</v>
      </c>
      <c r="D391" s="3" t="s">
        <v>738</v>
      </c>
      <c r="E391" s="3" t="s">
        <v>22</v>
      </c>
      <c r="F391" s="3">
        <v>17</v>
      </c>
      <c r="G391" s="3">
        <v>180390.1</v>
      </c>
      <c r="H391" s="3">
        <v>10611.18</v>
      </c>
      <c r="I391" s="3" t="s">
        <v>280</v>
      </c>
      <c r="J391" s="3">
        <v>350</v>
      </c>
      <c r="K391" s="3" t="s">
        <v>28</v>
      </c>
      <c r="L391" s="3" t="s">
        <v>47</v>
      </c>
      <c r="M391" s="3" t="s">
        <v>16</v>
      </c>
      <c r="N391" s="3" t="s">
        <v>17</v>
      </c>
    </row>
    <row r="392" spans="1:14" x14ac:dyDescent="0.3">
      <c r="A392" s="2" t="s">
        <v>9223</v>
      </c>
      <c r="B392" s="2" t="s">
        <v>2590</v>
      </c>
      <c r="C392" s="2" t="s">
        <v>42</v>
      </c>
      <c r="D392" s="2" t="s">
        <v>324</v>
      </c>
      <c r="E392" s="2" t="s">
        <v>39</v>
      </c>
      <c r="F392" s="2">
        <v>9</v>
      </c>
      <c r="G392" s="2">
        <v>131969.01999999999</v>
      </c>
      <c r="H392" s="2">
        <v>14663.22</v>
      </c>
      <c r="I392" s="2" t="s">
        <v>1079</v>
      </c>
      <c r="J392" s="2">
        <v>223</v>
      </c>
      <c r="K392" s="2" t="s">
        <v>21</v>
      </c>
      <c r="L392" s="2" t="s">
        <v>43</v>
      </c>
      <c r="M392" s="2" t="s">
        <v>16</v>
      </c>
      <c r="N392" s="2" t="s">
        <v>17</v>
      </c>
    </row>
    <row r="393" spans="1:14" x14ac:dyDescent="0.3">
      <c r="A393" s="3" t="s">
        <v>9224</v>
      </c>
      <c r="B393" s="3" t="s">
        <v>4617</v>
      </c>
      <c r="C393" s="3" t="s">
        <v>26</v>
      </c>
      <c r="D393" s="3" t="s">
        <v>834</v>
      </c>
      <c r="E393" s="3" t="s">
        <v>29</v>
      </c>
      <c r="F393" s="3">
        <v>16</v>
      </c>
      <c r="G393" s="3">
        <v>133478.16</v>
      </c>
      <c r="H393" s="3">
        <v>8342.39</v>
      </c>
      <c r="I393" s="3" t="s">
        <v>1689</v>
      </c>
      <c r="J393" s="3">
        <v>299</v>
      </c>
      <c r="K393" s="3" t="s">
        <v>28</v>
      </c>
      <c r="L393" s="3" t="s">
        <v>47</v>
      </c>
      <c r="M393" s="3" t="s">
        <v>16</v>
      </c>
      <c r="N393" s="3" t="s">
        <v>17</v>
      </c>
    </row>
    <row r="394" spans="1:14" x14ac:dyDescent="0.3">
      <c r="A394" s="2" t="s">
        <v>9225</v>
      </c>
      <c r="B394" s="2" t="s">
        <v>863</v>
      </c>
      <c r="C394" s="2" t="s">
        <v>18</v>
      </c>
      <c r="D394" s="2" t="s">
        <v>334</v>
      </c>
      <c r="E394" s="2" t="s">
        <v>29</v>
      </c>
      <c r="F394" s="2">
        <v>21</v>
      </c>
      <c r="G394" s="2">
        <v>156805.04999999999</v>
      </c>
      <c r="H394" s="2">
        <v>7466.91</v>
      </c>
      <c r="I394" s="2" t="s">
        <v>1373</v>
      </c>
      <c r="J394" s="2">
        <v>70</v>
      </c>
      <c r="K394" s="2" t="s">
        <v>27</v>
      </c>
      <c r="L394" s="2" t="s">
        <v>15</v>
      </c>
      <c r="M394" s="2" t="s">
        <v>16</v>
      </c>
      <c r="N394" s="2" t="s">
        <v>25</v>
      </c>
    </row>
    <row r="395" spans="1:14" x14ac:dyDescent="0.3">
      <c r="A395" s="3" t="s">
        <v>9226</v>
      </c>
      <c r="B395" s="3" t="s">
        <v>1899</v>
      </c>
      <c r="C395" s="3" t="s">
        <v>18</v>
      </c>
      <c r="D395" s="3" t="s">
        <v>148</v>
      </c>
      <c r="E395" s="3" t="s">
        <v>29</v>
      </c>
      <c r="F395" s="3">
        <v>27</v>
      </c>
      <c r="G395" s="3">
        <v>180685.21</v>
      </c>
      <c r="H395" s="3">
        <v>6692.04</v>
      </c>
      <c r="I395" s="3" t="s">
        <v>424</v>
      </c>
      <c r="J395" s="3">
        <v>263</v>
      </c>
      <c r="K395" s="3" t="s">
        <v>28</v>
      </c>
      <c r="L395" s="3" t="s">
        <v>30</v>
      </c>
      <c r="M395" s="3" t="s">
        <v>16</v>
      </c>
      <c r="N395" s="3" t="s">
        <v>17</v>
      </c>
    </row>
    <row r="396" spans="1:14" x14ac:dyDescent="0.3">
      <c r="A396" s="2" t="s">
        <v>9227</v>
      </c>
      <c r="B396" s="2" t="s">
        <v>1395</v>
      </c>
      <c r="C396" s="2" t="s">
        <v>18</v>
      </c>
      <c r="D396" s="2" t="s">
        <v>427</v>
      </c>
      <c r="E396" s="2" t="s">
        <v>29</v>
      </c>
      <c r="F396" s="2">
        <v>16</v>
      </c>
      <c r="G396" s="2">
        <v>99554.42</v>
      </c>
      <c r="H396" s="2">
        <v>6222.15</v>
      </c>
      <c r="I396" s="2" t="s">
        <v>1211</v>
      </c>
      <c r="J396" s="2">
        <v>128</v>
      </c>
      <c r="K396" s="2" t="s">
        <v>13</v>
      </c>
      <c r="L396" s="2" t="s">
        <v>30</v>
      </c>
      <c r="M396" s="2" t="s">
        <v>24</v>
      </c>
      <c r="N396" s="2" t="s">
        <v>32</v>
      </c>
    </row>
    <row r="397" spans="1:14" x14ac:dyDescent="0.3">
      <c r="A397" s="3" t="s">
        <v>9228</v>
      </c>
      <c r="B397" s="3" t="s">
        <v>1517</v>
      </c>
      <c r="C397" s="3" t="s">
        <v>42</v>
      </c>
      <c r="D397" s="3" t="s">
        <v>160</v>
      </c>
      <c r="E397" s="3" t="s">
        <v>29</v>
      </c>
      <c r="F397" s="3">
        <v>3</v>
      </c>
      <c r="G397" s="3">
        <v>181791.99</v>
      </c>
      <c r="H397" s="3">
        <v>60597.33</v>
      </c>
      <c r="I397" s="3" t="s">
        <v>2354</v>
      </c>
      <c r="J397" s="3">
        <v>328</v>
      </c>
      <c r="K397" s="3" t="s">
        <v>19</v>
      </c>
      <c r="L397" s="3" t="s">
        <v>30</v>
      </c>
      <c r="M397" s="3" t="s">
        <v>16</v>
      </c>
      <c r="N397" s="3" t="s">
        <v>17</v>
      </c>
    </row>
    <row r="398" spans="1:14" x14ac:dyDescent="0.3">
      <c r="A398" s="2" t="s">
        <v>2096</v>
      </c>
      <c r="B398" s="2" t="s">
        <v>816</v>
      </c>
      <c r="C398" s="2" t="s">
        <v>33</v>
      </c>
      <c r="D398" s="2" t="s">
        <v>314</v>
      </c>
      <c r="E398" s="2" t="s">
        <v>39</v>
      </c>
      <c r="F398" s="2">
        <v>22</v>
      </c>
      <c r="G398" s="2">
        <v>63552.82</v>
      </c>
      <c r="H398" s="2">
        <v>2888.76</v>
      </c>
      <c r="I398" s="2" t="s">
        <v>313</v>
      </c>
      <c r="J398" s="2">
        <v>64</v>
      </c>
      <c r="K398" s="2" t="s">
        <v>19</v>
      </c>
      <c r="L398" s="2" t="s">
        <v>30</v>
      </c>
      <c r="M398" s="2" t="s">
        <v>24</v>
      </c>
      <c r="N398" s="2" t="s">
        <v>25</v>
      </c>
    </row>
    <row r="399" spans="1:14" x14ac:dyDescent="0.3">
      <c r="A399" s="3" t="s">
        <v>9229</v>
      </c>
      <c r="B399" s="3" t="s">
        <v>249</v>
      </c>
      <c r="C399" s="3" t="s">
        <v>18</v>
      </c>
      <c r="D399" s="3" t="s">
        <v>225</v>
      </c>
      <c r="E399" s="3" t="s">
        <v>39</v>
      </c>
      <c r="F399" s="3">
        <v>30</v>
      </c>
      <c r="G399" s="3">
        <v>88048.55</v>
      </c>
      <c r="H399" s="3">
        <v>2934.95</v>
      </c>
      <c r="I399" s="3" t="s">
        <v>6525</v>
      </c>
      <c r="J399" s="3">
        <v>218</v>
      </c>
      <c r="K399" s="3" t="s">
        <v>21</v>
      </c>
      <c r="L399" s="3" t="s">
        <v>48</v>
      </c>
      <c r="M399" s="3" t="s">
        <v>24</v>
      </c>
      <c r="N399" s="3" t="s">
        <v>17</v>
      </c>
    </row>
    <row r="400" spans="1:14" x14ac:dyDescent="0.3">
      <c r="A400" s="2" t="s">
        <v>8197</v>
      </c>
      <c r="B400" s="2" t="s">
        <v>1637</v>
      </c>
      <c r="C400" s="2" t="s">
        <v>26</v>
      </c>
      <c r="D400" s="2" t="s">
        <v>183</v>
      </c>
      <c r="E400" s="2" t="s">
        <v>14</v>
      </c>
      <c r="F400" s="2">
        <v>12</v>
      </c>
      <c r="G400" s="2">
        <v>70045.64</v>
      </c>
      <c r="H400" s="2">
        <v>5837.14</v>
      </c>
      <c r="I400" s="2" t="s">
        <v>2666</v>
      </c>
      <c r="J400" s="2">
        <v>195</v>
      </c>
      <c r="K400" s="2" t="s">
        <v>19</v>
      </c>
      <c r="L400" s="2" t="s">
        <v>23</v>
      </c>
      <c r="M400" s="2" t="s">
        <v>24</v>
      </c>
      <c r="N400" s="2" t="s">
        <v>17</v>
      </c>
    </row>
    <row r="401" spans="1:14" x14ac:dyDescent="0.3">
      <c r="A401" s="3" t="s">
        <v>9230</v>
      </c>
      <c r="B401" s="3" t="s">
        <v>1045</v>
      </c>
      <c r="C401" s="3" t="s">
        <v>18</v>
      </c>
      <c r="D401" s="3" t="s">
        <v>193</v>
      </c>
      <c r="E401" s="3" t="s">
        <v>39</v>
      </c>
      <c r="F401" s="3">
        <v>4</v>
      </c>
      <c r="G401" s="3">
        <v>55347.16</v>
      </c>
      <c r="H401" s="3">
        <v>13836.79</v>
      </c>
      <c r="I401" s="3" t="s">
        <v>7784</v>
      </c>
      <c r="J401" s="3">
        <v>21</v>
      </c>
      <c r="K401" s="3" t="s">
        <v>28</v>
      </c>
      <c r="L401" s="3" t="s">
        <v>43</v>
      </c>
      <c r="M401" s="3" t="s">
        <v>24</v>
      </c>
      <c r="N401" s="3" t="s">
        <v>25</v>
      </c>
    </row>
    <row r="402" spans="1:14" x14ac:dyDescent="0.3">
      <c r="A402" s="2" t="s">
        <v>9231</v>
      </c>
      <c r="B402" s="2" t="s">
        <v>1159</v>
      </c>
      <c r="C402" s="2" t="s">
        <v>42</v>
      </c>
      <c r="D402" s="2" t="s">
        <v>95</v>
      </c>
      <c r="E402" s="2" t="s">
        <v>14</v>
      </c>
      <c r="F402" s="2">
        <v>23</v>
      </c>
      <c r="G402" s="2">
        <v>69296.789999999994</v>
      </c>
      <c r="H402" s="2">
        <v>3012.9</v>
      </c>
      <c r="I402" s="2" t="s">
        <v>1212</v>
      </c>
      <c r="J402" s="2">
        <v>126</v>
      </c>
      <c r="K402" s="2" t="s">
        <v>21</v>
      </c>
      <c r="L402" s="2" t="s">
        <v>47</v>
      </c>
      <c r="M402" s="2" t="s">
        <v>24</v>
      </c>
      <c r="N402" s="2" t="s">
        <v>32</v>
      </c>
    </row>
    <row r="403" spans="1:14" x14ac:dyDescent="0.3">
      <c r="A403" s="3" t="s">
        <v>5576</v>
      </c>
      <c r="B403" s="3" t="s">
        <v>1183</v>
      </c>
      <c r="C403" s="3" t="s">
        <v>18</v>
      </c>
      <c r="D403" s="3" t="s">
        <v>148</v>
      </c>
      <c r="E403" s="3" t="s">
        <v>29</v>
      </c>
      <c r="F403" s="3">
        <v>16</v>
      </c>
      <c r="G403" s="3">
        <v>154031.20000000001</v>
      </c>
      <c r="H403" s="3">
        <v>9626.9500000000007</v>
      </c>
      <c r="I403" s="3" t="s">
        <v>133</v>
      </c>
      <c r="J403" s="3">
        <v>111</v>
      </c>
      <c r="K403" s="3" t="s">
        <v>19</v>
      </c>
      <c r="L403" s="3" t="s">
        <v>15</v>
      </c>
      <c r="M403" s="3" t="s">
        <v>16</v>
      </c>
      <c r="N403" s="3" t="s">
        <v>32</v>
      </c>
    </row>
    <row r="404" spans="1:14" x14ac:dyDescent="0.3">
      <c r="A404" s="2" t="s">
        <v>9232</v>
      </c>
      <c r="B404" s="2" t="s">
        <v>918</v>
      </c>
      <c r="C404" s="2" t="s">
        <v>26</v>
      </c>
      <c r="D404" s="2" t="s">
        <v>183</v>
      </c>
      <c r="E404" s="2" t="s">
        <v>14</v>
      </c>
      <c r="F404" s="2">
        <v>22</v>
      </c>
      <c r="G404" s="2">
        <v>58026.38</v>
      </c>
      <c r="H404" s="2">
        <v>2637.56</v>
      </c>
      <c r="I404" s="2" t="s">
        <v>3850</v>
      </c>
      <c r="J404" s="2">
        <v>71</v>
      </c>
      <c r="K404" s="2" t="s">
        <v>27</v>
      </c>
      <c r="L404" s="2" t="s">
        <v>48</v>
      </c>
      <c r="M404" s="2" t="s">
        <v>24</v>
      </c>
      <c r="N404" s="2" t="s">
        <v>25</v>
      </c>
    </row>
    <row r="405" spans="1:14" x14ac:dyDescent="0.3">
      <c r="A405" s="3" t="s">
        <v>9233</v>
      </c>
      <c r="B405" s="3" t="s">
        <v>459</v>
      </c>
      <c r="C405" s="3" t="s">
        <v>18</v>
      </c>
      <c r="D405" s="3" t="s">
        <v>834</v>
      </c>
      <c r="E405" s="3" t="s">
        <v>29</v>
      </c>
      <c r="F405" s="3">
        <v>10</v>
      </c>
      <c r="G405" s="3">
        <v>104269.79</v>
      </c>
      <c r="H405" s="3">
        <v>10426.98</v>
      </c>
      <c r="I405" s="3" t="s">
        <v>3614</v>
      </c>
      <c r="J405" s="3">
        <v>50</v>
      </c>
      <c r="K405" s="3" t="s">
        <v>27</v>
      </c>
      <c r="L405" s="3" t="s">
        <v>30</v>
      </c>
      <c r="M405" s="3" t="s">
        <v>16</v>
      </c>
      <c r="N405" s="3" t="s">
        <v>25</v>
      </c>
    </row>
    <row r="406" spans="1:14" x14ac:dyDescent="0.3">
      <c r="A406" s="2" t="s">
        <v>9234</v>
      </c>
      <c r="B406" s="2" t="s">
        <v>2339</v>
      </c>
      <c r="C406" s="2" t="s">
        <v>26</v>
      </c>
      <c r="D406" s="2" t="s">
        <v>427</v>
      </c>
      <c r="E406" s="2" t="s">
        <v>29</v>
      </c>
      <c r="F406" s="2">
        <v>2</v>
      </c>
      <c r="G406" s="2">
        <v>111366.38</v>
      </c>
      <c r="H406" s="2">
        <v>55683.19</v>
      </c>
      <c r="I406" s="2" t="s">
        <v>2935</v>
      </c>
      <c r="J406" s="2">
        <v>165</v>
      </c>
      <c r="K406" s="2" t="s">
        <v>27</v>
      </c>
      <c r="L406" s="2" t="s">
        <v>15</v>
      </c>
      <c r="M406" s="2" t="s">
        <v>16</v>
      </c>
      <c r="N406" s="2" t="s">
        <v>32</v>
      </c>
    </row>
    <row r="407" spans="1:14" x14ac:dyDescent="0.3">
      <c r="A407" s="3" t="s">
        <v>9235</v>
      </c>
      <c r="B407" s="3" t="s">
        <v>642</v>
      </c>
      <c r="C407" s="3" t="s">
        <v>42</v>
      </c>
      <c r="D407" s="3" t="s">
        <v>712</v>
      </c>
      <c r="E407" s="3" t="s">
        <v>14</v>
      </c>
      <c r="F407" s="3">
        <v>12</v>
      </c>
      <c r="G407" s="3">
        <v>185107.66</v>
      </c>
      <c r="H407" s="3">
        <v>15425.64</v>
      </c>
      <c r="I407" s="3" t="s">
        <v>3670</v>
      </c>
      <c r="J407" s="3">
        <v>181</v>
      </c>
      <c r="K407" s="3" t="s">
        <v>19</v>
      </c>
      <c r="L407" s="3" t="s">
        <v>47</v>
      </c>
      <c r="M407" s="3" t="s">
        <v>16</v>
      </c>
      <c r="N407" s="3" t="s">
        <v>17</v>
      </c>
    </row>
    <row r="408" spans="1:14" x14ac:dyDescent="0.3">
      <c r="A408" s="2" t="s">
        <v>9236</v>
      </c>
      <c r="B408" s="2" t="s">
        <v>412</v>
      </c>
      <c r="C408" s="2" t="s">
        <v>26</v>
      </c>
      <c r="D408" s="2" t="s">
        <v>834</v>
      </c>
      <c r="E408" s="2" t="s">
        <v>29</v>
      </c>
      <c r="F408" s="2">
        <v>5</v>
      </c>
      <c r="G408" s="2">
        <v>135076.32999999999</v>
      </c>
      <c r="H408" s="2">
        <v>27015.27</v>
      </c>
      <c r="I408" s="2" t="s">
        <v>770</v>
      </c>
      <c r="J408" s="2">
        <v>107</v>
      </c>
      <c r="K408" s="2" t="s">
        <v>28</v>
      </c>
      <c r="L408" s="2" t="s">
        <v>15</v>
      </c>
      <c r="M408" s="2" t="s">
        <v>16</v>
      </c>
      <c r="N408" s="2" t="s">
        <v>32</v>
      </c>
    </row>
    <row r="409" spans="1:14" x14ac:dyDescent="0.3">
      <c r="A409" s="3" t="s">
        <v>8307</v>
      </c>
      <c r="B409" s="3" t="s">
        <v>1311</v>
      </c>
      <c r="C409" s="3" t="s">
        <v>26</v>
      </c>
      <c r="D409" s="3" t="s">
        <v>712</v>
      </c>
      <c r="E409" s="3" t="s">
        <v>14</v>
      </c>
      <c r="F409" s="3">
        <v>11</v>
      </c>
      <c r="G409" s="3">
        <v>110849.01</v>
      </c>
      <c r="H409" s="3">
        <v>10077.18</v>
      </c>
      <c r="I409" s="3" t="s">
        <v>3802</v>
      </c>
      <c r="J409" s="3">
        <v>145</v>
      </c>
      <c r="K409" s="3" t="s">
        <v>27</v>
      </c>
      <c r="L409" s="3" t="s">
        <v>43</v>
      </c>
      <c r="M409" s="3" t="s">
        <v>16</v>
      </c>
      <c r="N409" s="3" t="s">
        <v>32</v>
      </c>
    </row>
    <row r="410" spans="1:14" x14ac:dyDescent="0.3">
      <c r="A410" s="2" t="s">
        <v>9237</v>
      </c>
      <c r="B410" s="2" t="s">
        <v>4964</v>
      </c>
      <c r="C410" s="2" t="s">
        <v>33</v>
      </c>
      <c r="D410" s="2" t="s">
        <v>148</v>
      </c>
      <c r="E410" s="2" t="s">
        <v>29</v>
      </c>
      <c r="F410" s="2">
        <v>16</v>
      </c>
      <c r="G410" s="2">
        <v>55054.09</v>
      </c>
      <c r="H410" s="2">
        <v>3440.88</v>
      </c>
      <c r="I410" s="2" t="s">
        <v>2271</v>
      </c>
      <c r="J410" s="2">
        <v>36</v>
      </c>
      <c r="K410" s="2" t="s">
        <v>28</v>
      </c>
      <c r="L410" s="2" t="s">
        <v>30</v>
      </c>
      <c r="M410" s="2" t="s">
        <v>24</v>
      </c>
      <c r="N410" s="2" t="s">
        <v>25</v>
      </c>
    </row>
    <row r="411" spans="1:14" x14ac:dyDescent="0.3">
      <c r="A411" s="3" t="s">
        <v>9238</v>
      </c>
      <c r="B411" s="3" t="s">
        <v>1226</v>
      </c>
      <c r="C411" s="3" t="s">
        <v>18</v>
      </c>
      <c r="D411" s="3" t="s">
        <v>324</v>
      </c>
      <c r="E411" s="3" t="s">
        <v>39</v>
      </c>
      <c r="F411" s="3">
        <v>24</v>
      </c>
      <c r="G411" s="3">
        <v>74297.38</v>
      </c>
      <c r="H411" s="3">
        <v>3095.72</v>
      </c>
      <c r="I411" s="3" t="s">
        <v>1049</v>
      </c>
      <c r="J411" s="3">
        <v>40</v>
      </c>
      <c r="K411" s="3" t="s">
        <v>13</v>
      </c>
      <c r="L411" s="3" t="s">
        <v>15</v>
      </c>
      <c r="M411" s="3" t="s">
        <v>24</v>
      </c>
      <c r="N411" s="3" t="s">
        <v>25</v>
      </c>
    </row>
    <row r="412" spans="1:14" x14ac:dyDescent="0.3">
      <c r="A412" s="2" t="s">
        <v>9239</v>
      </c>
      <c r="B412" s="2" t="s">
        <v>840</v>
      </c>
      <c r="C412" s="2" t="s">
        <v>33</v>
      </c>
      <c r="D412" s="2" t="s">
        <v>215</v>
      </c>
      <c r="E412" s="2" t="s">
        <v>14</v>
      </c>
      <c r="F412" s="2">
        <v>22</v>
      </c>
      <c r="G412" s="2">
        <v>135518.18</v>
      </c>
      <c r="H412" s="2">
        <v>6159.92</v>
      </c>
      <c r="I412" s="2" t="s">
        <v>2747</v>
      </c>
      <c r="J412" s="2">
        <v>42</v>
      </c>
      <c r="K412" s="2" t="s">
        <v>27</v>
      </c>
      <c r="L412" s="2" t="s">
        <v>47</v>
      </c>
      <c r="M412" s="2" t="s">
        <v>16</v>
      </c>
      <c r="N412" s="2" t="s">
        <v>25</v>
      </c>
    </row>
    <row r="413" spans="1:14" x14ac:dyDescent="0.3">
      <c r="A413" s="3" t="s">
        <v>9240</v>
      </c>
      <c r="B413" s="3" t="s">
        <v>2572</v>
      </c>
      <c r="C413" s="3" t="s">
        <v>42</v>
      </c>
      <c r="D413" s="3" t="s">
        <v>160</v>
      </c>
      <c r="E413" s="3" t="s">
        <v>29</v>
      </c>
      <c r="F413" s="3">
        <v>8</v>
      </c>
      <c r="G413" s="3">
        <v>108948.37</v>
      </c>
      <c r="H413" s="3">
        <v>13618.55</v>
      </c>
      <c r="I413" s="3" t="s">
        <v>2226</v>
      </c>
      <c r="J413" s="3">
        <v>300</v>
      </c>
      <c r="K413" s="3" t="s">
        <v>19</v>
      </c>
      <c r="L413" s="3" t="s">
        <v>30</v>
      </c>
      <c r="M413" s="3" t="s">
        <v>16</v>
      </c>
      <c r="N413" s="3" t="s">
        <v>17</v>
      </c>
    </row>
    <row r="414" spans="1:14" x14ac:dyDescent="0.3">
      <c r="A414" s="2" t="s">
        <v>9241</v>
      </c>
      <c r="B414" s="2" t="s">
        <v>143</v>
      </c>
      <c r="C414" s="2" t="s">
        <v>26</v>
      </c>
      <c r="D414" s="2" t="s">
        <v>427</v>
      </c>
      <c r="E414" s="2" t="s">
        <v>29</v>
      </c>
      <c r="F414" s="2">
        <v>4</v>
      </c>
      <c r="G414" s="2">
        <v>167314.68</v>
      </c>
      <c r="H414" s="2">
        <v>41828.67</v>
      </c>
      <c r="I414" s="2" t="s">
        <v>2294</v>
      </c>
      <c r="J414" s="2">
        <v>157</v>
      </c>
      <c r="K414" s="2" t="s">
        <v>19</v>
      </c>
      <c r="L414" s="2" t="s">
        <v>47</v>
      </c>
      <c r="M414" s="2" t="s">
        <v>16</v>
      </c>
      <c r="N414" s="2" t="s">
        <v>32</v>
      </c>
    </row>
    <row r="415" spans="1:14" x14ac:dyDescent="0.3">
      <c r="A415" s="3" t="s">
        <v>9242</v>
      </c>
      <c r="B415" s="3" t="s">
        <v>319</v>
      </c>
      <c r="C415" s="3" t="s">
        <v>42</v>
      </c>
      <c r="D415" s="3" t="s">
        <v>160</v>
      </c>
      <c r="E415" s="3" t="s">
        <v>29</v>
      </c>
      <c r="F415" s="3">
        <v>30</v>
      </c>
      <c r="G415" s="3">
        <v>16911.02</v>
      </c>
      <c r="H415" s="3">
        <v>563.70000000000005</v>
      </c>
      <c r="I415" s="3" t="s">
        <v>1307</v>
      </c>
      <c r="J415" s="3">
        <v>262</v>
      </c>
      <c r="K415" s="3" t="s">
        <v>28</v>
      </c>
      <c r="L415" s="3" t="s">
        <v>43</v>
      </c>
      <c r="M415" s="3" t="s">
        <v>31</v>
      </c>
      <c r="N415" s="3" t="s">
        <v>17</v>
      </c>
    </row>
    <row r="416" spans="1:14" x14ac:dyDescent="0.3">
      <c r="A416" s="2" t="s">
        <v>9243</v>
      </c>
      <c r="B416" s="2" t="s">
        <v>3432</v>
      </c>
      <c r="C416" s="2" t="s">
        <v>26</v>
      </c>
      <c r="D416" s="2" t="s">
        <v>95</v>
      </c>
      <c r="E416" s="2" t="s">
        <v>14</v>
      </c>
      <c r="F416" s="2">
        <v>16</v>
      </c>
      <c r="G416" s="2">
        <v>171226.05</v>
      </c>
      <c r="H416" s="2">
        <v>10701.63</v>
      </c>
      <c r="I416" s="2" t="s">
        <v>2712</v>
      </c>
      <c r="J416" s="2">
        <v>104</v>
      </c>
      <c r="K416" s="2" t="s">
        <v>13</v>
      </c>
      <c r="L416" s="2" t="s">
        <v>48</v>
      </c>
      <c r="M416" s="2" t="s">
        <v>16</v>
      </c>
      <c r="N416" s="2" t="s">
        <v>32</v>
      </c>
    </row>
    <row r="417" spans="1:14" x14ac:dyDescent="0.3">
      <c r="A417" s="3" t="s">
        <v>9244</v>
      </c>
      <c r="B417" s="3" t="s">
        <v>1038</v>
      </c>
      <c r="C417" s="3" t="s">
        <v>26</v>
      </c>
      <c r="D417" s="3" t="s">
        <v>122</v>
      </c>
      <c r="E417" s="3" t="s">
        <v>22</v>
      </c>
      <c r="F417" s="3">
        <v>27</v>
      </c>
      <c r="G417" s="3">
        <v>192270.93</v>
      </c>
      <c r="H417" s="3">
        <v>7121.15</v>
      </c>
      <c r="I417" s="3" t="s">
        <v>1113</v>
      </c>
      <c r="J417" s="3">
        <v>45</v>
      </c>
      <c r="K417" s="3" t="s">
        <v>19</v>
      </c>
      <c r="L417" s="3" t="s">
        <v>15</v>
      </c>
      <c r="M417" s="3" t="s">
        <v>16</v>
      </c>
      <c r="N417" s="3" t="s">
        <v>25</v>
      </c>
    </row>
    <row r="418" spans="1:14" x14ac:dyDescent="0.3">
      <c r="A418" s="2" t="s">
        <v>9245</v>
      </c>
      <c r="B418" s="2" t="s">
        <v>651</v>
      </c>
      <c r="C418" s="2" t="s">
        <v>26</v>
      </c>
      <c r="D418" s="2" t="s">
        <v>712</v>
      </c>
      <c r="E418" s="2" t="s">
        <v>14</v>
      </c>
      <c r="F418" s="2">
        <v>1</v>
      </c>
      <c r="G418" s="2">
        <v>48958.39</v>
      </c>
      <c r="H418" s="2">
        <v>48958.39</v>
      </c>
      <c r="I418" s="2" t="s">
        <v>1047</v>
      </c>
      <c r="J418" s="2">
        <v>44</v>
      </c>
      <c r="K418" s="2" t="s">
        <v>21</v>
      </c>
      <c r="L418" s="2" t="s">
        <v>15</v>
      </c>
      <c r="M418" s="2" t="s">
        <v>31</v>
      </c>
      <c r="N418" s="2" t="s">
        <v>25</v>
      </c>
    </row>
    <row r="419" spans="1:14" x14ac:dyDescent="0.3">
      <c r="A419" s="3" t="s">
        <v>5672</v>
      </c>
      <c r="B419" s="3" t="s">
        <v>1261</v>
      </c>
      <c r="C419" s="3" t="s">
        <v>26</v>
      </c>
      <c r="D419" s="3" t="s">
        <v>225</v>
      </c>
      <c r="E419" s="3" t="s">
        <v>39</v>
      </c>
      <c r="F419" s="3">
        <v>20</v>
      </c>
      <c r="G419" s="3">
        <v>166792.35</v>
      </c>
      <c r="H419" s="3">
        <v>8339.6200000000008</v>
      </c>
      <c r="I419" s="3" t="s">
        <v>3591</v>
      </c>
      <c r="J419" s="3">
        <v>282</v>
      </c>
      <c r="K419" s="3" t="s">
        <v>21</v>
      </c>
      <c r="L419" s="3" t="s">
        <v>47</v>
      </c>
      <c r="M419" s="3" t="s">
        <v>16</v>
      </c>
      <c r="N419" s="3" t="s">
        <v>17</v>
      </c>
    </row>
    <row r="420" spans="1:14" x14ac:dyDescent="0.3">
      <c r="A420" s="2" t="s">
        <v>9246</v>
      </c>
      <c r="B420" s="2" t="s">
        <v>689</v>
      </c>
      <c r="C420" s="2" t="s">
        <v>42</v>
      </c>
      <c r="D420" s="2" t="s">
        <v>215</v>
      </c>
      <c r="E420" s="2" t="s">
        <v>14</v>
      </c>
      <c r="F420" s="2">
        <v>9</v>
      </c>
      <c r="G420" s="2">
        <v>71931.13</v>
      </c>
      <c r="H420" s="2">
        <v>7992.35</v>
      </c>
      <c r="I420" s="2" t="s">
        <v>3015</v>
      </c>
      <c r="J420" s="2">
        <v>37</v>
      </c>
      <c r="K420" s="2" t="s">
        <v>27</v>
      </c>
      <c r="L420" s="2" t="s">
        <v>23</v>
      </c>
      <c r="M420" s="2" t="s">
        <v>24</v>
      </c>
      <c r="N420" s="2" t="s">
        <v>25</v>
      </c>
    </row>
    <row r="421" spans="1:14" x14ac:dyDescent="0.3">
      <c r="A421" s="3" t="s">
        <v>9247</v>
      </c>
      <c r="B421" s="3" t="s">
        <v>1335</v>
      </c>
      <c r="C421" s="3" t="s">
        <v>18</v>
      </c>
      <c r="D421" s="3" t="s">
        <v>334</v>
      </c>
      <c r="E421" s="3" t="s">
        <v>29</v>
      </c>
      <c r="F421" s="3">
        <v>4</v>
      </c>
      <c r="G421" s="3">
        <v>28401.01</v>
      </c>
      <c r="H421" s="3">
        <v>7100.25</v>
      </c>
      <c r="I421" s="3" t="s">
        <v>948</v>
      </c>
      <c r="J421" s="3">
        <v>73</v>
      </c>
      <c r="K421" s="3" t="s">
        <v>28</v>
      </c>
      <c r="L421" s="3" t="s">
        <v>47</v>
      </c>
      <c r="M421" s="3" t="s">
        <v>31</v>
      </c>
      <c r="N421" s="3" t="s">
        <v>25</v>
      </c>
    </row>
    <row r="422" spans="1:14" x14ac:dyDescent="0.3">
      <c r="A422" s="2" t="s">
        <v>9248</v>
      </c>
      <c r="B422" s="2" t="s">
        <v>1683</v>
      </c>
      <c r="C422" s="2" t="s">
        <v>42</v>
      </c>
      <c r="D422" s="2" t="s">
        <v>283</v>
      </c>
      <c r="E422" s="2" t="s">
        <v>22</v>
      </c>
      <c r="F422" s="2">
        <v>3</v>
      </c>
      <c r="G422" s="2">
        <v>3195.95</v>
      </c>
      <c r="H422" s="2">
        <v>1065.32</v>
      </c>
      <c r="I422" s="2" t="s">
        <v>4241</v>
      </c>
      <c r="J422" s="2">
        <v>60</v>
      </c>
      <c r="K422" s="2" t="s">
        <v>21</v>
      </c>
      <c r="L422" s="2" t="s">
        <v>15</v>
      </c>
      <c r="M422" s="2" t="s">
        <v>41</v>
      </c>
      <c r="N422" s="2" t="s">
        <v>25</v>
      </c>
    </row>
    <row r="423" spans="1:14" x14ac:dyDescent="0.3">
      <c r="A423" s="3" t="s">
        <v>2501</v>
      </c>
      <c r="B423" s="3" t="s">
        <v>1217</v>
      </c>
      <c r="C423" s="3" t="s">
        <v>42</v>
      </c>
      <c r="D423" s="3" t="s">
        <v>148</v>
      </c>
      <c r="E423" s="3" t="s">
        <v>29</v>
      </c>
      <c r="F423" s="3">
        <v>1</v>
      </c>
      <c r="G423" s="3">
        <v>116252.13</v>
      </c>
      <c r="H423" s="3">
        <v>116252.13</v>
      </c>
      <c r="I423" s="3" t="s">
        <v>1785</v>
      </c>
      <c r="J423" s="3">
        <v>211</v>
      </c>
      <c r="K423" s="3" t="s">
        <v>27</v>
      </c>
      <c r="L423" s="3" t="s">
        <v>30</v>
      </c>
      <c r="M423" s="3" t="s">
        <v>16</v>
      </c>
      <c r="N423" s="3" t="s">
        <v>17</v>
      </c>
    </row>
    <row r="424" spans="1:14" x14ac:dyDescent="0.3">
      <c r="A424" s="2" t="s">
        <v>9249</v>
      </c>
      <c r="B424" s="2" t="s">
        <v>545</v>
      </c>
      <c r="C424" s="2" t="s">
        <v>18</v>
      </c>
      <c r="D424" s="2" t="s">
        <v>225</v>
      </c>
      <c r="E424" s="2" t="s">
        <v>39</v>
      </c>
      <c r="F424" s="2">
        <v>1</v>
      </c>
      <c r="G424" s="2">
        <v>198901.15</v>
      </c>
      <c r="H424" s="2">
        <v>198901.15</v>
      </c>
      <c r="I424" s="2" t="s">
        <v>3200</v>
      </c>
      <c r="J424" s="2">
        <v>229</v>
      </c>
      <c r="K424" s="2" t="s">
        <v>19</v>
      </c>
      <c r="L424" s="2" t="s">
        <v>43</v>
      </c>
      <c r="M424" s="2" t="s">
        <v>16</v>
      </c>
      <c r="N424" s="2" t="s">
        <v>17</v>
      </c>
    </row>
    <row r="425" spans="1:14" x14ac:dyDescent="0.3">
      <c r="A425" s="3" t="s">
        <v>9250</v>
      </c>
      <c r="B425" s="3" t="s">
        <v>1311</v>
      </c>
      <c r="C425" s="3" t="s">
        <v>42</v>
      </c>
      <c r="D425" s="3" t="s">
        <v>712</v>
      </c>
      <c r="E425" s="3" t="s">
        <v>14</v>
      </c>
      <c r="F425" s="3">
        <v>4</v>
      </c>
      <c r="G425" s="3">
        <v>56409.85</v>
      </c>
      <c r="H425" s="3">
        <v>14102.46</v>
      </c>
      <c r="I425" s="3" t="s">
        <v>1330</v>
      </c>
      <c r="J425" s="3">
        <v>327</v>
      </c>
      <c r="K425" s="3" t="s">
        <v>19</v>
      </c>
      <c r="L425" s="3" t="s">
        <v>40</v>
      </c>
      <c r="M425" s="3" t="s">
        <v>24</v>
      </c>
      <c r="N425" s="3" t="s">
        <v>17</v>
      </c>
    </row>
    <row r="426" spans="1:14" x14ac:dyDescent="0.3">
      <c r="A426" s="2" t="s">
        <v>9251</v>
      </c>
      <c r="B426" s="2" t="s">
        <v>980</v>
      </c>
      <c r="C426" s="2" t="s">
        <v>18</v>
      </c>
      <c r="D426" s="2" t="s">
        <v>225</v>
      </c>
      <c r="E426" s="2" t="s">
        <v>39</v>
      </c>
      <c r="F426" s="2">
        <v>11</v>
      </c>
      <c r="G426" s="2">
        <v>9236.75</v>
      </c>
      <c r="H426" s="2">
        <v>839.7</v>
      </c>
      <c r="I426" s="2" t="s">
        <v>133</v>
      </c>
      <c r="J426" s="2">
        <v>111</v>
      </c>
      <c r="K426" s="2" t="s">
        <v>13</v>
      </c>
      <c r="L426" s="2" t="s">
        <v>47</v>
      </c>
      <c r="M426" s="2" t="s">
        <v>41</v>
      </c>
      <c r="N426" s="2" t="s">
        <v>32</v>
      </c>
    </row>
    <row r="427" spans="1:14" x14ac:dyDescent="0.3">
      <c r="A427" s="3" t="s">
        <v>7041</v>
      </c>
      <c r="B427" s="3" t="s">
        <v>716</v>
      </c>
      <c r="C427" s="3" t="s">
        <v>26</v>
      </c>
      <c r="D427" s="3" t="s">
        <v>254</v>
      </c>
      <c r="E427" s="3" t="s">
        <v>22</v>
      </c>
      <c r="F427" s="3">
        <v>25</v>
      </c>
      <c r="G427" s="3">
        <v>92687.59</v>
      </c>
      <c r="H427" s="3">
        <v>3707.5</v>
      </c>
      <c r="I427" s="3" t="s">
        <v>908</v>
      </c>
      <c r="J427" s="3">
        <v>74</v>
      </c>
      <c r="K427" s="3" t="s">
        <v>28</v>
      </c>
      <c r="L427" s="3" t="s">
        <v>48</v>
      </c>
      <c r="M427" s="3" t="s">
        <v>24</v>
      </c>
      <c r="N427" s="3" t="s">
        <v>25</v>
      </c>
    </row>
    <row r="428" spans="1:14" x14ac:dyDescent="0.3">
      <c r="A428" s="2" t="s">
        <v>9252</v>
      </c>
      <c r="B428" s="2" t="s">
        <v>231</v>
      </c>
      <c r="C428" s="2" t="s">
        <v>26</v>
      </c>
      <c r="D428" s="2" t="s">
        <v>122</v>
      </c>
      <c r="E428" s="2" t="s">
        <v>22</v>
      </c>
      <c r="F428" s="2">
        <v>18</v>
      </c>
      <c r="G428" s="2">
        <v>154720.10999999999</v>
      </c>
      <c r="H428" s="2">
        <v>8595.56</v>
      </c>
      <c r="I428" s="2" t="s">
        <v>3261</v>
      </c>
      <c r="J428" s="2">
        <v>7</v>
      </c>
      <c r="K428" s="2" t="s">
        <v>28</v>
      </c>
      <c r="L428" s="2" t="s">
        <v>40</v>
      </c>
      <c r="M428" s="2" t="s">
        <v>16</v>
      </c>
      <c r="N428" s="2" t="s">
        <v>25</v>
      </c>
    </row>
    <row r="429" spans="1:14" x14ac:dyDescent="0.3">
      <c r="A429" s="3" t="s">
        <v>9253</v>
      </c>
      <c r="B429" s="3" t="s">
        <v>1131</v>
      </c>
      <c r="C429" s="3" t="s">
        <v>42</v>
      </c>
      <c r="D429" s="3" t="s">
        <v>148</v>
      </c>
      <c r="E429" s="3" t="s">
        <v>29</v>
      </c>
      <c r="F429" s="3">
        <v>11</v>
      </c>
      <c r="G429" s="3">
        <v>31236.43</v>
      </c>
      <c r="H429" s="3">
        <v>2839.68</v>
      </c>
      <c r="I429" s="3" t="s">
        <v>2752</v>
      </c>
      <c r="J429" s="3">
        <v>255</v>
      </c>
      <c r="K429" s="3" t="s">
        <v>13</v>
      </c>
      <c r="L429" s="3" t="s">
        <v>48</v>
      </c>
      <c r="M429" s="3" t="s">
        <v>31</v>
      </c>
      <c r="N429" s="3" t="s">
        <v>17</v>
      </c>
    </row>
    <row r="430" spans="1:14" x14ac:dyDescent="0.3">
      <c r="A430" s="2" t="s">
        <v>9254</v>
      </c>
      <c r="B430" s="2" t="s">
        <v>210</v>
      </c>
      <c r="C430" s="2" t="s">
        <v>33</v>
      </c>
      <c r="D430" s="2" t="s">
        <v>738</v>
      </c>
      <c r="E430" s="2" t="s">
        <v>22</v>
      </c>
      <c r="F430" s="2">
        <v>25</v>
      </c>
      <c r="G430" s="2">
        <v>71925.350000000006</v>
      </c>
      <c r="H430" s="2">
        <v>2877.01</v>
      </c>
      <c r="I430" s="2" t="s">
        <v>1615</v>
      </c>
      <c r="J430" s="2">
        <v>233</v>
      </c>
      <c r="K430" s="2" t="s">
        <v>13</v>
      </c>
      <c r="L430" s="2" t="s">
        <v>23</v>
      </c>
      <c r="M430" s="2" t="s">
        <v>24</v>
      </c>
      <c r="N430" s="2" t="s">
        <v>17</v>
      </c>
    </row>
    <row r="431" spans="1:14" x14ac:dyDescent="0.3">
      <c r="A431" s="3" t="s">
        <v>9255</v>
      </c>
      <c r="B431" s="3" t="s">
        <v>521</v>
      </c>
      <c r="C431" s="3" t="s">
        <v>18</v>
      </c>
      <c r="D431" s="3" t="s">
        <v>148</v>
      </c>
      <c r="E431" s="3" t="s">
        <v>29</v>
      </c>
      <c r="F431" s="3">
        <v>8</v>
      </c>
      <c r="G431" s="3">
        <v>174050.34</v>
      </c>
      <c r="H431" s="3">
        <v>21756.29</v>
      </c>
      <c r="I431" s="3" t="s">
        <v>5668</v>
      </c>
      <c r="J431" s="3">
        <v>244</v>
      </c>
      <c r="K431" s="3" t="s">
        <v>21</v>
      </c>
      <c r="L431" s="3" t="s">
        <v>47</v>
      </c>
      <c r="M431" s="3" t="s">
        <v>16</v>
      </c>
      <c r="N431" s="3" t="s">
        <v>17</v>
      </c>
    </row>
    <row r="432" spans="1:14" x14ac:dyDescent="0.3">
      <c r="A432" s="2" t="s">
        <v>1456</v>
      </c>
      <c r="B432" s="2" t="s">
        <v>231</v>
      </c>
      <c r="C432" s="2" t="s">
        <v>18</v>
      </c>
      <c r="D432" s="2" t="s">
        <v>160</v>
      </c>
      <c r="E432" s="2" t="s">
        <v>29</v>
      </c>
      <c r="F432" s="2">
        <v>23</v>
      </c>
      <c r="G432" s="2">
        <v>63807.14</v>
      </c>
      <c r="H432" s="2">
        <v>2774.22</v>
      </c>
      <c r="I432" s="2" t="s">
        <v>1321</v>
      </c>
      <c r="J432" s="2">
        <v>19</v>
      </c>
      <c r="K432" s="2" t="s">
        <v>21</v>
      </c>
      <c r="L432" s="2" t="s">
        <v>47</v>
      </c>
      <c r="M432" s="2" t="s">
        <v>24</v>
      </c>
      <c r="N432" s="2" t="s">
        <v>25</v>
      </c>
    </row>
    <row r="433" spans="1:14" x14ac:dyDescent="0.3">
      <c r="A433" s="3" t="s">
        <v>9256</v>
      </c>
      <c r="B433" s="3" t="s">
        <v>716</v>
      </c>
      <c r="C433" s="3" t="s">
        <v>33</v>
      </c>
      <c r="D433" s="3" t="s">
        <v>834</v>
      </c>
      <c r="E433" s="3" t="s">
        <v>29</v>
      </c>
      <c r="F433" s="3">
        <v>26</v>
      </c>
      <c r="G433" s="3">
        <v>69581.72</v>
      </c>
      <c r="H433" s="3">
        <v>2676.22</v>
      </c>
      <c r="I433" s="3" t="s">
        <v>2518</v>
      </c>
      <c r="J433" s="3">
        <v>57</v>
      </c>
      <c r="K433" s="3" t="s">
        <v>13</v>
      </c>
      <c r="L433" s="3" t="s">
        <v>47</v>
      </c>
      <c r="M433" s="3" t="s">
        <v>24</v>
      </c>
      <c r="N433" s="3" t="s">
        <v>25</v>
      </c>
    </row>
    <row r="434" spans="1:14" x14ac:dyDescent="0.3">
      <c r="A434" s="2" t="s">
        <v>9257</v>
      </c>
      <c r="B434" s="2" t="s">
        <v>3250</v>
      </c>
      <c r="C434" s="2" t="s">
        <v>26</v>
      </c>
      <c r="D434" s="2" t="s">
        <v>254</v>
      </c>
      <c r="E434" s="2" t="s">
        <v>22</v>
      </c>
      <c r="F434" s="2">
        <v>28</v>
      </c>
      <c r="G434" s="2">
        <v>129925.69</v>
      </c>
      <c r="H434" s="2">
        <v>4640.2</v>
      </c>
      <c r="I434" s="2" t="s">
        <v>5192</v>
      </c>
      <c r="J434" s="2">
        <v>5</v>
      </c>
      <c r="K434" s="2" t="s">
        <v>13</v>
      </c>
      <c r="L434" s="2" t="s">
        <v>15</v>
      </c>
      <c r="M434" s="2" t="s">
        <v>16</v>
      </c>
      <c r="N434" s="2" t="s">
        <v>25</v>
      </c>
    </row>
    <row r="435" spans="1:14" x14ac:dyDescent="0.3">
      <c r="A435" s="3" t="s">
        <v>9258</v>
      </c>
      <c r="B435" s="3" t="s">
        <v>1166</v>
      </c>
      <c r="C435" s="3" t="s">
        <v>33</v>
      </c>
      <c r="D435" s="3" t="s">
        <v>171</v>
      </c>
      <c r="E435" s="3" t="s">
        <v>14</v>
      </c>
      <c r="F435" s="3">
        <v>2</v>
      </c>
      <c r="G435" s="3">
        <v>91033.87</v>
      </c>
      <c r="H435" s="3">
        <v>45516.93</v>
      </c>
      <c r="I435" s="3" t="s">
        <v>4543</v>
      </c>
      <c r="J435" s="3">
        <v>198</v>
      </c>
      <c r="K435" s="3" t="s">
        <v>27</v>
      </c>
      <c r="L435" s="3" t="s">
        <v>40</v>
      </c>
      <c r="M435" s="3" t="s">
        <v>24</v>
      </c>
      <c r="N435" s="3" t="s">
        <v>17</v>
      </c>
    </row>
    <row r="436" spans="1:14" x14ac:dyDescent="0.3">
      <c r="A436" s="2" t="s">
        <v>9259</v>
      </c>
      <c r="B436" s="2" t="s">
        <v>840</v>
      </c>
      <c r="C436" s="2" t="s">
        <v>26</v>
      </c>
      <c r="D436" s="2" t="s">
        <v>160</v>
      </c>
      <c r="E436" s="2" t="s">
        <v>29</v>
      </c>
      <c r="F436" s="2">
        <v>22</v>
      </c>
      <c r="G436" s="2">
        <v>112047.84</v>
      </c>
      <c r="H436" s="2">
        <v>5093.08</v>
      </c>
      <c r="I436" s="2" t="s">
        <v>1995</v>
      </c>
      <c r="J436" s="2">
        <v>272</v>
      </c>
      <c r="K436" s="2" t="s">
        <v>21</v>
      </c>
      <c r="L436" s="2" t="s">
        <v>30</v>
      </c>
      <c r="M436" s="2" t="s">
        <v>16</v>
      </c>
      <c r="N436" s="2" t="s">
        <v>17</v>
      </c>
    </row>
    <row r="437" spans="1:14" x14ac:dyDescent="0.3">
      <c r="A437" s="3" t="s">
        <v>2743</v>
      </c>
      <c r="B437" s="3" t="s">
        <v>934</v>
      </c>
      <c r="C437" s="3" t="s">
        <v>26</v>
      </c>
      <c r="D437" s="3" t="s">
        <v>324</v>
      </c>
      <c r="E437" s="3" t="s">
        <v>39</v>
      </c>
      <c r="F437" s="3">
        <v>6</v>
      </c>
      <c r="G437" s="3">
        <v>103814.76</v>
      </c>
      <c r="H437" s="3">
        <v>17302.46</v>
      </c>
      <c r="I437" s="3" t="s">
        <v>1749</v>
      </c>
      <c r="J437" s="3">
        <v>28</v>
      </c>
      <c r="K437" s="3" t="s">
        <v>13</v>
      </c>
      <c r="L437" s="3" t="s">
        <v>23</v>
      </c>
      <c r="M437" s="3" t="s">
        <v>16</v>
      </c>
      <c r="N437" s="3" t="s">
        <v>25</v>
      </c>
    </row>
    <row r="438" spans="1:14" x14ac:dyDescent="0.3">
      <c r="A438" s="2" t="s">
        <v>9260</v>
      </c>
      <c r="B438" s="2" t="s">
        <v>2067</v>
      </c>
      <c r="C438" s="2" t="s">
        <v>33</v>
      </c>
      <c r="D438" s="2" t="s">
        <v>443</v>
      </c>
      <c r="E438" s="2" t="s">
        <v>22</v>
      </c>
      <c r="F438" s="2">
        <v>29</v>
      </c>
      <c r="G438" s="2">
        <v>20303.18</v>
      </c>
      <c r="H438" s="2">
        <v>700.11</v>
      </c>
      <c r="I438" s="2" t="s">
        <v>3119</v>
      </c>
      <c r="J438" s="2">
        <v>344</v>
      </c>
      <c r="K438" s="2" t="s">
        <v>27</v>
      </c>
      <c r="L438" s="2" t="s">
        <v>48</v>
      </c>
      <c r="M438" s="2" t="s">
        <v>31</v>
      </c>
      <c r="N438" s="2" t="s">
        <v>17</v>
      </c>
    </row>
    <row r="439" spans="1:14" x14ac:dyDescent="0.3">
      <c r="A439" s="3" t="s">
        <v>9261</v>
      </c>
      <c r="B439" s="3" t="s">
        <v>1451</v>
      </c>
      <c r="C439" s="3" t="s">
        <v>26</v>
      </c>
      <c r="D439" s="3" t="s">
        <v>215</v>
      </c>
      <c r="E439" s="3" t="s">
        <v>14</v>
      </c>
      <c r="F439" s="3">
        <v>30</v>
      </c>
      <c r="G439" s="3">
        <v>35987.97</v>
      </c>
      <c r="H439" s="3">
        <v>1199.5999999999999</v>
      </c>
      <c r="I439" s="3" t="s">
        <v>859</v>
      </c>
      <c r="J439" s="3">
        <v>206</v>
      </c>
      <c r="K439" s="3" t="s">
        <v>28</v>
      </c>
      <c r="L439" s="3" t="s">
        <v>43</v>
      </c>
      <c r="M439" s="3" t="s">
        <v>31</v>
      </c>
      <c r="N439" s="3" t="s">
        <v>17</v>
      </c>
    </row>
    <row r="440" spans="1:14" x14ac:dyDescent="0.3">
      <c r="A440" s="2" t="s">
        <v>9262</v>
      </c>
      <c r="B440" s="2" t="s">
        <v>260</v>
      </c>
      <c r="C440" s="2" t="s">
        <v>18</v>
      </c>
      <c r="D440" s="2" t="s">
        <v>215</v>
      </c>
      <c r="E440" s="2" t="s">
        <v>14</v>
      </c>
      <c r="F440" s="2">
        <v>18</v>
      </c>
      <c r="G440" s="2">
        <v>177597.73</v>
      </c>
      <c r="H440" s="2">
        <v>9866.5400000000009</v>
      </c>
      <c r="I440" s="2" t="s">
        <v>5136</v>
      </c>
      <c r="J440" s="2">
        <v>11</v>
      </c>
      <c r="K440" s="2" t="s">
        <v>28</v>
      </c>
      <c r="L440" s="2" t="s">
        <v>15</v>
      </c>
      <c r="M440" s="2" t="s">
        <v>16</v>
      </c>
      <c r="N440" s="2" t="s">
        <v>25</v>
      </c>
    </row>
    <row r="441" spans="1:14" x14ac:dyDescent="0.3">
      <c r="A441" s="3" t="s">
        <v>9263</v>
      </c>
      <c r="B441" s="3" t="s">
        <v>1233</v>
      </c>
      <c r="C441" s="3" t="s">
        <v>18</v>
      </c>
      <c r="D441" s="3" t="s">
        <v>314</v>
      </c>
      <c r="E441" s="3" t="s">
        <v>39</v>
      </c>
      <c r="F441" s="3">
        <v>15</v>
      </c>
      <c r="G441" s="3">
        <v>179123.9</v>
      </c>
      <c r="H441" s="3">
        <v>11941.59</v>
      </c>
      <c r="I441" s="3" t="s">
        <v>414</v>
      </c>
      <c r="J441" s="3">
        <v>290</v>
      </c>
      <c r="K441" s="3" t="s">
        <v>28</v>
      </c>
      <c r="L441" s="3" t="s">
        <v>30</v>
      </c>
      <c r="M441" s="3" t="s">
        <v>16</v>
      </c>
      <c r="N441" s="3" t="s">
        <v>17</v>
      </c>
    </row>
    <row r="442" spans="1:14" x14ac:dyDescent="0.3">
      <c r="A442" s="2" t="s">
        <v>9264</v>
      </c>
      <c r="B442" s="2" t="s">
        <v>995</v>
      </c>
      <c r="C442" s="2" t="s">
        <v>18</v>
      </c>
      <c r="D442" s="2" t="s">
        <v>738</v>
      </c>
      <c r="E442" s="2" t="s">
        <v>22</v>
      </c>
      <c r="F442" s="2">
        <v>14</v>
      </c>
      <c r="G442" s="2">
        <v>50224.06</v>
      </c>
      <c r="H442" s="2">
        <v>3587.43</v>
      </c>
      <c r="I442" s="2" t="s">
        <v>380</v>
      </c>
      <c r="J442" s="2">
        <v>189</v>
      </c>
      <c r="K442" s="2" t="s">
        <v>28</v>
      </c>
      <c r="L442" s="2" t="s">
        <v>40</v>
      </c>
      <c r="M442" s="2" t="s">
        <v>24</v>
      </c>
      <c r="N442" s="2" t="s">
        <v>17</v>
      </c>
    </row>
    <row r="443" spans="1:14" x14ac:dyDescent="0.3">
      <c r="A443" s="3" t="s">
        <v>9265</v>
      </c>
      <c r="B443" s="3" t="s">
        <v>1286</v>
      </c>
      <c r="C443" s="3" t="s">
        <v>26</v>
      </c>
      <c r="D443" s="3" t="s">
        <v>712</v>
      </c>
      <c r="E443" s="3" t="s">
        <v>14</v>
      </c>
      <c r="F443" s="3">
        <v>19</v>
      </c>
      <c r="G443" s="3">
        <v>15723.2</v>
      </c>
      <c r="H443" s="3">
        <v>827.54</v>
      </c>
      <c r="I443" s="3" t="s">
        <v>425</v>
      </c>
      <c r="J443" s="3">
        <v>261</v>
      </c>
      <c r="K443" s="3" t="s">
        <v>28</v>
      </c>
      <c r="L443" s="3" t="s">
        <v>23</v>
      </c>
      <c r="M443" s="3" t="s">
        <v>31</v>
      </c>
      <c r="N443" s="3" t="s">
        <v>17</v>
      </c>
    </row>
    <row r="444" spans="1:14" x14ac:dyDescent="0.3">
      <c r="A444" s="2" t="s">
        <v>9266</v>
      </c>
      <c r="B444" s="2" t="s">
        <v>178</v>
      </c>
      <c r="C444" s="2" t="s">
        <v>18</v>
      </c>
      <c r="D444" s="2" t="s">
        <v>283</v>
      </c>
      <c r="E444" s="2" t="s">
        <v>22</v>
      </c>
      <c r="F444" s="2">
        <v>17</v>
      </c>
      <c r="G444" s="2">
        <v>77866.7</v>
      </c>
      <c r="H444" s="2">
        <v>4580.3900000000003</v>
      </c>
      <c r="I444" s="2" t="s">
        <v>3200</v>
      </c>
      <c r="J444" s="2">
        <v>229</v>
      </c>
      <c r="K444" s="2" t="s">
        <v>21</v>
      </c>
      <c r="L444" s="2" t="s">
        <v>48</v>
      </c>
      <c r="M444" s="2" t="s">
        <v>24</v>
      </c>
      <c r="N444" s="2" t="s">
        <v>17</v>
      </c>
    </row>
    <row r="445" spans="1:14" x14ac:dyDescent="0.3">
      <c r="A445" s="3" t="s">
        <v>3230</v>
      </c>
      <c r="B445" s="3" t="s">
        <v>1885</v>
      </c>
      <c r="C445" s="3" t="s">
        <v>18</v>
      </c>
      <c r="D445" s="3" t="s">
        <v>443</v>
      </c>
      <c r="E445" s="3" t="s">
        <v>22</v>
      </c>
      <c r="F445" s="3">
        <v>24</v>
      </c>
      <c r="G445" s="3">
        <v>105783.29</v>
      </c>
      <c r="H445" s="3">
        <v>4407.6400000000003</v>
      </c>
      <c r="I445" s="3" t="s">
        <v>2935</v>
      </c>
      <c r="J445" s="3">
        <v>165</v>
      </c>
      <c r="K445" s="3" t="s">
        <v>19</v>
      </c>
      <c r="L445" s="3" t="s">
        <v>40</v>
      </c>
      <c r="M445" s="3" t="s">
        <v>16</v>
      </c>
      <c r="N445" s="3" t="s">
        <v>32</v>
      </c>
    </row>
    <row r="446" spans="1:14" x14ac:dyDescent="0.3">
      <c r="A446" s="2" t="s">
        <v>7836</v>
      </c>
      <c r="B446" s="2" t="s">
        <v>870</v>
      </c>
      <c r="C446" s="2" t="s">
        <v>42</v>
      </c>
      <c r="D446" s="2" t="s">
        <v>314</v>
      </c>
      <c r="E446" s="2" t="s">
        <v>39</v>
      </c>
      <c r="F446" s="2">
        <v>13</v>
      </c>
      <c r="G446" s="2">
        <v>130444.71</v>
      </c>
      <c r="H446" s="2">
        <v>10034.209999999999</v>
      </c>
      <c r="I446" s="2" t="s">
        <v>1486</v>
      </c>
      <c r="J446" s="2">
        <v>32</v>
      </c>
      <c r="K446" s="2" t="s">
        <v>13</v>
      </c>
      <c r="L446" s="2" t="s">
        <v>48</v>
      </c>
      <c r="M446" s="2" t="s">
        <v>16</v>
      </c>
      <c r="N446" s="2" t="s">
        <v>25</v>
      </c>
    </row>
    <row r="447" spans="1:14" x14ac:dyDescent="0.3">
      <c r="A447" s="3" t="s">
        <v>9267</v>
      </c>
      <c r="B447" s="3" t="s">
        <v>4332</v>
      </c>
      <c r="C447" s="3" t="s">
        <v>33</v>
      </c>
      <c r="D447" s="3" t="s">
        <v>95</v>
      </c>
      <c r="E447" s="3" t="s">
        <v>14</v>
      </c>
      <c r="F447" s="3">
        <v>7</v>
      </c>
      <c r="G447" s="3">
        <v>105382.72</v>
      </c>
      <c r="H447" s="3">
        <v>15054.67</v>
      </c>
      <c r="I447" s="3" t="s">
        <v>1049</v>
      </c>
      <c r="J447" s="3">
        <v>40</v>
      </c>
      <c r="K447" s="3" t="s">
        <v>28</v>
      </c>
      <c r="L447" s="3" t="s">
        <v>48</v>
      </c>
      <c r="M447" s="3" t="s">
        <v>16</v>
      </c>
      <c r="N447" s="3" t="s">
        <v>25</v>
      </c>
    </row>
    <row r="448" spans="1:14" x14ac:dyDescent="0.3">
      <c r="A448" s="2" t="s">
        <v>2881</v>
      </c>
      <c r="B448" s="2" t="s">
        <v>1183</v>
      </c>
      <c r="C448" s="2" t="s">
        <v>26</v>
      </c>
      <c r="D448" s="2" t="s">
        <v>314</v>
      </c>
      <c r="E448" s="2" t="s">
        <v>39</v>
      </c>
      <c r="F448" s="2">
        <v>29</v>
      </c>
      <c r="G448" s="2">
        <v>82957.06</v>
      </c>
      <c r="H448" s="2">
        <v>2860.59</v>
      </c>
      <c r="I448" s="2" t="s">
        <v>6543</v>
      </c>
      <c r="J448" s="2">
        <v>2</v>
      </c>
      <c r="K448" s="2" t="s">
        <v>13</v>
      </c>
      <c r="L448" s="2" t="s">
        <v>15</v>
      </c>
      <c r="M448" s="2" t="s">
        <v>24</v>
      </c>
      <c r="N448" s="2" t="s">
        <v>25</v>
      </c>
    </row>
    <row r="449" spans="1:14" x14ac:dyDescent="0.3">
      <c r="A449" s="3" t="s">
        <v>9268</v>
      </c>
      <c r="B449" s="3" t="s">
        <v>502</v>
      </c>
      <c r="C449" s="3" t="s">
        <v>42</v>
      </c>
      <c r="D449" s="3" t="s">
        <v>109</v>
      </c>
      <c r="E449" s="3" t="s">
        <v>39</v>
      </c>
      <c r="F449" s="3">
        <v>25</v>
      </c>
      <c r="G449" s="3">
        <v>186375.26</v>
      </c>
      <c r="H449" s="3">
        <v>7455.01</v>
      </c>
      <c r="I449" s="3" t="s">
        <v>414</v>
      </c>
      <c r="J449" s="3">
        <v>290</v>
      </c>
      <c r="K449" s="3" t="s">
        <v>27</v>
      </c>
      <c r="L449" s="3" t="s">
        <v>15</v>
      </c>
      <c r="M449" s="3" t="s">
        <v>16</v>
      </c>
      <c r="N449" s="3" t="s">
        <v>17</v>
      </c>
    </row>
    <row r="450" spans="1:14" x14ac:dyDescent="0.3">
      <c r="A450" s="2" t="s">
        <v>9269</v>
      </c>
      <c r="B450" s="2" t="s">
        <v>143</v>
      </c>
      <c r="C450" s="2" t="s">
        <v>33</v>
      </c>
      <c r="D450" s="2" t="s">
        <v>183</v>
      </c>
      <c r="E450" s="2" t="s">
        <v>14</v>
      </c>
      <c r="F450" s="2">
        <v>2</v>
      </c>
      <c r="G450" s="2">
        <v>189110.62</v>
      </c>
      <c r="H450" s="2">
        <v>94555.31</v>
      </c>
      <c r="I450" s="2" t="s">
        <v>5308</v>
      </c>
      <c r="J450" s="2">
        <v>236</v>
      </c>
      <c r="K450" s="2" t="s">
        <v>19</v>
      </c>
      <c r="L450" s="2" t="s">
        <v>43</v>
      </c>
      <c r="M450" s="2" t="s">
        <v>16</v>
      </c>
      <c r="N450" s="2" t="s">
        <v>17</v>
      </c>
    </row>
    <row r="451" spans="1:14" x14ac:dyDescent="0.3">
      <c r="A451" s="3" t="s">
        <v>9270</v>
      </c>
      <c r="B451" s="3" t="s">
        <v>1866</v>
      </c>
      <c r="C451" s="3" t="s">
        <v>42</v>
      </c>
      <c r="D451" s="3" t="s">
        <v>834</v>
      </c>
      <c r="E451" s="3" t="s">
        <v>29</v>
      </c>
      <c r="F451" s="3">
        <v>21</v>
      </c>
      <c r="G451" s="3">
        <v>183436.23</v>
      </c>
      <c r="H451" s="3">
        <v>8735.06</v>
      </c>
      <c r="I451" s="3" t="s">
        <v>948</v>
      </c>
      <c r="J451" s="3">
        <v>73</v>
      </c>
      <c r="K451" s="3" t="s">
        <v>27</v>
      </c>
      <c r="L451" s="3" t="s">
        <v>15</v>
      </c>
      <c r="M451" s="3" t="s">
        <v>16</v>
      </c>
      <c r="N451" s="3" t="s">
        <v>25</v>
      </c>
    </row>
    <row r="452" spans="1:14" x14ac:dyDescent="0.3">
      <c r="A452" s="2" t="s">
        <v>9271</v>
      </c>
      <c r="B452" s="2" t="s">
        <v>1737</v>
      </c>
      <c r="C452" s="2" t="s">
        <v>26</v>
      </c>
      <c r="D452" s="2" t="s">
        <v>427</v>
      </c>
      <c r="E452" s="2" t="s">
        <v>29</v>
      </c>
      <c r="F452" s="2">
        <v>1</v>
      </c>
      <c r="G452" s="2">
        <v>72605.02</v>
      </c>
      <c r="H452" s="2">
        <v>72605.02</v>
      </c>
      <c r="I452" s="2" t="s">
        <v>3646</v>
      </c>
      <c r="J452" s="2">
        <v>108</v>
      </c>
      <c r="K452" s="2" t="s">
        <v>27</v>
      </c>
      <c r="L452" s="2" t="s">
        <v>47</v>
      </c>
      <c r="M452" s="2" t="s">
        <v>24</v>
      </c>
      <c r="N452" s="2" t="s">
        <v>32</v>
      </c>
    </row>
    <row r="453" spans="1:14" x14ac:dyDescent="0.3">
      <c r="A453" s="3" t="s">
        <v>9272</v>
      </c>
      <c r="B453" s="3" t="s">
        <v>1054</v>
      </c>
      <c r="C453" s="3" t="s">
        <v>42</v>
      </c>
      <c r="D453" s="3" t="s">
        <v>443</v>
      </c>
      <c r="E453" s="3" t="s">
        <v>22</v>
      </c>
      <c r="F453" s="3">
        <v>1</v>
      </c>
      <c r="G453" s="3">
        <v>128875.59</v>
      </c>
      <c r="H453" s="3">
        <v>128875.59</v>
      </c>
      <c r="I453" s="3" t="s">
        <v>2172</v>
      </c>
      <c r="J453" s="3">
        <v>26</v>
      </c>
      <c r="K453" s="3" t="s">
        <v>19</v>
      </c>
      <c r="L453" s="3" t="s">
        <v>23</v>
      </c>
      <c r="M453" s="3" t="s">
        <v>16</v>
      </c>
      <c r="N453" s="3" t="s">
        <v>25</v>
      </c>
    </row>
    <row r="454" spans="1:14" x14ac:dyDescent="0.3">
      <c r="A454" s="2" t="s">
        <v>9273</v>
      </c>
      <c r="B454" s="2" t="s">
        <v>2772</v>
      </c>
      <c r="C454" s="2" t="s">
        <v>18</v>
      </c>
      <c r="D454" s="2" t="s">
        <v>324</v>
      </c>
      <c r="E454" s="2" t="s">
        <v>39</v>
      </c>
      <c r="F454" s="2">
        <v>19</v>
      </c>
      <c r="G454" s="2">
        <v>161702.39000000001</v>
      </c>
      <c r="H454" s="2">
        <v>8510.65</v>
      </c>
      <c r="I454" s="2" t="s">
        <v>6543</v>
      </c>
      <c r="J454" s="2">
        <v>2</v>
      </c>
      <c r="K454" s="2" t="s">
        <v>19</v>
      </c>
      <c r="L454" s="2" t="s">
        <v>43</v>
      </c>
      <c r="M454" s="2" t="s">
        <v>16</v>
      </c>
      <c r="N454" s="2" t="s">
        <v>25</v>
      </c>
    </row>
    <row r="455" spans="1:14" x14ac:dyDescent="0.3">
      <c r="A455" s="3" t="s">
        <v>6752</v>
      </c>
      <c r="B455" s="3" t="s">
        <v>1311</v>
      </c>
      <c r="C455" s="3" t="s">
        <v>26</v>
      </c>
      <c r="D455" s="3" t="s">
        <v>193</v>
      </c>
      <c r="E455" s="3" t="s">
        <v>39</v>
      </c>
      <c r="F455" s="3">
        <v>2</v>
      </c>
      <c r="G455" s="3">
        <v>108139.84</v>
      </c>
      <c r="H455" s="3">
        <v>54069.919999999998</v>
      </c>
      <c r="I455" s="3" t="s">
        <v>709</v>
      </c>
      <c r="J455" s="3">
        <v>219</v>
      </c>
      <c r="K455" s="3" t="s">
        <v>13</v>
      </c>
      <c r="L455" s="3" t="s">
        <v>30</v>
      </c>
      <c r="M455" s="3" t="s">
        <v>16</v>
      </c>
      <c r="N455" s="3" t="s">
        <v>17</v>
      </c>
    </row>
    <row r="456" spans="1:14" x14ac:dyDescent="0.3">
      <c r="A456" s="2" t="s">
        <v>8458</v>
      </c>
      <c r="B456" s="2" t="s">
        <v>1492</v>
      </c>
      <c r="C456" s="2" t="s">
        <v>33</v>
      </c>
      <c r="D456" s="2" t="s">
        <v>314</v>
      </c>
      <c r="E456" s="2" t="s">
        <v>39</v>
      </c>
      <c r="F456" s="2">
        <v>30</v>
      </c>
      <c r="G456" s="2">
        <v>193742.32</v>
      </c>
      <c r="H456" s="2">
        <v>6458.08</v>
      </c>
      <c r="I456" s="2" t="s">
        <v>2063</v>
      </c>
      <c r="J456" s="2">
        <v>46</v>
      </c>
      <c r="K456" s="2" t="s">
        <v>21</v>
      </c>
      <c r="L456" s="2" t="s">
        <v>40</v>
      </c>
      <c r="M456" s="2" t="s">
        <v>16</v>
      </c>
      <c r="N456" s="2" t="s">
        <v>25</v>
      </c>
    </row>
    <row r="457" spans="1:14" x14ac:dyDescent="0.3">
      <c r="A457" s="3" t="s">
        <v>9274</v>
      </c>
      <c r="B457" s="3" t="s">
        <v>816</v>
      </c>
      <c r="C457" s="3" t="s">
        <v>33</v>
      </c>
      <c r="D457" s="3" t="s">
        <v>443</v>
      </c>
      <c r="E457" s="3" t="s">
        <v>22</v>
      </c>
      <c r="F457" s="3">
        <v>25</v>
      </c>
      <c r="G457" s="3">
        <v>131537.16</v>
      </c>
      <c r="H457" s="3">
        <v>5261.49</v>
      </c>
      <c r="I457" s="3" t="s">
        <v>720</v>
      </c>
      <c r="J457" s="3">
        <v>130</v>
      </c>
      <c r="K457" s="3" t="s">
        <v>27</v>
      </c>
      <c r="L457" s="3" t="s">
        <v>43</v>
      </c>
      <c r="M457" s="3" t="s">
        <v>16</v>
      </c>
      <c r="N457" s="3" t="s">
        <v>32</v>
      </c>
    </row>
    <row r="458" spans="1:14" x14ac:dyDescent="0.3">
      <c r="A458" s="2" t="s">
        <v>9275</v>
      </c>
      <c r="B458" s="2" t="s">
        <v>3250</v>
      </c>
      <c r="C458" s="2" t="s">
        <v>26</v>
      </c>
      <c r="D458" s="2" t="s">
        <v>443</v>
      </c>
      <c r="E458" s="2" t="s">
        <v>22</v>
      </c>
      <c r="F458" s="2">
        <v>27</v>
      </c>
      <c r="G458" s="2">
        <v>33592.42</v>
      </c>
      <c r="H458" s="2">
        <v>1244.1600000000001</v>
      </c>
      <c r="I458" s="2" t="s">
        <v>1402</v>
      </c>
      <c r="J458" s="2">
        <v>139</v>
      </c>
      <c r="K458" s="2" t="s">
        <v>13</v>
      </c>
      <c r="L458" s="2" t="s">
        <v>47</v>
      </c>
      <c r="M458" s="2" t="s">
        <v>31</v>
      </c>
      <c r="N458" s="2" t="s">
        <v>32</v>
      </c>
    </row>
    <row r="459" spans="1:14" x14ac:dyDescent="0.3">
      <c r="A459" s="3" t="s">
        <v>9276</v>
      </c>
      <c r="B459" s="3" t="s">
        <v>393</v>
      </c>
      <c r="C459" s="3" t="s">
        <v>42</v>
      </c>
      <c r="D459" s="3" t="s">
        <v>834</v>
      </c>
      <c r="E459" s="3" t="s">
        <v>29</v>
      </c>
      <c r="F459" s="3">
        <v>15</v>
      </c>
      <c r="G459" s="3">
        <v>111895.3</v>
      </c>
      <c r="H459" s="3">
        <v>7459.69</v>
      </c>
      <c r="I459" s="3" t="s">
        <v>1995</v>
      </c>
      <c r="J459" s="3">
        <v>272</v>
      </c>
      <c r="K459" s="3" t="s">
        <v>28</v>
      </c>
      <c r="L459" s="3" t="s">
        <v>30</v>
      </c>
      <c r="M459" s="3" t="s">
        <v>16</v>
      </c>
      <c r="N459" s="3" t="s">
        <v>17</v>
      </c>
    </row>
    <row r="460" spans="1:14" x14ac:dyDescent="0.3">
      <c r="A460" s="2" t="s">
        <v>9277</v>
      </c>
      <c r="B460" s="2" t="s">
        <v>642</v>
      </c>
      <c r="C460" s="2" t="s">
        <v>26</v>
      </c>
      <c r="D460" s="2" t="s">
        <v>712</v>
      </c>
      <c r="E460" s="2" t="s">
        <v>14</v>
      </c>
      <c r="F460" s="2">
        <v>11</v>
      </c>
      <c r="G460" s="2">
        <v>65326.7</v>
      </c>
      <c r="H460" s="2">
        <v>5938.79</v>
      </c>
      <c r="I460" s="2" t="s">
        <v>636</v>
      </c>
      <c r="J460" s="2">
        <v>340</v>
      </c>
      <c r="K460" s="2" t="s">
        <v>19</v>
      </c>
      <c r="L460" s="2" t="s">
        <v>23</v>
      </c>
      <c r="M460" s="2" t="s">
        <v>24</v>
      </c>
      <c r="N460" s="2" t="s">
        <v>17</v>
      </c>
    </row>
    <row r="461" spans="1:14" x14ac:dyDescent="0.3">
      <c r="A461" s="3" t="s">
        <v>4341</v>
      </c>
      <c r="B461" s="3" t="s">
        <v>1797</v>
      </c>
      <c r="C461" s="3" t="s">
        <v>18</v>
      </c>
      <c r="D461" s="3" t="s">
        <v>712</v>
      </c>
      <c r="E461" s="3" t="s">
        <v>14</v>
      </c>
      <c r="F461" s="3">
        <v>25</v>
      </c>
      <c r="G461" s="3">
        <v>160627.85999999999</v>
      </c>
      <c r="H461" s="3">
        <v>6425.11</v>
      </c>
      <c r="I461" s="3" t="s">
        <v>1307</v>
      </c>
      <c r="J461" s="3">
        <v>262</v>
      </c>
      <c r="K461" s="3" t="s">
        <v>28</v>
      </c>
      <c r="L461" s="3" t="s">
        <v>40</v>
      </c>
      <c r="M461" s="3" t="s">
        <v>16</v>
      </c>
      <c r="N461" s="3" t="s">
        <v>17</v>
      </c>
    </row>
    <row r="462" spans="1:14" x14ac:dyDescent="0.3">
      <c r="A462" s="2" t="s">
        <v>9278</v>
      </c>
      <c r="B462" s="2" t="s">
        <v>2882</v>
      </c>
      <c r="C462" s="2" t="s">
        <v>26</v>
      </c>
      <c r="D462" s="2" t="s">
        <v>443</v>
      </c>
      <c r="E462" s="2" t="s">
        <v>22</v>
      </c>
      <c r="F462" s="2">
        <v>24</v>
      </c>
      <c r="G462" s="2">
        <v>6885.17</v>
      </c>
      <c r="H462" s="2">
        <v>286.88</v>
      </c>
      <c r="I462" s="2" t="s">
        <v>2237</v>
      </c>
      <c r="J462" s="2">
        <v>115</v>
      </c>
      <c r="K462" s="2" t="s">
        <v>27</v>
      </c>
      <c r="L462" s="2" t="s">
        <v>40</v>
      </c>
      <c r="M462" s="2" t="s">
        <v>41</v>
      </c>
      <c r="N462" s="2" t="s">
        <v>32</v>
      </c>
    </row>
    <row r="463" spans="1:14" x14ac:dyDescent="0.3">
      <c r="A463" s="3" t="s">
        <v>9279</v>
      </c>
      <c r="B463" s="3" t="s">
        <v>2534</v>
      </c>
      <c r="C463" s="3" t="s">
        <v>33</v>
      </c>
      <c r="D463" s="3" t="s">
        <v>109</v>
      </c>
      <c r="E463" s="3" t="s">
        <v>39</v>
      </c>
      <c r="F463" s="3">
        <v>20</v>
      </c>
      <c r="G463" s="3">
        <v>18125.080000000002</v>
      </c>
      <c r="H463" s="3">
        <v>906.25</v>
      </c>
      <c r="I463" s="3" t="s">
        <v>1282</v>
      </c>
      <c r="J463" s="3">
        <v>316</v>
      </c>
      <c r="K463" s="3" t="s">
        <v>27</v>
      </c>
      <c r="L463" s="3" t="s">
        <v>48</v>
      </c>
      <c r="M463" s="3" t="s">
        <v>31</v>
      </c>
      <c r="N463" s="3" t="s">
        <v>17</v>
      </c>
    </row>
    <row r="464" spans="1:14" x14ac:dyDescent="0.3">
      <c r="A464" s="2" t="s">
        <v>9280</v>
      </c>
      <c r="B464" s="2" t="s">
        <v>1246</v>
      </c>
      <c r="C464" s="2" t="s">
        <v>26</v>
      </c>
      <c r="D464" s="2" t="s">
        <v>148</v>
      </c>
      <c r="E464" s="2" t="s">
        <v>29</v>
      </c>
      <c r="F464" s="2">
        <v>5</v>
      </c>
      <c r="G464" s="2">
        <v>190759.04000000001</v>
      </c>
      <c r="H464" s="2">
        <v>38151.81</v>
      </c>
      <c r="I464" s="2" t="s">
        <v>3773</v>
      </c>
      <c r="J464" s="2">
        <v>309</v>
      </c>
      <c r="K464" s="2" t="s">
        <v>27</v>
      </c>
      <c r="L464" s="2" t="s">
        <v>23</v>
      </c>
      <c r="M464" s="2" t="s">
        <v>16</v>
      </c>
      <c r="N464" s="2" t="s">
        <v>17</v>
      </c>
    </row>
    <row r="465" spans="1:14" x14ac:dyDescent="0.3">
      <c r="A465" s="3" t="s">
        <v>9281</v>
      </c>
      <c r="B465" s="3" t="s">
        <v>1464</v>
      </c>
      <c r="C465" s="3" t="s">
        <v>26</v>
      </c>
      <c r="D465" s="3" t="s">
        <v>712</v>
      </c>
      <c r="E465" s="3" t="s">
        <v>14</v>
      </c>
      <c r="F465" s="3">
        <v>11</v>
      </c>
      <c r="G465" s="3">
        <v>157645.24</v>
      </c>
      <c r="H465" s="3">
        <v>14331.39</v>
      </c>
      <c r="I465" s="3" t="s">
        <v>1442</v>
      </c>
      <c r="J465" s="3">
        <v>180</v>
      </c>
      <c r="K465" s="3" t="s">
        <v>19</v>
      </c>
      <c r="L465" s="3" t="s">
        <v>47</v>
      </c>
      <c r="M465" s="3" t="s">
        <v>16</v>
      </c>
      <c r="N465" s="3" t="s">
        <v>32</v>
      </c>
    </row>
    <row r="466" spans="1:14" x14ac:dyDescent="0.3">
      <c r="A466" s="2" t="s">
        <v>9282</v>
      </c>
      <c r="B466" s="2" t="s">
        <v>4964</v>
      </c>
      <c r="C466" s="2" t="s">
        <v>26</v>
      </c>
      <c r="D466" s="2" t="s">
        <v>324</v>
      </c>
      <c r="E466" s="2" t="s">
        <v>39</v>
      </c>
      <c r="F466" s="2">
        <v>7</v>
      </c>
      <c r="G466" s="2">
        <v>199806.93</v>
      </c>
      <c r="H466" s="2">
        <v>28543.85</v>
      </c>
      <c r="I466" s="2" t="s">
        <v>282</v>
      </c>
      <c r="J466" s="2">
        <v>346</v>
      </c>
      <c r="K466" s="2" t="s">
        <v>28</v>
      </c>
      <c r="L466" s="2" t="s">
        <v>23</v>
      </c>
      <c r="M466" s="2" t="s">
        <v>16</v>
      </c>
      <c r="N466" s="2" t="s">
        <v>17</v>
      </c>
    </row>
    <row r="467" spans="1:14" x14ac:dyDescent="0.3">
      <c r="A467" s="3" t="s">
        <v>9283</v>
      </c>
      <c r="B467" s="3" t="s">
        <v>666</v>
      </c>
      <c r="C467" s="3" t="s">
        <v>18</v>
      </c>
      <c r="D467" s="3" t="s">
        <v>215</v>
      </c>
      <c r="E467" s="3" t="s">
        <v>14</v>
      </c>
      <c r="F467" s="3">
        <v>26</v>
      </c>
      <c r="G467" s="3">
        <v>68273.350000000006</v>
      </c>
      <c r="H467" s="3">
        <v>2625.9</v>
      </c>
      <c r="I467" s="3" t="s">
        <v>3919</v>
      </c>
      <c r="J467" s="3">
        <v>320</v>
      </c>
      <c r="K467" s="3" t="s">
        <v>27</v>
      </c>
      <c r="L467" s="3" t="s">
        <v>48</v>
      </c>
      <c r="M467" s="3" t="s">
        <v>24</v>
      </c>
      <c r="N467" s="3" t="s">
        <v>17</v>
      </c>
    </row>
    <row r="468" spans="1:14" x14ac:dyDescent="0.3">
      <c r="A468" s="2" t="s">
        <v>9284</v>
      </c>
      <c r="B468" s="2" t="s">
        <v>1426</v>
      </c>
      <c r="C468" s="2" t="s">
        <v>33</v>
      </c>
      <c r="D468" s="2" t="s">
        <v>324</v>
      </c>
      <c r="E468" s="2" t="s">
        <v>39</v>
      </c>
      <c r="F468" s="2">
        <v>25</v>
      </c>
      <c r="G468" s="2">
        <v>172418.01</v>
      </c>
      <c r="H468" s="2">
        <v>6896.72</v>
      </c>
      <c r="I468" s="2" t="s">
        <v>1609</v>
      </c>
      <c r="J468" s="2">
        <v>144</v>
      </c>
      <c r="K468" s="2" t="s">
        <v>19</v>
      </c>
      <c r="L468" s="2" t="s">
        <v>48</v>
      </c>
      <c r="M468" s="2" t="s">
        <v>16</v>
      </c>
      <c r="N468" s="2" t="s">
        <v>32</v>
      </c>
    </row>
    <row r="469" spans="1:14" x14ac:dyDescent="0.3">
      <c r="A469" s="3" t="s">
        <v>9285</v>
      </c>
      <c r="B469" s="3" t="s">
        <v>412</v>
      </c>
      <c r="C469" s="3" t="s">
        <v>33</v>
      </c>
      <c r="D469" s="3" t="s">
        <v>193</v>
      </c>
      <c r="E469" s="3" t="s">
        <v>39</v>
      </c>
      <c r="F469" s="3">
        <v>3</v>
      </c>
      <c r="G469" s="3">
        <v>102299.56</v>
      </c>
      <c r="H469" s="3">
        <v>34099.85</v>
      </c>
      <c r="I469" s="3" t="s">
        <v>191</v>
      </c>
      <c r="J469" s="3">
        <v>253</v>
      </c>
      <c r="K469" s="3" t="s">
        <v>19</v>
      </c>
      <c r="L469" s="3" t="s">
        <v>30</v>
      </c>
      <c r="M469" s="3" t="s">
        <v>16</v>
      </c>
      <c r="N469" s="3" t="s">
        <v>17</v>
      </c>
    </row>
    <row r="470" spans="1:14" x14ac:dyDescent="0.3">
      <c r="A470" s="2" t="s">
        <v>9286</v>
      </c>
      <c r="B470" s="2" t="s">
        <v>512</v>
      </c>
      <c r="C470" s="2" t="s">
        <v>26</v>
      </c>
      <c r="D470" s="2" t="s">
        <v>95</v>
      </c>
      <c r="E470" s="2" t="s">
        <v>14</v>
      </c>
      <c r="F470" s="2">
        <v>4</v>
      </c>
      <c r="G470" s="2">
        <v>100152.79</v>
      </c>
      <c r="H470" s="2">
        <v>25038.2</v>
      </c>
      <c r="I470" s="2" t="s">
        <v>2900</v>
      </c>
      <c r="J470" s="2">
        <v>275</v>
      </c>
      <c r="K470" s="2" t="s">
        <v>21</v>
      </c>
      <c r="L470" s="2" t="s">
        <v>30</v>
      </c>
      <c r="M470" s="2" t="s">
        <v>16</v>
      </c>
      <c r="N470" s="2" t="s">
        <v>17</v>
      </c>
    </row>
    <row r="471" spans="1:14" x14ac:dyDescent="0.3">
      <c r="A471" s="3" t="s">
        <v>9287</v>
      </c>
      <c r="B471" s="3" t="s">
        <v>495</v>
      </c>
      <c r="C471" s="3" t="s">
        <v>18</v>
      </c>
      <c r="D471" s="3" t="s">
        <v>314</v>
      </c>
      <c r="E471" s="3" t="s">
        <v>39</v>
      </c>
      <c r="F471" s="3">
        <v>21</v>
      </c>
      <c r="G471" s="3">
        <v>18022.21</v>
      </c>
      <c r="H471" s="3">
        <v>858.2</v>
      </c>
      <c r="I471" s="3" t="s">
        <v>1725</v>
      </c>
      <c r="J471" s="3">
        <v>298</v>
      </c>
      <c r="K471" s="3" t="s">
        <v>19</v>
      </c>
      <c r="L471" s="3" t="s">
        <v>30</v>
      </c>
      <c r="M471" s="3" t="s">
        <v>31</v>
      </c>
      <c r="N471" s="3" t="s">
        <v>17</v>
      </c>
    </row>
    <row r="472" spans="1:14" x14ac:dyDescent="0.3">
      <c r="A472" s="2" t="s">
        <v>6579</v>
      </c>
      <c r="B472" s="2" t="s">
        <v>1885</v>
      </c>
      <c r="C472" s="2" t="s">
        <v>33</v>
      </c>
      <c r="D472" s="2" t="s">
        <v>183</v>
      </c>
      <c r="E472" s="2" t="s">
        <v>14</v>
      </c>
      <c r="F472" s="2">
        <v>4</v>
      </c>
      <c r="G472" s="2">
        <v>88759.73</v>
      </c>
      <c r="H472" s="2">
        <v>22189.93</v>
      </c>
      <c r="I472" s="2" t="s">
        <v>4268</v>
      </c>
      <c r="J472" s="2">
        <v>33</v>
      </c>
      <c r="K472" s="2" t="s">
        <v>13</v>
      </c>
      <c r="L472" s="2" t="s">
        <v>40</v>
      </c>
      <c r="M472" s="2" t="s">
        <v>24</v>
      </c>
      <c r="N472" s="2" t="s">
        <v>25</v>
      </c>
    </row>
    <row r="473" spans="1:14" x14ac:dyDescent="0.3">
      <c r="A473" s="3" t="s">
        <v>9288</v>
      </c>
      <c r="B473" s="3" t="s">
        <v>3436</v>
      </c>
      <c r="C473" s="3" t="s">
        <v>26</v>
      </c>
      <c r="D473" s="3" t="s">
        <v>109</v>
      </c>
      <c r="E473" s="3" t="s">
        <v>39</v>
      </c>
      <c r="F473" s="3">
        <v>18</v>
      </c>
      <c r="G473" s="3">
        <v>118639.74</v>
      </c>
      <c r="H473" s="3">
        <v>6591.1</v>
      </c>
      <c r="I473" s="3" t="s">
        <v>262</v>
      </c>
      <c r="J473" s="3">
        <v>116</v>
      </c>
      <c r="K473" s="3" t="s">
        <v>21</v>
      </c>
      <c r="L473" s="3" t="s">
        <v>30</v>
      </c>
      <c r="M473" s="3" t="s">
        <v>16</v>
      </c>
      <c r="N473" s="3" t="s">
        <v>32</v>
      </c>
    </row>
    <row r="474" spans="1:14" x14ac:dyDescent="0.3">
      <c r="A474" s="2" t="s">
        <v>9289</v>
      </c>
      <c r="B474" s="2" t="s">
        <v>300</v>
      </c>
      <c r="C474" s="2" t="s">
        <v>26</v>
      </c>
      <c r="D474" s="2" t="s">
        <v>834</v>
      </c>
      <c r="E474" s="2" t="s">
        <v>29</v>
      </c>
      <c r="F474" s="2">
        <v>19</v>
      </c>
      <c r="G474" s="2">
        <v>119244.12</v>
      </c>
      <c r="H474" s="2">
        <v>6276.01</v>
      </c>
      <c r="I474" s="2" t="s">
        <v>1997</v>
      </c>
      <c r="J474" s="2">
        <v>266</v>
      </c>
      <c r="K474" s="2" t="s">
        <v>27</v>
      </c>
      <c r="L474" s="2" t="s">
        <v>15</v>
      </c>
      <c r="M474" s="2" t="s">
        <v>16</v>
      </c>
      <c r="N474" s="2" t="s">
        <v>17</v>
      </c>
    </row>
    <row r="475" spans="1:14" x14ac:dyDescent="0.3">
      <c r="A475" s="3" t="s">
        <v>9290</v>
      </c>
      <c r="B475" s="3" t="s">
        <v>178</v>
      </c>
      <c r="C475" s="3" t="s">
        <v>26</v>
      </c>
      <c r="D475" s="3" t="s">
        <v>171</v>
      </c>
      <c r="E475" s="3" t="s">
        <v>14</v>
      </c>
      <c r="F475" s="3">
        <v>28</v>
      </c>
      <c r="G475" s="3">
        <v>115655.5</v>
      </c>
      <c r="H475" s="3">
        <v>4130.55</v>
      </c>
      <c r="I475" s="3" t="s">
        <v>1241</v>
      </c>
      <c r="J475" s="3">
        <v>304</v>
      </c>
      <c r="K475" s="3" t="s">
        <v>21</v>
      </c>
      <c r="L475" s="3" t="s">
        <v>30</v>
      </c>
      <c r="M475" s="3" t="s">
        <v>16</v>
      </c>
      <c r="N475" s="3" t="s">
        <v>17</v>
      </c>
    </row>
    <row r="476" spans="1:14" x14ac:dyDescent="0.3">
      <c r="A476" s="2" t="s">
        <v>9291</v>
      </c>
      <c r="B476" s="2" t="s">
        <v>4171</v>
      </c>
      <c r="C476" s="2" t="s">
        <v>33</v>
      </c>
      <c r="D476" s="2" t="s">
        <v>95</v>
      </c>
      <c r="E476" s="2" t="s">
        <v>14</v>
      </c>
      <c r="F476" s="2">
        <v>25</v>
      </c>
      <c r="G476" s="2">
        <v>170340.08</v>
      </c>
      <c r="H476" s="2">
        <v>6813.6</v>
      </c>
      <c r="I476" s="2" t="s">
        <v>1616</v>
      </c>
      <c r="J476" s="2">
        <v>232</v>
      </c>
      <c r="K476" s="2" t="s">
        <v>28</v>
      </c>
      <c r="L476" s="2" t="s">
        <v>48</v>
      </c>
      <c r="M476" s="2" t="s">
        <v>16</v>
      </c>
      <c r="N476" s="2" t="s">
        <v>17</v>
      </c>
    </row>
    <row r="477" spans="1:14" x14ac:dyDescent="0.3">
      <c r="A477" s="3" t="s">
        <v>9292</v>
      </c>
      <c r="B477" s="3" t="s">
        <v>2460</v>
      </c>
      <c r="C477" s="3" t="s">
        <v>26</v>
      </c>
      <c r="D477" s="3" t="s">
        <v>160</v>
      </c>
      <c r="E477" s="3" t="s">
        <v>29</v>
      </c>
      <c r="F477" s="3">
        <v>13</v>
      </c>
      <c r="G477" s="3">
        <v>128067.9</v>
      </c>
      <c r="H477" s="3">
        <v>9851.3799999999992</v>
      </c>
      <c r="I477" s="3" t="s">
        <v>1726</v>
      </c>
      <c r="J477" s="3">
        <v>291</v>
      </c>
      <c r="K477" s="3" t="s">
        <v>27</v>
      </c>
      <c r="L477" s="3" t="s">
        <v>15</v>
      </c>
      <c r="M477" s="3" t="s">
        <v>16</v>
      </c>
      <c r="N477" s="3" t="s">
        <v>17</v>
      </c>
    </row>
    <row r="478" spans="1:14" x14ac:dyDescent="0.3">
      <c r="A478" s="2" t="s">
        <v>9293</v>
      </c>
      <c r="B478" s="2" t="s">
        <v>1606</v>
      </c>
      <c r="C478" s="2" t="s">
        <v>18</v>
      </c>
      <c r="D478" s="2" t="s">
        <v>122</v>
      </c>
      <c r="E478" s="2" t="s">
        <v>22</v>
      </c>
      <c r="F478" s="2">
        <v>4</v>
      </c>
      <c r="G478" s="2">
        <v>60144.36</v>
      </c>
      <c r="H478" s="2">
        <v>15036.09</v>
      </c>
      <c r="I478" s="2" t="s">
        <v>1211</v>
      </c>
      <c r="J478" s="2">
        <v>128</v>
      </c>
      <c r="K478" s="2" t="s">
        <v>21</v>
      </c>
      <c r="L478" s="2" t="s">
        <v>15</v>
      </c>
      <c r="M478" s="2" t="s">
        <v>24</v>
      </c>
      <c r="N478" s="2" t="s">
        <v>32</v>
      </c>
    </row>
    <row r="479" spans="1:14" x14ac:dyDescent="0.3">
      <c r="A479" s="3" t="s">
        <v>5776</v>
      </c>
      <c r="B479" s="3" t="s">
        <v>2097</v>
      </c>
      <c r="C479" s="3" t="s">
        <v>26</v>
      </c>
      <c r="D479" s="3" t="s">
        <v>443</v>
      </c>
      <c r="E479" s="3" t="s">
        <v>22</v>
      </c>
      <c r="F479" s="3">
        <v>12</v>
      </c>
      <c r="G479" s="3">
        <v>91411.53</v>
      </c>
      <c r="H479" s="3">
        <v>7617.63</v>
      </c>
      <c r="I479" s="3" t="s">
        <v>2238</v>
      </c>
      <c r="J479" s="3">
        <v>112</v>
      </c>
      <c r="K479" s="3" t="s">
        <v>21</v>
      </c>
      <c r="L479" s="3" t="s">
        <v>48</v>
      </c>
      <c r="M479" s="3" t="s">
        <v>24</v>
      </c>
      <c r="N479" s="3" t="s">
        <v>32</v>
      </c>
    </row>
    <row r="480" spans="1:14" x14ac:dyDescent="0.3">
      <c r="A480" s="2" t="s">
        <v>2480</v>
      </c>
      <c r="B480" s="2" t="s">
        <v>1364</v>
      </c>
      <c r="C480" s="2" t="s">
        <v>26</v>
      </c>
      <c r="D480" s="2" t="s">
        <v>314</v>
      </c>
      <c r="E480" s="2" t="s">
        <v>39</v>
      </c>
      <c r="F480" s="2">
        <v>24</v>
      </c>
      <c r="G480" s="2">
        <v>192927.02</v>
      </c>
      <c r="H480" s="2">
        <v>8038.63</v>
      </c>
      <c r="I480" s="2" t="s">
        <v>5136</v>
      </c>
      <c r="J480" s="2">
        <v>11</v>
      </c>
      <c r="K480" s="2" t="s">
        <v>28</v>
      </c>
      <c r="L480" s="2" t="s">
        <v>48</v>
      </c>
      <c r="M480" s="2" t="s">
        <v>16</v>
      </c>
      <c r="N480" s="2" t="s">
        <v>25</v>
      </c>
    </row>
    <row r="481" spans="1:14" x14ac:dyDescent="0.3">
      <c r="A481" s="3" t="s">
        <v>1124</v>
      </c>
      <c r="B481" s="3" t="s">
        <v>1085</v>
      </c>
      <c r="C481" s="3" t="s">
        <v>33</v>
      </c>
      <c r="D481" s="3" t="s">
        <v>225</v>
      </c>
      <c r="E481" s="3" t="s">
        <v>39</v>
      </c>
      <c r="F481" s="3">
        <v>5</v>
      </c>
      <c r="G481" s="3">
        <v>71885.929999999993</v>
      </c>
      <c r="H481" s="3">
        <v>14377.19</v>
      </c>
      <c r="I481" s="3" t="s">
        <v>2106</v>
      </c>
      <c r="J481" s="3">
        <v>125</v>
      </c>
      <c r="K481" s="3" t="s">
        <v>13</v>
      </c>
      <c r="L481" s="3" t="s">
        <v>23</v>
      </c>
      <c r="M481" s="3" t="s">
        <v>24</v>
      </c>
      <c r="N481" s="3" t="s">
        <v>32</v>
      </c>
    </row>
    <row r="482" spans="1:14" x14ac:dyDescent="0.3">
      <c r="A482" s="2" t="s">
        <v>9294</v>
      </c>
      <c r="B482" s="2" t="s">
        <v>377</v>
      </c>
      <c r="C482" s="2" t="s">
        <v>26</v>
      </c>
      <c r="D482" s="2" t="s">
        <v>834</v>
      </c>
      <c r="E482" s="2" t="s">
        <v>29</v>
      </c>
      <c r="F482" s="2">
        <v>8</v>
      </c>
      <c r="G482" s="2">
        <v>72822.960000000006</v>
      </c>
      <c r="H482" s="2">
        <v>9102.8700000000008</v>
      </c>
      <c r="I482" s="2" t="s">
        <v>802</v>
      </c>
      <c r="J482" s="2">
        <v>193</v>
      </c>
      <c r="K482" s="2" t="s">
        <v>27</v>
      </c>
      <c r="L482" s="2" t="s">
        <v>47</v>
      </c>
      <c r="M482" s="2" t="s">
        <v>24</v>
      </c>
      <c r="N482" s="2" t="s">
        <v>17</v>
      </c>
    </row>
    <row r="483" spans="1:14" x14ac:dyDescent="0.3">
      <c r="A483" s="3" t="s">
        <v>9295</v>
      </c>
      <c r="B483" s="3" t="s">
        <v>2651</v>
      </c>
      <c r="C483" s="3" t="s">
        <v>42</v>
      </c>
      <c r="D483" s="3" t="s">
        <v>95</v>
      </c>
      <c r="E483" s="3" t="s">
        <v>14</v>
      </c>
      <c r="F483" s="3">
        <v>24</v>
      </c>
      <c r="G483" s="3">
        <v>55399.31</v>
      </c>
      <c r="H483" s="3">
        <v>2308.3000000000002</v>
      </c>
      <c r="I483" s="3" t="s">
        <v>859</v>
      </c>
      <c r="J483" s="3">
        <v>206</v>
      </c>
      <c r="K483" s="3" t="s">
        <v>13</v>
      </c>
      <c r="L483" s="3" t="s">
        <v>48</v>
      </c>
      <c r="M483" s="3" t="s">
        <v>24</v>
      </c>
      <c r="N483" s="3" t="s">
        <v>17</v>
      </c>
    </row>
    <row r="484" spans="1:14" x14ac:dyDescent="0.3">
      <c r="A484" s="2" t="s">
        <v>9296</v>
      </c>
      <c r="B484" s="2" t="s">
        <v>642</v>
      </c>
      <c r="C484" s="2" t="s">
        <v>18</v>
      </c>
      <c r="D484" s="2" t="s">
        <v>215</v>
      </c>
      <c r="E484" s="2" t="s">
        <v>14</v>
      </c>
      <c r="F484" s="2">
        <v>20</v>
      </c>
      <c r="G484" s="2">
        <v>32269.66</v>
      </c>
      <c r="H484" s="2">
        <v>1613.48</v>
      </c>
      <c r="I484" s="2" t="s">
        <v>272</v>
      </c>
      <c r="J484" s="2">
        <v>324</v>
      </c>
      <c r="K484" s="2" t="s">
        <v>28</v>
      </c>
      <c r="L484" s="2" t="s">
        <v>40</v>
      </c>
      <c r="M484" s="2" t="s">
        <v>31</v>
      </c>
      <c r="N484" s="2" t="s">
        <v>17</v>
      </c>
    </row>
    <row r="485" spans="1:14" x14ac:dyDescent="0.3">
      <c r="A485" s="3" t="s">
        <v>2056</v>
      </c>
      <c r="B485" s="3" t="s">
        <v>3436</v>
      </c>
      <c r="C485" s="3" t="s">
        <v>18</v>
      </c>
      <c r="D485" s="3" t="s">
        <v>193</v>
      </c>
      <c r="E485" s="3" t="s">
        <v>39</v>
      </c>
      <c r="F485" s="3">
        <v>2</v>
      </c>
      <c r="G485" s="3">
        <v>106289.07</v>
      </c>
      <c r="H485" s="3">
        <v>53144.54</v>
      </c>
      <c r="I485" s="3" t="s">
        <v>312</v>
      </c>
      <c r="J485" s="3">
        <v>72</v>
      </c>
      <c r="K485" s="3" t="s">
        <v>13</v>
      </c>
      <c r="L485" s="3" t="s">
        <v>48</v>
      </c>
      <c r="M485" s="3" t="s">
        <v>16</v>
      </c>
      <c r="N485" s="3" t="s">
        <v>25</v>
      </c>
    </row>
    <row r="486" spans="1:14" x14ac:dyDescent="0.3">
      <c r="A486" s="2" t="s">
        <v>9297</v>
      </c>
      <c r="B486" s="2" t="s">
        <v>1885</v>
      </c>
      <c r="C486" s="2" t="s">
        <v>42</v>
      </c>
      <c r="D486" s="2" t="s">
        <v>225</v>
      </c>
      <c r="E486" s="2" t="s">
        <v>39</v>
      </c>
      <c r="F486" s="2">
        <v>14</v>
      </c>
      <c r="G486" s="2">
        <v>91933.53</v>
      </c>
      <c r="H486" s="2">
        <v>6566.68</v>
      </c>
      <c r="I486" s="2" t="s">
        <v>3539</v>
      </c>
      <c r="J486" s="2">
        <v>86</v>
      </c>
      <c r="K486" s="2" t="s">
        <v>13</v>
      </c>
      <c r="L486" s="2" t="s">
        <v>43</v>
      </c>
      <c r="M486" s="2" t="s">
        <v>24</v>
      </c>
      <c r="N486" s="2" t="s">
        <v>25</v>
      </c>
    </row>
    <row r="487" spans="1:14" x14ac:dyDescent="0.3">
      <c r="A487" s="3" t="s">
        <v>9298</v>
      </c>
      <c r="B487" s="3" t="s">
        <v>1630</v>
      </c>
      <c r="C487" s="3" t="s">
        <v>18</v>
      </c>
      <c r="D487" s="3" t="s">
        <v>283</v>
      </c>
      <c r="E487" s="3" t="s">
        <v>22</v>
      </c>
      <c r="F487" s="3">
        <v>4</v>
      </c>
      <c r="G487" s="3">
        <v>133626.66</v>
      </c>
      <c r="H487" s="3">
        <v>33406.67</v>
      </c>
      <c r="I487" s="3" t="s">
        <v>1429</v>
      </c>
      <c r="J487" s="3">
        <v>200</v>
      </c>
      <c r="K487" s="3" t="s">
        <v>13</v>
      </c>
      <c r="L487" s="3" t="s">
        <v>23</v>
      </c>
      <c r="M487" s="3" t="s">
        <v>16</v>
      </c>
      <c r="N487" s="3" t="s">
        <v>17</v>
      </c>
    </row>
    <row r="488" spans="1:14" x14ac:dyDescent="0.3">
      <c r="A488" s="2" t="s">
        <v>9299</v>
      </c>
      <c r="B488" s="2" t="s">
        <v>791</v>
      </c>
      <c r="C488" s="2" t="s">
        <v>42</v>
      </c>
      <c r="D488" s="2" t="s">
        <v>738</v>
      </c>
      <c r="E488" s="2" t="s">
        <v>22</v>
      </c>
      <c r="F488" s="2">
        <v>23</v>
      </c>
      <c r="G488" s="2">
        <v>151625.91</v>
      </c>
      <c r="H488" s="2">
        <v>6592.43</v>
      </c>
      <c r="I488" s="2" t="s">
        <v>1600</v>
      </c>
      <c r="J488" s="2">
        <v>170</v>
      </c>
      <c r="K488" s="2" t="s">
        <v>21</v>
      </c>
      <c r="L488" s="2" t="s">
        <v>40</v>
      </c>
      <c r="M488" s="2" t="s">
        <v>16</v>
      </c>
      <c r="N488" s="2" t="s">
        <v>32</v>
      </c>
    </row>
    <row r="489" spans="1:14" x14ac:dyDescent="0.3">
      <c r="A489" s="3" t="s">
        <v>9300</v>
      </c>
      <c r="B489" s="3" t="s">
        <v>642</v>
      </c>
      <c r="C489" s="3" t="s">
        <v>42</v>
      </c>
      <c r="D489" s="3" t="s">
        <v>443</v>
      </c>
      <c r="E489" s="3" t="s">
        <v>22</v>
      </c>
      <c r="F489" s="3">
        <v>10</v>
      </c>
      <c r="G489" s="3">
        <v>190404.94</v>
      </c>
      <c r="H489" s="3">
        <v>19040.490000000002</v>
      </c>
      <c r="I489" s="3" t="s">
        <v>4966</v>
      </c>
      <c r="J489" s="3">
        <v>3</v>
      </c>
      <c r="K489" s="3" t="s">
        <v>21</v>
      </c>
      <c r="L489" s="3" t="s">
        <v>15</v>
      </c>
      <c r="M489" s="3" t="s">
        <v>16</v>
      </c>
      <c r="N489" s="3" t="s">
        <v>25</v>
      </c>
    </row>
    <row r="490" spans="1:14" x14ac:dyDescent="0.3">
      <c r="A490" s="2" t="s">
        <v>9301</v>
      </c>
      <c r="B490" s="2" t="s">
        <v>642</v>
      </c>
      <c r="C490" s="2" t="s">
        <v>33</v>
      </c>
      <c r="D490" s="2" t="s">
        <v>183</v>
      </c>
      <c r="E490" s="2" t="s">
        <v>14</v>
      </c>
      <c r="F490" s="2">
        <v>5</v>
      </c>
      <c r="G490" s="2">
        <v>100655.78</v>
      </c>
      <c r="H490" s="2">
        <v>20131.16</v>
      </c>
      <c r="I490" s="2" t="s">
        <v>192</v>
      </c>
      <c r="J490" s="2">
        <v>246</v>
      </c>
      <c r="K490" s="2" t="s">
        <v>19</v>
      </c>
      <c r="L490" s="2" t="s">
        <v>23</v>
      </c>
      <c r="M490" s="2" t="s">
        <v>16</v>
      </c>
      <c r="N490" s="2" t="s">
        <v>17</v>
      </c>
    </row>
    <row r="491" spans="1:14" x14ac:dyDescent="0.3">
      <c r="A491" s="3" t="s">
        <v>1729</v>
      </c>
      <c r="B491" s="3" t="s">
        <v>1885</v>
      </c>
      <c r="C491" s="3" t="s">
        <v>26</v>
      </c>
      <c r="D491" s="3" t="s">
        <v>109</v>
      </c>
      <c r="E491" s="3" t="s">
        <v>39</v>
      </c>
      <c r="F491" s="3">
        <v>4</v>
      </c>
      <c r="G491" s="3">
        <v>195696.47</v>
      </c>
      <c r="H491" s="3">
        <v>48924.12</v>
      </c>
      <c r="I491" s="3" t="s">
        <v>280</v>
      </c>
      <c r="J491" s="3">
        <v>350</v>
      </c>
      <c r="K491" s="3" t="s">
        <v>28</v>
      </c>
      <c r="L491" s="3" t="s">
        <v>23</v>
      </c>
      <c r="M491" s="3" t="s">
        <v>16</v>
      </c>
      <c r="N491" s="3" t="s">
        <v>17</v>
      </c>
    </row>
    <row r="492" spans="1:14" x14ac:dyDescent="0.3">
      <c r="A492" s="2" t="s">
        <v>5925</v>
      </c>
      <c r="B492" s="2" t="s">
        <v>586</v>
      </c>
      <c r="C492" s="2" t="s">
        <v>42</v>
      </c>
      <c r="D492" s="2" t="s">
        <v>225</v>
      </c>
      <c r="E492" s="2" t="s">
        <v>39</v>
      </c>
      <c r="F492" s="2">
        <v>7</v>
      </c>
      <c r="G492" s="2">
        <v>55540.89</v>
      </c>
      <c r="H492" s="2">
        <v>7934.41</v>
      </c>
      <c r="I492" s="2" t="s">
        <v>566</v>
      </c>
      <c r="J492" s="2">
        <v>77</v>
      </c>
      <c r="K492" s="2" t="s">
        <v>13</v>
      </c>
      <c r="L492" s="2" t="s">
        <v>47</v>
      </c>
      <c r="M492" s="2" t="s">
        <v>24</v>
      </c>
      <c r="N492" s="2" t="s">
        <v>25</v>
      </c>
    </row>
    <row r="493" spans="1:14" x14ac:dyDescent="0.3">
      <c r="A493" s="3" t="s">
        <v>9302</v>
      </c>
      <c r="B493" s="3" t="s">
        <v>260</v>
      </c>
      <c r="C493" s="3" t="s">
        <v>26</v>
      </c>
      <c r="D493" s="3" t="s">
        <v>183</v>
      </c>
      <c r="E493" s="3" t="s">
        <v>14</v>
      </c>
      <c r="F493" s="3">
        <v>21</v>
      </c>
      <c r="G493" s="3">
        <v>43837.31</v>
      </c>
      <c r="H493" s="3">
        <v>2087.4899999999998</v>
      </c>
      <c r="I493" s="3" t="s">
        <v>223</v>
      </c>
      <c r="J493" s="3">
        <v>260</v>
      </c>
      <c r="K493" s="3" t="s">
        <v>13</v>
      </c>
      <c r="L493" s="3" t="s">
        <v>43</v>
      </c>
      <c r="M493" s="3" t="s">
        <v>31</v>
      </c>
      <c r="N493" s="3" t="s">
        <v>17</v>
      </c>
    </row>
    <row r="494" spans="1:14" x14ac:dyDescent="0.3">
      <c r="A494" s="2" t="s">
        <v>3402</v>
      </c>
      <c r="B494" s="2" t="s">
        <v>1797</v>
      </c>
      <c r="C494" s="2" t="s">
        <v>42</v>
      </c>
      <c r="D494" s="2" t="s">
        <v>427</v>
      </c>
      <c r="E494" s="2" t="s">
        <v>29</v>
      </c>
      <c r="F494" s="2">
        <v>23</v>
      </c>
      <c r="G494" s="2">
        <v>171453.58</v>
      </c>
      <c r="H494" s="2">
        <v>7454.5</v>
      </c>
      <c r="I494" s="2" t="s">
        <v>3301</v>
      </c>
      <c r="J494" s="2">
        <v>163</v>
      </c>
      <c r="K494" s="2" t="s">
        <v>28</v>
      </c>
      <c r="L494" s="2" t="s">
        <v>43</v>
      </c>
      <c r="M494" s="2" t="s">
        <v>16</v>
      </c>
      <c r="N494" s="2" t="s">
        <v>32</v>
      </c>
    </row>
    <row r="495" spans="1:14" x14ac:dyDescent="0.3">
      <c r="A495" s="3" t="s">
        <v>9303</v>
      </c>
      <c r="B495" s="3" t="s">
        <v>3848</v>
      </c>
      <c r="C495" s="3" t="s">
        <v>42</v>
      </c>
      <c r="D495" s="3" t="s">
        <v>324</v>
      </c>
      <c r="E495" s="3" t="s">
        <v>39</v>
      </c>
      <c r="F495" s="3">
        <v>23</v>
      </c>
      <c r="G495" s="3">
        <v>25599.5</v>
      </c>
      <c r="H495" s="3">
        <v>1113.02</v>
      </c>
      <c r="I495" s="3" t="s">
        <v>3301</v>
      </c>
      <c r="J495" s="3">
        <v>163</v>
      </c>
      <c r="K495" s="3" t="s">
        <v>21</v>
      </c>
      <c r="L495" s="3" t="s">
        <v>48</v>
      </c>
      <c r="M495" s="3" t="s">
        <v>31</v>
      </c>
      <c r="N495" s="3" t="s">
        <v>32</v>
      </c>
    </row>
    <row r="496" spans="1:14" x14ac:dyDescent="0.3">
      <c r="A496" s="2" t="s">
        <v>9304</v>
      </c>
      <c r="B496" s="2" t="s">
        <v>450</v>
      </c>
      <c r="C496" s="2" t="s">
        <v>42</v>
      </c>
      <c r="D496" s="2" t="s">
        <v>122</v>
      </c>
      <c r="E496" s="2" t="s">
        <v>22</v>
      </c>
      <c r="F496" s="2">
        <v>16</v>
      </c>
      <c r="G496" s="2">
        <v>42023.32</v>
      </c>
      <c r="H496" s="2">
        <v>2626.46</v>
      </c>
      <c r="I496" s="2" t="s">
        <v>1554</v>
      </c>
      <c r="J496" s="2">
        <v>215</v>
      </c>
      <c r="K496" s="2" t="s">
        <v>27</v>
      </c>
      <c r="L496" s="2" t="s">
        <v>15</v>
      </c>
      <c r="M496" s="2" t="s">
        <v>31</v>
      </c>
      <c r="N496" s="2" t="s">
        <v>17</v>
      </c>
    </row>
    <row r="497" spans="1:14" x14ac:dyDescent="0.3">
      <c r="A497" s="3" t="s">
        <v>9305</v>
      </c>
      <c r="B497" s="3" t="s">
        <v>1861</v>
      </c>
      <c r="C497" s="3" t="s">
        <v>33</v>
      </c>
      <c r="D497" s="3" t="s">
        <v>160</v>
      </c>
      <c r="E497" s="3" t="s">
        <v>29</v>
      </c>
      <c r="F497" s="3">
        <v>11</v>
      </c>
      <c r="G497" s="3">
        <v>116238.78</v>
      </c>
      <c r="H497" s="3">
        <v>10567.16</v>
      </c>
      <c r="I497" s="3" t="s">
        <v>2582</v>
      </c>
      <c r="J497" s="3">
        <v>58</v>
      </c>
      <c r="K497" s="3" t="s">
        <v>19</v>
      </c>
      <c r="L497" s="3" t="s">
        <v>47</v>
      </c>
      <c r="M497" s="3" t="s">
        <v>16</v>
      </c>
      <c r="N497" s="3" t="s">
        <v>25</v>
      </c>
    </row>
    <row r="498" spans="1:14" x14ac:dyDescent="0.3">
      <c r="A498" s="2" t="s">
        <v>1993</v>
      </c>
      <c r="B498" s="2" t="s">
        <v>1350</v>
      </c>
      <c r="C498" s="2" t="s">
        <v>18</v>
      </c>
      <c r="D498" s="2" t="s">
        <v>283</v>
      </c>
      <c r="E498" s="2" t="s">
        <v>22</v>
      </c>
      <c r="F498" s="2">
        <v>16</v>
      </c>
      <c r="G498" s="2">
        <v>178631.69</v>
      </c>
      <c r="H498" s="2">
        <v>11164.48</v>
      </c>
      <c r="I498" s="2" t="s">
        <v>1282</v>
      </c>
      <c r="J498" s="2">
        <v>316</v>
      </c>
      <c r="K498" s="2" t="s">
        <v>13</v>
      </c>
      <c r="L498" s="2" t="s">
        <v>23</v>
      </c>
      <c r="M498" s="2" t="s">
        <v>16</v>
      </c>
      <c r="N498" s="2" t="s">
        <v>17</v>
      </c>
    </row>
    <row r="499" spans="1:14" x14ac:dyDescent="0.3">
      <c r="A499" s="3" t="s">
        <v>9306</v>
      </c>
      <c r="B499" s="3" t="s">
        <v>3903</v>
      </c>
      <c r="C499" s="3" t="s">
        <v>26</v>
      </c>
      <c r="D499" s="3" t="s">
        <v>122</v>
      </c>
      <c r="E499" s="3" t="s">
        <v>22</v>
      </c>
      <c r="F499" s="3">
        <v>3</v>
      </c>
      <c r="G499" s="3">
        <v>111550.81</v>
      </c>
      <c r="H499" s="3">
        <v>37183.599999999999</v>
      </c>
      <c r="I499" s="3" t="s">
        <v>1099</v>
      </c>
      <c r="J499" s="3">
        <v>35</v>
      </c>
      <c r="K499" s="3" t="s">
        <v>27</v>
      </c>
      <c r="L499" s="3" t="s">
        <v>48</v>
      </c>
      <c r="M499" s="3" t="s">
        <v>16</v>
      </c>
      <c r="N499" s="3" t="s">
        <v>25</v>
      </c>
    </row>
    <row r="500" spans="1:14" x14ac:dyDescent="0.3">
      <c r="A500" s="2" t="s">
        <v>9307</v>
      </c>
      <c r="B500" s="2" t="s">
        <v>3903</v>
      </c>
      <c r="C500" s="2" t="s">
        <v>18</v>
      </c>
      <c r="D500" s="2" t="s">
        <v>712</v>
      </c>
      <c r="E500" s="2" t="s">
        <v>14</v>
      </c>
      <c r="F500" s="2">
        <v>26</v>
      </c>
      <c r="G500" s="2">
        <v>39706.17</v>
      </c>
      <c r="H500" s="2">
        <v>1527.16</v>
      </c>
      <c r="I500" s="2" t="s">
        <v>2101</v>
      </c>
      <c r="J500" s="2">
        <v>303</v>
      </c>
      <c r="K500" s="2" t="s">
        <v>19</v>
      </c>
      <c r="L500" s="2" t="s">
        <v>23</v>
      </c>
      <c r="M500" s="2" t="s">
        <v>31</v>
      </c>
      <c r="N500" s="2" t="s">
        <v>17</v>
      </c>
    </row>
    <row r="501" spans="1:14" x14ac:dyDescent="0.3">
      <c r="A501" s="3" t="s">
        <v>9308</v>
      </c>
      <c r="B501" s="3" t="s">
        <v>2136</v>
      </c>
      <c r="C501" s="3" t="s">
        <v>42</v>
      </c>
      <c r="D501" s="3" t="s">
        <v>324</v>
      </c>
      <c r="E501" s="3" t="s">
        <v>39</v>
      </c>
      <c r="F501" s="3">
        <v>21</v>
      </c>
      <c r="G501" s="3">
        <v>118546.15</v>
      </c>
      <c r="H501" s="3">
        <v>5645.05</v>
      </c>
      <c r="I501" s="3" t="s">
        <v>3708</v>
      </c>
      <c r="J501" s="3">
        <v>149</v>
      </c>
      <c r="K501" s="3" t="s">
        <v>28</v>
      </c>
      <c r="L501" s="3" t="s">
        <v>15</v>
      </c>
      <c r="M501" s="3" t="s">
        <v>16</v>
      </c>
      <c r="N501" s="3" t="s">
        <v>32</v>
      </c>
    </row>
    <row r="502" spans="1:14" x14ac:dyDescent="0.3">
      <c r="A502" s="2" t="s">
        <v>9309</v>
      </c>
      <c r="B502" s="2" t="s">
        <v>1085</v>
      </c>
      <c r="C502" s="2" t="s">
        <v>18</v>
      </c>
      <c r="D502" s="2" t="s">
        <v>254</v>
      </c>
      <c r="E502" s="2" t="s">
        <v>22</v>
      </c>
      <c r="F502" s="2">
        <v>18</v>
      </c>
      <c r="G502" s="2">
        <v>90218.61</v>
      </c>
      <c r="H502" s="2">
        <v>5012.1499999999996</v>
      </c>
      <c r="I502" s="2" t="s">
        <v>281</v>
      </c>
      <c r="J502" s="2">
        <v>348</v>
      </c>
      <c r="K502" s="2" t="s">
        <v>27</v>
      </c>
      <c r="L502" s="2" t="s">
        <v>43</v>
      </c>
      <c r="M502" s="2" t="s">
        <v>24</v>
      </c>
      <c r="N502" s="2" t="s">
        <v>17</v>
      </c>
    </row>
    <row r="503" spans="1:14" x14ac:dyDescent="0.3">
      <c r="A503" s="3" t="s">
        <v>9310</v>
      </c>
      <c r="B503" s="3" t="s">
        <v>1091</v>
      </c>
      <c r="C503" s="3" t="s">
        <v>26</v>
      </c>
      <c r="D503" s="3" t="s">
        <v>95</v>
      </c>
      <c r="E503" s="3" t="s">
        <v>14</v>
      </c>
      <c r="F503" s="3">
        <v>18</v>
      </c>
      <c r="G503" s="3">
        <v>143121.56</v>
      </c>
      <c r="H503" s="3">
        <v>7951.2</v>
      </c>
      <c r="I503" s="3" t="s">
        <v>1338</v>
      </c>
      <c r="J503" s="3">
        <v>242</v>
      </c>
      <c r="K503" s="3" t="s">
        <v>21</v>
      </c>
      <c r="L503" s="3" t="s">
        <v>15</v>
      </c>
      <c r="M503" s="3" t="s">
        <v>16</v>
      </c>
      <c r="N503" s="3" t="s">
        <v>17</v>
      </c>
    </row>
    <row r="504" spans="1:14" x14ac:dyDescent="0.3">
      <c r="A504" s="2" t="s">
        <v>9311</v>
      </c>
      <c r="B504" s="2" t="s">
        <v>571</v>
      </c>
      <c r="C504" s="2" t="s">
        <v>18</v>
      </c>
      <c r="D504" s="2" t="s">
        <v>171</v>
      </c>
      <c r="E504" s="2" t="s">
        <v>14</v>
      </c>
      <c r="F504" s="2">
        <v>5</v>
      </c>
      <c r="G504" s="2">
        <v>102052.74</v>
      </c>
      <c r="H504" s="2">
        <v>20410.55</v>
      </c>
      <c r="I504" s="2" t="s">
        <v>2227</v>
      </c>
      <c r="J504" s="2">
        <v>292</v>
      </c>
      <c r="K504" s="2" t="s">
        <v>27</v>
      </c>
      <c r="L504" s="2" t="s">
        <v>30</v>
      </c>
      <c r="M504" s="2" t="s">
        <v>16</v>
      </c>
      <c r="N504" s="2" t="s">
        <v>17</v>
      </c>
    </row>
    <row r="505" spans="1:14" x14ac:dyDescent="0.3">
      <c r="A505" s="3" t="s">
        <v>9312</v>
      </c>
      <c r="B505" s="3" t="s">
        <v>358</v>
      </c>
      <c r="C505" s="3" t="s">
        <v>18</v>
      </c>
      <c r="D505" s="3" t="s">
        <v>443</v>
      </c>
      <c r="E505" s="3" t="s">
        <v>22</v>
      </c>
      <c r="F505" s="3">
        <v>12</v>
      </c>
      <c r="G505" s="3">
        <v>190177.98</v>
      </c>
      <c r="H505" s="3">
        <v>15848.17</v>
      </c>
      <c r="I505" s="3" t="s">
        <v>948</v>
      </c>
      <c r="J505" s="3">
        <v>73</v>
      </c>
      <c r="K505" s="3" t="s">
        <v>28</v>
      </c>
      <c r="L505" s="3" t="s">
        <v>48</v>
      </c>
      <c r="M505" s="3" t="s">
        <v>16</v>
      </c>
      <c r="N505" s="3" t="s">
        <v>25</v>
      </c>
    </row>
    <row r="506" spans="1:14" x14ac:dyDescent="0.3">
      <c r="A506" s="2" t="s">
        <v>9313</v>
      </c>
      <c r="B506" s="2" t="s">
        <v>2325</v>
      </c>
      <c r="C506" s="2" t="s">
        <v>33</v>
      </c>
      <c r="D506" s="2" t="s">
        <v>283</v>
      </c>
      <c r="E506" s="2" t="s">
        <v>22</v>
      </c>
      <c r="F506" s="2">
        <v>6</v>
      </c>
      <c r="G506" s="2">
        <v>189088.93</v>
      </c>
      <c r="H506" s="2">
        <v>31514.82</v>
      </c>
      <c r="I506" s="2" t="s">
        <v>1047</v>
      </c>
      <c r="J506" s="2">
        <v>44</v>
      </c>
      <c r="K506" s="2" t="s">
        <v>21</v>
      </c>
      <c r="L506" s="2" t="s">
        <v>23</v>
      </c>
      <c r="M506" s="2" t="s">
        <v>16</v>
      </c>
      <c r="N506" s="2" t="s">
        <v>25</v>
      </c>
    </row>
    <row r="507" spans="1:14" x14ac:dyDescent="0.3">
      <c r="A507" s="3" t="s">
        <v>9314</v>
      </c>
      <c r="B507" s="3" t="s">
        <v>495</v>
      </c>
      <c r="C507" s="3" t="s">
        <v>33</v>
      </c>
      <c r="D507" s="3" t="s">
        <v>148</v>
      </c>
      <c r="E507" s="3" t="s">
        <v>29</v>
      </c>
      <c r="F507" s="3">
        <v>3</v>
      </c>
      <c r="G507" s="3">
        <v>33438.79</v>
      </c>
      <c r="H507" s="3">
        <v>11146.26</v>
      </c>
      <c r="I507" s="3" t="s">
        <v>5136</v>
      </c>
      <c r="J507" s="3">
        <v>11</v>
      </c>
      <c r="K507" s="3" t="s">
        <v>13</v>
      </c>
      <c r="L507" s="3" t="s">
        <v>47</v>
      </c>
      <c r="M507" s="3" t="s">
        <v>31</v>
      </c>
      <c r="N507" s="3" t="s">
        <v>25</v>
      </c>
    </row>
    <row r="508" spans="1:14" x14ac:dyDescent="0.3">
      <c r="A508" s="2" t="s">
        <v>9315</v>
      </c>
      <c r="B508" s="2" t="s">
        <v>967</v>
      </c>
      <c r="C508" s="2" t="s">
        <v>26</v>
      </c>
      <c r="D508" s="2" t="s">
        <v>193</v>
      </c>
      <c r="E508" s="2" t="s">
        <v>39</v>
      </c>
      <c r="F508" s="2">
        <v>12</v>
      </c>
      <c r="G508" s="2">
        <v>167251.91</v>
      </c>
      <c r="H508" s="2">
        <v>13937.66</v>
      </c>
      <c r="I508" s="2" t="s">
        <v>2747</v>
      </c>
      <c r="J508" s="2">
        <v>42</v>
      </c>
      <c r="K508" s="2" t="s">
        <v>27</v>
      </c>
      <c r="L508" s="2" t="s">
        <v>43</v>
      </c>
      <c r="M508" s="2" t="s">
        <v>16</v>
      </c>
      <c r="N508" s="2" t="s">
        <v>25</v>
      </c>
    </row>
    <row r="509" spans="1:14" x14ac:dyDescent="0.3">
      <c r="A509" s="3" t="s">
        <v>9316</v>
      </c>
      <c r="B509" s="3" t="s">
        <v>1159</v>
      </c>
      <c r="C509" s="3" t="s">
        <v>18</v>
      </c>
      <c r="D509" s="3" t="s">
        <v>183</v>
      </c>
      <c r="E509" s="3" t="s">
        <v>14</v>
      </c>
      <c r="F509" s="3">
        <v>29</v>
      </c>
      <c r="G509" s="3">
        <v>71005.119999999995</v>
      </c>
      <c r="H509" s="3">
        <v>2448.4499999999998</v>
      </c>
      <c r="I509" s="3" t="s">
        <v>3315</v>
      </c>
      <c r="J509" s="3">
        <v>281</v>
      </c>
      <c r="K509" s="3" t="s">
        <v>28</v>
      </c>
      <c r="L509" s="3" t="s">
        <v>43</v>
      </c>
      <c r="M509" s="3" t="s">
        <v>24</v>
      </c>
      <c r="N509" s="3" t="s">
        <v>17</v>
      </c>
    </row>
    <row r="510" spans="1:14" x14ac:dyDescent="0.3">
      <c r="A510" s="2" t="s">
        <v>1643</v>
      </c>
      <c r="B510" s="2" t="s">
        <v>1364</v>
      </c>
      <c r="C510" s="2" t="s">
        <v>33</v>
      </c>
      <c r="D510" s="2" t="s">
        <v>183</v>
      </c>
      <c r="E510" s="2" t="s">
        <v>14</v>
      </c>
      <c r="F510" s="2">
        <v>27</v>
      </c>
      <c r="G510" s="2">
        <v>53445.97</v>
      </c>
      <c r="H510" s="2">
        <v>1979.48</v>
      </c>
      <c r="I510" s="2" t="s">
        <v>1609</v>
      </c>
      <c r="J510" s="2">
        <v>144</v>
      </c>
      <c r="K510" s="2" t="s">
        <v>28</v>
      </c>
      <c r="L510" s="2" t="s">
        <v>47</v>
      </c>
      <c r="M510" s="2" t="s">
        <v>24</v>
      </c>
      <c r="N510" s="2" t="s">
        <v>32</v>
      </c>
    </row>
    <row r="511" spans="1:14" x14ac:dyDescent="0.3">
      <c r="A511" s="3" t="s">
        <v>9317</v>
      </c>
      <c r="B511" s="3" t="s">
        <v>1911</v>
      </c>
      <c r="C511" s="3" t="s">
        <v>18</v>
      </c>
      <c r="D511" s="3" t="s">
        <v>427</v>
      </c>
      <c r="E511" s="3" t="s">
        <v>29</v>
      </c>
      <c r="F511" s="3">
        <v>19</v>
      </c>
      <c r="G511" s="3">
        <v>66809.05</v>
      </c>
      <c r="H511" s="3">
        <v>3516.27</v>
      </c>
      <c r="I511" s="3" t="s">
        <v>442</v>
      </c>
      <c r="J511" s="3">
        <v>349</v>
      </c>
      <c r="K511" s="3" t="s">
        <v>28</v>
      </c>
      <c r="L511" s="3" t="s">
        <v>43</v>
      </c>
      <c r="M511" s="3" t="s">
        <v>24</v>
      </c>
      <c r="N511" s="3" t="s">
        <v>17</v>
      </c>
    </row>
    <row r="512" spans="1:14" x14ac:dyDescent="0.3">
      <c r="A512" s="2" t="s">
        <v>9318</v>
      </c>
      <c r="B512" s="2" t="s">
        <v>3250</v>
      </c>
      <c r="C512" s="2" t="s">
        <v>42</v>
      </c>
      <c r="D512" s="2" t="s">
        <v>122</v>
      </c>
      <c r="E512" s="2" t="s">
        <v>22</v>
      </c>
      <c r="F512" s="2">
        <v>19</v>
      </c>
      <c r="G512" s="2">
        <v>100466.67</v>
      </c>
      <c r="H512" s="2">
        <v>5287.72</v>
      </c>
      <c r="I512" s="2" t="s">
        <v>1429</v>
      </c>
      <c r="J512" s="2">
        <v>200</v>
      </c>
      <c r="K512" s="2" t="s">
        <v>27</v>
      </c>
      <c r="L512" s="2" t="s">
        <v>48</v>
      </c>
      <c r="M512" s="2" t="s">
        <v>16</v>
      </c>
      <c r="N512" s="2" t="s">
        <v>17</v>
      </c>
    </row>
    <row r="513" spans="1:14" x14ac:dyDescent="0.3">
      <c r="A513" s="3" t="s">
        <v>9319</v>
      </c>
      <c r="B513" s="3" t="s">
        <v>1177</v>
      </c>
      <c r="C513" s="3" t="s">
        <v>33</v>
      </c>
      <c r="D513" s="3" t="s">
        <v>443</v>
      </c>
      <c r="E513" s="3" t="s">
        <v>22</v>
      </c>
      <c r="F513" s="3">
        <v>9</v>
      </c>
      <c r="G513" s="3">
        <v>173720.34</v>
      </c>
      <c r="H513" s="3">
        <v>19302.259999999998</v>
      </c>
      <c r="I513" s="3" t="s">
        <v>5884</v>
      </c>
      <c r="J513" s="3">
        <v>287</v>
      </c>
      <c r="K513" s="3" t="s">
        <v>19</v>
      </c>
      <c r="L513" s="3" t="s">
        <v>30</v>
      </c>
      <c r="M513" s="3" t="s">
        <v>16</v>
      </c>
      <c r="N513" s="3" t="s">
        <v>17</v>
      </c>
    </row>
    <row r="514" spans="1:14" x14ac:dyDescent="0.3">
      <c r="A514" s="2" t="s">
        <v>9320</v>
      </c>
      <c r="B514" s="2" t="s">
        <v>1045</v>
      </c>
      <c r="C514" s="2" t="s">
        <v>33</v>
      </c>
      <c r="D514" s="2" t="s">
        <v>95</v>
      </c>
      <c r="E514" s="2" t="s">
        <v>14</v>
      </c>
      <c r="F514" s="2">
        <v>29</v>
      </c>
      <c r="G514" s="2">
        <v>53920.959999999999</v>
      </c>
      <c r="H514" s="2">
        <v>1859.34</v>
      </c>
      <c r="I514" s="2" t="s">
        <v>1429</v>
      </c>
      <c r="J514" s="2">
        <v>200</v>
      </c>
      <c r="K514" s="2" t="s">
        <v>28</v>
      </c>
      <c r="L514" s="2" t="s">
        <v>48</v>
      </c>
      <c r="M514" s="2" t="s">
        <v>24</v>
      </c>
      <c r="N514" s="2" t="s">
        <v>17</v>
      </c>
    </row>
    <row r="515" spans="1:14" x14ac:dyDescent="0.3">
      <c r="A515" s="3" t="s">
        <v>9321</v>
      </c>
      <c r="B515" s="3" t="s">
        <v>1326</v>
      </c>
      <c r="C515" s="3" t="s">
        <v>18</v>
      </c>
      <c r="D515" s="3" t="s">
        <v>95</v>
      </c>
      <c r="E515" s="3" t="s">
        <v>14</v>
      </c>
      <c r="F515" s="3">
        <v>20</v>
      </c>
      <c r="G515" s="3">
        <v>136887.97</v>
      </c>
      <c r="H515" s="3">
        <v>6844.4</v>
      </c>
      <c r="I515" s="3" t="s">
        <v>203</v>
      </c>
      <c r="J515" s="3">
        <v>106</v>
      </c>
      <c r="K515" s="3" t="s">
        <v>28</v>
      </c>
      <c r="L515" s="3" t="s">
        <v>30</v>
      </c>
      <c r="M515" s="3" t="s">
        <v>16</v>
      </c>
      <c r="N515" s="3" t="s">
        <v>32</v>
      </c>
    </row>
    <row r="516" spans="1:14" x14ac:dyDescent="0.3">
      <c r="A516" s="2" t="s">
        <v>9322</v>
      </c>
      <c r="B516" s="2" t="s">
        <v>1233</v>
      </c>
      <c r="C516" s="2" t="s">
        <v>26</v>
      </c>
      <c r="D516" s="2" t="s">
        <v>834</v>
      </c>
      <c r="E516" s="2" t="s">
        <v>29</v>
      </c>
      <c r="F516" s="2">
        <v>20</v>
      </c>
      <c r="G516" s="2">
        <v>127478.97</v>
      </c>
      <c r="H516" s="2">
        <v>6373.95</v>
      </c>
      <c r="I516" s="2" t="s">
        <v>4633</v>
      </c>
      <c r="J516" s="2">
        <v>224</v>
      </c>
      <c r="K516" s="2" t="s">
        <v>27</v>
      </c>
      <c r="L516" s="2" t="s">
        <v>23</v>
      </c>
      <c r="M516" s="2" t="s">
        <v>16</v>
      </c>
      <c r="N516" s="2" t="s">
        <v>17</v>
      </c>
    </row>
    <row r="517" spans="1:14" x14ac:dyDescent="0.3">
      <c r="A517" s="3" t="s">
        <v>9323</v>
      </c>
      <c r="B517" s="3" t="s">
        <v>651</v>
      </c>
      <c r="C517" s="3" t="s">
        <v>33</v>
      </c>
      <c r="D517" s="3" t="s">
        <v>314</v>
      </c>
      <c r="E517" s="3" t="s">
        <v>39</v>
      </c>
      <c r="F517" s="3">
        <v>7</v>
      </c>
      <c r="G517" s="3">
        <v>4031.74</v>
      </c>
      <c r="H517" s="3">
        <v>575.96</v>
      </c>
      <c r="I517" s="3" t="s">
        <v>5977</v>
      </c>
      <c r="J517" s="3">
        <v>247</v>
      </c>
      <c r="K517" s="3" t="s">
        <v>13</v>
      </c>
      <c r="L517" s="3" t="s">
        <v>43</v>
      </c>
      <c r="M517" s="3" t="s">
        <v>41</v>
      </c>
      <c r="N517" s="3" t="s">
        <v>17</v>
      </c>
    </row>
    <row r="518" spans="1:14" x14ac:dyDescent="0.3">
      <c r="A518" s="2" t="s">
        <v>9324</v>
      </c>
      <c r="B518" s="2" t="s">
        <v>619</v>
      </c>
      <c r="C518" s="2" t="s">
        <v>26</v>
      </c>
      <c r="D518" s="2" t="s">
        <v>122</v>
      </c>
      <c r="E518" s="2" t="s">
        <v>22</v>
      </c>
      <c r="F518" s="2">
        <v>28</v>
      </c>
      <c r="G518" s="2">
        <v>8606.23</v>
      </c>
      <c r="H518" s="2">
        <v>307.37</v>
      </c>
      <c r="I518" s="2" t="s">
        <v>2831</v>
      </c>
      <c r="J518" s="2">
        <v>337</v>
      </c>
      <c r="K518" s="2" t="s">
        <v>13</v>
      </c>
      <c r="L518" s="2" t="s">
        <v>23</v>
      </c>
      <c r="M518" s="2" t="s">
        <v>41</v>
      </c>
      <c r="N518" s="2" t="s">
        <v>17</v>
      </c>
    </row>
    <row r="519" spans="1:14" x14ac:dyDescent="0.3">
      <c r="A519" s="3" t="s">
        <v>9325</v>
      </c>
      <c r="B519" s="3" t="s">
        <v>2147</v>
      </c>
      <c r="C519" s="3" t="s">
        <v>33</v>
      </c>
      <c r="D519" s="3" t="s">
        <v>193</v>
      </c>
      <c r="E519" s="3" t="s">
        <v>39</v>
      </c>
      <c r="F519" s="3">
        <v>16</v>
      </c>
      <c r="G519" s="3">
        <v>88059.11</v>
      </c>
      <c r="H519" s="3">
        <v>5503.69</v>
      </c>
      <c r="I519" s="3" t="s">
        <v>3544</v>
      </c>
      <c r="J519" s="3">
        <v>174</v>
      </c>
      <c r="K519" s="3" t="s">
        <v>27</v>
      </c>
      <c r="L519" s="3" t="s">
        <v>47</v>
      </c>
      <c r="M519" s="3" t="s">
        <v>24</v>
      </c>
      <c r="N519" s="3" t="s">
        <v>32</v>
      </c>
    </row>
    <row r="520" spans="1:14" x14ac:dyDescent="0.3">
      <c r="A520" s="2" t="s">
        <v>9326</v>
      </c>
      <c r="B520" s="2" t="s">
        <v>412</v>
      </c>
      <c r="C520" s="2" t="s">
        <v>33</v>
      </c>
      <c r="D520" s="2" t="s">
        <v>148</v>
      </c>
      <c r="E520" s="2" t="s">
        <v>29</v>
      </c>
      <c r="F520" s="2">
        <v>30</v>
      </c>
      <c r="G520" s="2">
        <v>184944.48</v>
      </c>
      <c r="H520" s="2">
        <v>6164.82</v>
      </c>
      <c r="I520" s="2" t="s">
        <v>2327</v>
      </c>
      <c r="J520" s="2">
        <v>110</v>
      </c>
      <c r="K520" s="2" t="s">
        <v>28</v>
      </c>
      <c r="L520" s="2" t="s">
        <v>15</v>
      </c>
      <c r="M520" s="2" t="s">
        <v>16</v>
      </c>
      <c r="N520" s="2" t="s">
        <v>32</v>
      </c>
    </row>
    <row r="521" spans="1:14" x14ac:dyDescent="0.3">
      <c r="A521" s="3" t="s">
        <v>9327</v>
      </c>
      <c r="B521" s="3" t="s">
        <v>5584</v>
      </c>
      <c r="C521" s="3" t="s">
        <v>42</v>
      </c>
      <c r="D521" s="3" t="s">
        <v>834</v>
      </c>
      <c r="E521" s="3" t="s">
        <v>29</v>
      </c>
      <c r="F521" s="3">
        <v>11</v>
      </c>
      <c r="G521" s="3">
        <v>188655.71</v>
      </c>
      <c r="H521" s="3">
        <v>17150.52</v>
      </c>
      <c r="I521" s="3" t="s">
        <v>3670</v>
      </c>
      <c r="J521" s="3">
        <v>181</v>
      </c>
      <c r="K521" s="3" t="s">
        <v>19</v>
      </c>
      <c r="L521" s="3" t="s">
        <v>30</v>
      </c>
      <c r="M521" s="3" t="s">
        <v>16</v>
      </c>
      <c r="N521" s="3" t="s">
        <v>17</v>
      </c>
    </row>
    <row r="522" spans="1:14" x14ac:dyDescent="0.3">
      <c r="A522" s="2" t="s">
        <v>9328</v>
      </c>
      <c r="B522" s="2" t="s">
        <v>2305</v>
      </c>
      <c r="C522" s="2" t="s">
        <v>42</v>
      </c>
      <c r="D522" s="2" t="s">
        <v>283</v>
      </c>
      <c r="E522" s="2" t="s">
        <v>22</v>
      </c>
      <c r="F522" s="2">
        <v>20</v>
      </c>
      <c r="G522" s="2">
        <v>33249.78</v>
      </c>
      <c r="H522" s="2">
        <v>1662.49</v>
      </c>
      <c r="I522" s="2" t="s">
        <v>1322</v>
      </c>
      <c r="J522" s="2">
        <v>16</v>
      </c>
      <c r="K522" s="2" t="s">
        <v>28</v>
      </c>
      <c r="L522" s="2" t="s">
        <v>30</v>
      </c>
      <c r="M522" s="2" t="s">
        <v>31</v>
      </c>
      <c r="N522" s="2" t="s">
        <v>25</v>
      </c>
    </row>
    <row r="523" spans="1:14" x14ac:dyDescent="0.3">
      <c r="A523" s="3" t="s">
        <v>9329</v>
      </c>
      <c r="B523" s="3" t="s">
        <v>300</v>
      </c>
      <c r="C523" s="3" t="s">
        <v>18</v>
      </c>
      <c r="D523" s="3" t="s">
        <v>254</v>
      </c>
      <c r="E523" s="3" t="s">
        <v>22</v>
      </c>
      <c r="F523" s="3">
        <v>2</v>
      </c>
      <c r="G523" s="3">
        <v>96759.31</v>
      </c>
      <c r="H523" s="3">
        <v>48379.65</v>
      </c>
      <c r="I523" s="3" t="s">
        <v>1750</v>
      </c>
      <c r="J523" s="3">
        <v>27</v>
      </c>
      <c r="K523" s="3" t="s">
        <v>28</v>
      </c>
      <c r="L523" s="3" t="s">
        <v>15</v>
      </c>
      <c r="M523" s="3" t="s">
        <v>24</v>
      </c>
      <c r="N523" s="3" t="s">
        <v>25</v>
      </c>
    </row>
    <row r="524" spans="1:14" x14ac:dyDescent="0.3">
      <c r="A524" s="2" t="s">
        <v>9330</v>
      </c>
      <c r="B524" s="2" t="s">
        <v>1011</v>
      </c>
      <c r="C524" s="2" t="s">
        <v>26</v>
      </c>
      <c r="D524" s="2" t="s">
        <v>215</v>
      </c>
      <c r="E524" s="2" t="s">
        <v>14</v>
      </c>
      <c r="F524" s="2">
        <v>11</v>
      </c>
      <c r="G524" s="2">
        <v>108892.22</v>
      </c>
      <c r="H524" s="2">
        <v>9899.2900000000009</v>
      </c>
      <c r="I524" s="2" t="s">
        <v>5191</v>
      </c>
      <c r="J524" s="2">
        <v>14</v>
      </c>
      <c r="K524" s="2" t="s">
        <v>27</v>
      </c>
      <c r="L524" s="2" t="s">
        <v>15</v>
      </c>
      <c r="M524" s="2" t="s">
        <v>16</v>
      </c>
      <c r="N524" s="2" t="s">
        <v>25</v>
      </c>
    </row>
    <row r="525" spans="1:14" x14ac:dyDescent="0.3">
      <c r="A525" s="3" t="s">
        <v>9331</v>
      </c>
      <c r="B525" s="3" t="s">
        <v>733</v>
      </c>
      <c r="C525" s="3" t="s">
        <v>18</v>
      </c>
      <c r="D525" s="3" t="s">
        <v>712</v>
      </c>
      <c r="E525" s="3" t="s">
        <v>14</v>
      </c>
      <c r="F525" s="3">
        <v>5</v>
      </c>
      <c r="G525" s="3">
        <v>193484.61</v>
      </c>
      <c r="H525" s="3">
        <v>38696.92</v>
      </c>
      <c r="I525" s="3" t="s">
        <v>1119</v>
      </c>
      <c r="J525" s="3">
        <v>183</v>
      </c>
      <c r="K525" s="3" t="s">
        <v>27</v>
      </c>
      <c r="L525" s="3" t="s">
        <v>30</v>
      </c>
      <c r="M525" s="3" t="s">
        <v>16</v>
      </c>
      <c r="N525" s="3" t="s">
        <v>17</v>
      </c>
    </row>
    <row r="526" spans="1:14" x14ac:dyDescent="0.3">
      <c r="A526" s="2" t="s">
        <v>9332</v>
      </c>
      <c r="B526" s="2" t="s">
        <v>450</v>
      </c>
      <c r="C526" s="2" t="s">
        <v>18</v>
      </c>
      <c r="D526" s="2" t="s">
        <v>834</v>
      </c>
      <c r="E526" s="2" t="s">
        <v>29</v>
      </c>
      <c r="F526" s="2">
        <v>20</v>
      </c>
      <c r="G526" s="2">
        <v>146385.53</v>
      </c>
      <c r="H526" s="2">
        <v>7319.28</v>
      </c>
      <c r="I526" s="2" t="s">
        <v>2408</v>
      </c>
      <c r="J526" s="2">
        <v>158</v>
      </c>
      <c r="K526" s="2" t="s">
        <v>28</v>
      </c>
      <c r="L526" s="2" t="s">
        <v>40</v>
      </c>
      <c r="M526" s="2" t="s">
        <v>16</v>
      </c>
      <c r="N526" s="2" t="s">
        <v>32</v>
      </c>
    </row>
    <row r="527" spans="1:14" x14ac:dyDescent="0.3">
      <c r="A527" s="3" t="s">
        <v>9333</v>
      </c>
      <c r="B527" s="3" t="s">
        <v>2339</v>
      </c>
      <c r="C527" s="3" t="s">
        <v>18</v>
      </c>
      <c r="D527" s="3" t="s">
        <v>148</v>
      </c>
      <c r="E527" s="3" t="s">
        <v>29</v>
      </c>
      <c r="F527" s="3">
        <v>20</v>
      </c>
      <c r="G527" s="3">
        <v>41483.17</v>
      </c>
      <c r="H527" s="3">
        <v>2074.16</v>
      </c>
      <c r="I527" s="3" t="s">
        <v>948</v>
      </c>
      <c r="J527" s="3">
        <v>73</v>
      </c>
      <c r="K527" s="3" t="s">
        <v>19</v>
      </c>
      <c r="L527" s="3" t="s">
        <v>40</v>
      </c>
      <c r="M527" s="3" t="s">
        <v>31</v>
      </c>
      <c r="N527" s="3" t="s">
        <v>25</v>
      </c>
    </row>
    <row r="528" spans="1:14" x14ac:dyDescent="0.3">
      <c r="A528" s="2" t="s">
        <v>9334</v>
      </c>
      <c r="B528" s="2" t="s">
        <v>563</v>
      </c>
      <c r="C528" s="2" t="s">
        <v>26</v>
      </c>
      <c r="D528" s="2" t="s">
        <v>283</v>
      </c>
      <c r="E528" s="2" t="s">
        <v>22</v>
      </c>
      <c r="F528" s="2">
        <v>1</v>
      </c>
      <c r="G528" s="2">
        <v>22463.55</v>
      </c>
      <c r="H528" s="2">
        <v>22463.55</v>
      </c>
      <c r="I528" s="2" t="s">
        <v>280</v>
      </c>
      <c r="J528" s="2">
        <v>350</v>
      </c>
      <c r="K528" s="2" t="s">
        <v>28</v>
      </c>
      <c r="L528" s="2" t="s">
        <v>43</v>
      </c>
      <c r="M528" s="2" t="s">
        <v>31</v>
      </c>
      <c r="N528" s="2" t="s">
        <v>17</v>
      </c>
    </row>
    <row r="529" spans="1:14" x14ac:dyDescent="0.3">
      <c r="A529" s="3" t="s">
        <v>9335</v>
      </c>
      <c r="B529" s="3" t="s">
        <v>680</v>
      </c>
      <c r="C529" s="3" t="s">
        <v>26</v>
      </c>
      <c r="D529" s="3" t="s">
        <v>95</v>
      </c>
      <c r="E529" s="3" t="s">
        <v>14</v>
      </c>
      <c r="F529" s="3">
        <v>1</v>
      </c>
      <c r="G529" s="3">
        <v>83419.87</v>
      </c>
      <c r="H529" s="3">
        <v>83419.87</v>
      </c>
      <c r="I529" s="3" t="s">
        <v>894</v>
      </c>
      <c r="J529" s="3">
        <v>192</v>
      </c>
      <c r="K529" s="3" t="s">
        <v>13</v>
      </c>
      <c r="L529" s="3" t="s">
        <v>23</v>
      </c>
      <c r="M529" s="3" t="s">
        <v>24</v>
      </c>
      <c r="N529" s="3" t="s">
        <v>17</v>
      </c>
    </row>
    <row r="530" spans="1:14" x14ac:dyDescent="0.3">
      <c r="A530" s="2" t="s">
        <v>9336</v>
      </c>
      <c r="B530" s="2" t="s">
        <v>1068</v>
      </c>
      <c r="C530" s="2" t="s">
        <v>18</v>
      </c>
      <c r="D530" s="2" t="s">
        <v>171</v>
      </c>
      <c r="E530" s="2" t="s">
        <v>14</v>
      </c>
      <c r="F530" s="2">
        <v>9</v>
      </c>
      <c r="G530" s="2">
        <v>171209.43</v>
      </c>
      <c r="H530" s="2">
        <v>19023.27</v>
      </c>
      <c r="I530" s="2" t="s">
        <v>1041</v>
      </c>
      <c r="J530" s="2">
        <v>92</v>
      </c>
      <c r="K530" s="2" t="s">
        <v>19</v>
      </c>
      <c r="L530" s="2" t="s">
        <v>48</v>
      </c>
      <c r="M530" s="2" t="s">
        <v>16</v>
      </c>
      <c r="N530" s="2" t="s">
        <v>32</v>
      </c>
    </row>
    <row r="531" spans="1:14" x14ac:dyDescent="0.3">
      <c r="A531" s="3" t="s">
        <v>9337</v>
      </c>
      <c r="B531" s="3" t="s">
        <v>2141</v>
      </c>
      <c r="C531" s="3" t="s">
        <v>26</v>
      </c>
      <c r="D531" s="3" t="s">
        <v>324</v>
      </c>
      <c r="E531" s="3" t="s">
        <v>39</v>
      </c>
      <c r="F531" s="3">
        <v>2</v>
      </c>
      <c r="G531" s="3">
        <v>91715.78</v>
      </c>
      <c r="H531" s="3">
        <v>45857.89</v>
      </c>
      <c r="I531" s="3" t="s">
        <v>857</v>
      </c>
      <c r="J531" s="3">
        <v>213</v>
      </c>
      <c r="K531" s="3" t="s">
        <v>19</v>
      </c>
      <c r="L531" s="3" t="s">
        <v>47</v>
      </c>
      <c r="M531" s="3" t="s">
        <v>24</v>
      </c>
      <c r="N531" s="3" t="s">
        <v>17</v>
      </c>
    </row>
    <row r="532" spans="1:14" x14ac:dyDescent="0.3">
      <c r="A532" s="2" t="s">
        <v>9338</v>
      </c>
      <c r="B532" s="2" t="s">
        <v>4964</v>
      </c>
      <c r="C532" s="2" t="s">
        <v>26</v>
      </c>
      <c r="D532" s="2" t="s">
        <v>95</v>
      </c>
      <c r="E532" s="2" t="s">
        <v>14</v>
      </c>
      <c r="F532" s="2">
        <v>19</v>
      </c>
      <c r="G532" s="2">
        <v>13605.08</v>
      </c>
      <c r="H532" s="2">
        <v>716.06</v>
      </c>
      <c r="I532" s="2" t="s">
        <v>2106</v>
      </c>
      <c r="J532" s="2">
        <v>125</v>
      </c>
      <c r="K532" s="2" t="s">
        <v>28</v>
      </c>
      <c r="L532" s="2" t="s">
        <v>23</v>
      </c>
      <c r="M532" s="2" t="s">
        <v>31</v>
      </c>
      <c r="N532" s="2" t="s">
        <v>32</v>
      </c>
    </row>
    <row r="533" spans="1:14" x14ac:dyDescent="0.3">
      <c r="A533" s="3" t="s">
        <v>9339</v>
      </c>
      <c r="B533" s="3" t="s">
        <v>260</v>
      </c>
      <c r="C533" s="3" t="s">
        <v>42</v>
      </c>
      <c r="D533" s="3" t="s">
        <v>171</v>
      </c>
      <c r="E533" s="3" t="s">
        <v>14</v>
      </c>
      <c r="F533" s="3">
        <v>19</v>
      </c>
      <c r="G533" s="3">
        <v>189632.79</v>
      </c>
      <c r="H533" s="3">
        <v>9980.67</v>
      </c>
      <c r="I533" s="3" t="s">
        <v>253</v>
      </c>
      <c r="J533" s="3">
        <v>9</v>
      </c>
      <c r="K533" s="3" t="s">
        <v>21</v>
      </c>
      <c r="L533" s="3" t="s">
        <v>40</v>
      </c>
      <c r="M533" s="3" t="s">
        <v>16</v>
      </c>
      <c r="N533" s="3" t="s">
        <v>25</v>
      </c>
    </row>
    <row r="534" spans="1:14" x14ac:dyDescent="0.3">
      <c r="A534" s="2" t="s">
        <v>9340</v>
      </c>
      <c r="B534" s="2" t="s">
        <v>521</v>
      </c>
      <c r="C534" s="2" t="s">
        <v>42</v>
      </c>
      <c r="D534" s="2" t="s">
        <v>215</v>
      </c>
      <c r="E534" s="2" t="s">
        <v>14</v>
      </c>
      <c r="F534" s="2">
        <v>12</v>
      </c>
      <c r="G534" s="2">
        <v>121652.44</v>
      </c>
      <c r="H534" s="2">
        <v>10137.700000000001</v>
      </c>
      <c r="I534" s="2" t="s">
        <v>1295</v>
      </c>
      <c r="J534" s="2">
        <v>97</v>
      </c>
      <c r="K534" s="2" t="s">
        <v>28</v>
      </c>
      <c r="L534" s="2" t="s">
        <v>47</v>
      </c>
      <c r="M534" s="2" t="s">
        <v>16</v>
      </c>
      <c r="N534" s="2" t="s">
        <v>32</v>
      </c>
    </row>
    <row r="535" spans="1:14" x14ac:dyDescent="0.3">
      <c r="A535" s="3" t="s">
        <v>9341</v>
      </c>
      <c r="B535" s="3" t="s">
        <v>2305</v>
      </c>
      <c r="C535" s="3" t="s">
        <v>42</v>
      </c>
      <c r="D535" s="3" t="s">
        <v>109</v>
      </c>
      <c r="E535" s="3" t="s">
        <v>39</v>
      </c>
      <c r="F535" s="3">
        <v>20</v>
      </c>
      <c r="G535" s="3">
        <v>170032.81</v>
      </c>
      <c r="H535" s="3">
        <v>8501.64</v>
      </c>
      <c r="I535" s="3" t="s">
        <v>3802</v>
      </c>
      <c r="J535" s="3">
        <v>145</v>
      </c>
      <c r="K535" s="3" t="s">
        <v>21</v>
      </c>
      <c r="L535" s="3" t="s">
        <v>43</v>
      </c>
      <c r="M535" s="3" t="s">
        <v>16</v>
      </c>
      <c r="N535" s="3" t="s">
        <v>32</v>
      </c>
    </row>
    <row r="536" spans="1:14" x14ac:dyDescent="0.3">
      <c r="A536" s="2" t="s">
        <v>9342</v>
      </c>
      <c r="B536" s="2" t="s">
        <v>1159</v>
      </c>
      <c r="C536" s="2" t="s">
        <v>33</v>
      </c>
      <c r="D536" s="2" t="s">
        <v>314</v>
      </c>
      <c r="E536" s="2" t="s">
        <v>39</v>
      </c>
      <c r="F536" s="2">
        <v>29</v>
      </c>
      <c r="G536" s="2">
        <v>69110.11</v>
      </c>
      <c r="H536" s="2">
        <v>2383.11</v>
      </c>
      <c r="I536" s="2" t="s">
        <v>2525</v>
      </c>
      <c r="J536" s="2">
        <v>306</v>
      </c>
      <c r="K536" s="2" t="s">
        <v>27</v>
      </c>
      <c r="L536" s="2" t="s">
        <v>47</v>
      </c>
      <c r="M536" s="2" t="s">
        <v>24</v>
      </c>
      <c r="N536" s="2" t="s">
        <v>17</v>
      </c>
    </row>
    <row r="537" spans="1:14" x14ac:dyDescent="0.3">
      <c r="A537" s="3" t="s">
        <v>9343</v>
      </c>
      <c r="B537" s="3" t="s">
        <v>1792</v>
      </c>
      <c r="C537" s="3" t="s">
        <v>18</v>
      </c>
      <c r="D537" s="3" t="s">
        <v>225</v>
      </c>
      <c r="E537" s="3" t="s">
        <v>39</v>
      </c>
      <c r="F537" s="3">
        <v>19</v>
      </c>
      <c r="G537" s="3">
        <v>167561.43</v>
      </c>
      <c r="H537" s="3">
        <v>8819.02</v>
      </c>
      <c r="I537" s="3" t="s">
        <v>1906</v>
      </c>
      <c r="J537" s="3">
        <v>47</v>
      </c>
      <c r="K537" s="3" t="s">
        <v>27</v>
      </c>
      <c r="L537" s="3" t="s">
        <v>43</v>
      </c>
      <c r="M537" s="3" t="s">
        <v>16</v>
      </c>
      <c r="N537" s="3" t="s">
        <v>25</v>
      </c>
    </row>
    <row r="538" spans="1:14" x14ac:dyDescent="0.3">
      <c r="A538" s="2" t="s">
        <v>9344</v>
      </c>
      <c r="B538" s="2" t="s">
        <v>3865</v>
      </c>
      <c r="C538" s="2" t="s">
        <v>42</v>
      </c>
      <c r="D538" s="2" t="s">
        <v>109</v>
      </c>
      <c r="E538" s="2" t="s">
        <v>39</v>
      </c>
      <c r="F538" s="2">
        <v>25</v>
      </c>
      <c r="G538" s="2">
        <v>160188.84</v>
      </c>
      <c r="H538" s="2">
        <v>6407.55</v>
      </c>
      <c r="I538" s="2" t="s">
        <v>2900</v>
      </c>
      <c r="J538" s="2">
        <v>275</v>
      </c>
      <c r="K538" s="2" t="s">
        <v>19</v>
      </c>
      <c r="L538" s="2" t="s">
        <v>40</v>
      </c>
      <c r="M538" s="2" t="s">
        <v>16</v>
      </c>
      <c r="N538" s="2" t="s">
        <v>17</v>
      </c>
    </row>
    <row r="539" spans="1:14" x14ac:dyDescent="0.3">
      <c r="A539" s="3" t="s">
        <v>9345</v>
      </c>
      <c r="B539" s="3" t="s">
        <v>1492</v>
      </c>
      <c r="C539" s="3" t="s">
        <v>42</v>
      </c>
      <c r="D539" s="3" t="s">
        <v>283</v>
      </c>
      <c r="E539" s="3" t="s">
        <v>22</v>
      </c>
      <c r="F539" s="3">
        <v>25</v>
      </c>
      <c r="G539" s="3">
        <v>155987.39000000001</v>
      </c>
      <c r="H539" s="3">
        <v>6239.5</v>
      </c>
      <c r="I539" s="3" t="s">
        <v>1047</v>
      </c>
      <c r="J539" s="3">
        <v>44</v>
      </c>
      <c r="K539" s="3" t="s">
        <v>19</v>
      </c>
      <c r="L539" s="3" t="s">
        <v>43</v>
      </c>
      <c r="M539" s="3" t="s">
        <v>16</v>
      </c>
      <c r="N539" s="3" t="s">
        <v>25</v>
      </c>
    </row>
    <row r="540" spans="1:14" x14ac:dyDescent="0.3">
      <c r="A540" s="2" t="s">
        <v>3137</v>
      </c>
      <c r="B540" s="2" t="s">
        <v>840</v>
      </c>
      <c r="C540" s="2" t="s">
        <v>18</v>
      </c>
      <c r="D540" s="2" t="s">
        <v>183</v>
      </c>
      <c r="E540" s="2" t="s">
        <v>14</v>
      </c>
      <c r="F540" s="2">
        <v>5</v>
      </c>
      <c r="G540" s="2">
        <v>37959.5</v>
      </c>
      <c r="H540" s="2">
        <v>7591.9</v>
      </c>
      <c r="I540" s="2" t="s">
        <v>272</v>
      </c>
      <c r="J540" s="2">
        <v>324</v>
      </c>
      <c r="K540" s="2" t="s">
        <v>19</v>
      </c>
      <c r="L540" s="2" t="s">
        <v>30</v>
      </c>
      <c r="M540" s="2" t="s">
        <v>31</v>
      </c>
      <c r="N540" s="2" t="s">
        <v>17</v>
      </c>
    </row>
    <row r="541" spans="1:14" x14ac:dyDescent="0.3">
      <c r="A541" s="3" t="s">
        <v>9346</v>
      </c>
      <c r="B541" s="3" t="s">
        <v>1273</v>
      </c>
      <c r="C541" s="3" t="s">
        <v>42</v>
      </c>
      <c r="D541" s="3" t="s">
        <v>225</v>
      </c>
      <c r="E541" s="3" t="s">
        <v>39</v>
      </c>
      <c r="F541" s="3">
        <v>27</v>
      </c>
      <c r="G541" s="3">
        <v>188869.4</v>
      </c>
      <c r="H541" s="3">
        <v>6995.16</v>
      </c>
      <c r="I541" s="3" t="s">
        <v>1213</v>
      </c>
      <c r="J541" s="3">
        <v>119</v>
      </c>
      <c r="K541" s="3" t="s">
        <v>27</v>
      </c>
      <c r="L541" s="3" t="s">
        <v>40</v>
      </c>
      <c r="M541" s="3" t="s">
        <v>16</v>
      </c>
      <c r="N541" s="3" t="s">
        <v>32</v>
      </c>
    </row>
    <row r="542" spans="1:14" x14ac:dyDescent="0.3">
      <c r="A542" s="2" t="s">
        <v>9347</v>
      </c>
      <c r="B542" s="2" t="s">
        <v>707</v>
      </c>
      <c r="C542" s="2" t="s">
        <v>42</v>
      </c>
      <c r="D542" s="2" t="s">
        <v>225</v>
      </c>
      <c r="E542" s="2" t="s">
        <v>39</v>
      </c>
      <c r="F542" s="2">
        <v>30</v>
      </c>
      <c r="G542" s="2">
        <v>161591.29999999999</v>
      </c>
      <c r="H542" s="2">
        <v>5386.38</v>
      </c>
      <c r="I542" s="2" t="s">
        <v>2227</v>
      </c>
      <c r="J542" s="2">
        <v>292</v>
      </c>
      <c r="K542" s="2" t="s">
        <v>27</v>
      </c>
      <c r="L542" s="2" t="s">
        <v>47</v>
      </c>
      <c r="M542" s="2" t="s">
        <v>16</v>
      </c>
      <c r="N542" s="2" t="s">
        <v>17</v>
      </c>
    </row>
    <row r="543" spans="1:14" x14ac:dyDescent="0.3">
      <c r="A543" s="3" t="s">
        <v>9348</v>
      </c>
      <c r="B543" s="3" t="s">
        <v>642</v>
      </c>
      <c r="C543" s="3" t="s">
        <v>18</v>
      </c>
      <c r="D543" s="3" t="s">
        <v>171</v>
      </c>
      <c r="E543" s="3" t="s">
        <v>14</v>
      </c>
      <c r="F543" s="3">
        <v>15</v>
      </c>
      <c r="G543" s="3">
        <v>7723.33</v>
      </c>
      <c r="H543" s="3">
        <v>514.89</v>
      </c>
      <c r="I543" s="3" t="s">
        <v>1997</v>
      </c>
      <c r="J543" s="3">
        <v>266</v>
      </c>
      <c r="K543" s="3" t="s">
        <v>13</v>
      </c>
      <c r="L543" s="3" t="s">
        <v>30</v>
      </c>
      <c r="M543" s="3" t="s">
        <v>41</v>
      </c>
      <c r="N543" s="3" t="s">
        <v>17</v>
      </c>
    </row>
    <row r="544" spans="1:14" x14ac:dyDescent="0.3">
      <c r="A544" s="2" t="s">
        <v>9349</v>
      </c>
      <c r="B544" s="2" t="s">
        <v>2877</v>
      </c>
      <c r="C544" s="2" t="s">
        <v>18</v>
      </c>
      <c r="D544" s="2" t="s">
        <v>283</v>
      </c>
      <c r="E544" s="2" t="s">
        <v>22</v>
      </c>
      <c r="F544" s="2">
        <v>6</v>
      </c>
      <c r="G544" s="2">
        <v>134633.85999999999</v>
      </c>
      <c r="H544" s="2">
        <v>22438.98</v>
      </c>
      <c r="I544" s="2" t="s">
        <v>5900</v>
      </c>
      <c r="J544" s="2">
        <v>65</v>
      </c>
      <c r="K544" s="2" t="s">
        <v>27</v>
      </c>
      <c r="L544" s="2" t="s">
        <v>47</v>
      </c>
      <c r="M544" s="2" t="s">
        <v>16</v>
      </c>
      <c r="N544" s="2" t="s">
        <v>25</v>
      </c>
    </row>
    <row r="545" spans="1:14" x14ac:dyDescent="0.3">
      <c r="A545" s="3" t="s">
        <v>9350</v>
      </c>
      <c r="B545" s="3" t="s">
        <v>1326</v>
      </c>
      <c r="C545" s="3" t="s">
        <v>33</v>
      </c>
      <c r="D545" s="3" t="s">
        <v>95</v>
      </c>
      <c r="E545" s="3" t="s">
        <v>14</v>
      </c>
      <c r="F545" s="3">
        <v>13</v>
      </c>
      <c r="G545" s="3">
        <v>139973.51999999999</v>
      </c>
      <c r="H545" s="3">
        <v>10767.19</v>
      </c>
      <c r="I545" s="3" t="s">
        <v>3614</v>
      </c>
      <c r="J545" s="3">
        <v>50</v>
      </c>
      <c r="K545" s="3" t="s">
        <v>19</v>
      </c>
      <c r="L545" s="3" t="s">
        <v>15</v>
      </c>
      <c r="M545" s="3" t="s">
        <v>16</v>
      </c>
      <c r="N545" s="3" t="s">
        <v>25</v>
      </c>
    </row>
    <row r="546" spans="1:14" x14ac:dyDescent="0.3">
      <c r="A546" s="2" t="s">
        <v>9351</v>
      </c>
      <c r="B546" s="2" t="s">
        <v>651</v>
      </c>
      <c r="C546" s="2" t="s">
        <v>26</v>
      </c>
      <c r="D546" s="2" t="s">
        <v>834</v>
      </c>
      <c r="E546" s="2" t="s">
        <v>29</v>
      </c>
      <c r="F546" s="2">
        <v>1</v>
      </c>
      <c r="G546" s="2">
        <v>86452.93</v>
      </c>
      <c r="H546" s="2">
        <v>86452.93</v>
      </c>
      <c r="I546" s="2" t="s">
        <v>894</v>
      </c>
      <c r="J546" s="2">
        <v>192</v>
      </c>
      <c r="K546" s="2" t="s">
        <v>28</v>
      </c>
      <c r="L546" s="2" t="s">
        <v>43</v>
      </c>
      <c r="M546" s="2" t="s">
        <v>24</v>
      </c>
      <c r="N546" s="2" t="s">
        <v>17</v>
      </c>
    </row>
    <row r="547" spans="1:14" x14ac:dyDescent="0.3">
      <c r="A547" s="3" t="s">
        <v>9352</v>
      </c>
      <c r="B547" s="3" t="s">
        <v>1911</v>
      </c>
      <c r="C547" s="3" t="s">
        <v>26</v>
      </c>
      <c r="D547" s="3" t="s">
        <v>834</v>
      </c>
      <c r="E547" s="3" t="s">
        <v>29</v>
      </c>
      <c r="F547" s="3">
        <v>30</v>
      </c>
      <c r="G547" s="3">
        <v>155166.49</v>
      </c>
      <c r="H547" s="3">
        <v>5172.22</v>
      </c>
      <c r="I547" s="3" t="s">
        <v>3675</v>
      </c>
      <c r="J547" s="3">
        <v>237</v>
      </c>
      <c r="K547" s="3" t="s">
        <v>13</v>
      </c>
      <c r="L547" s="3" t="s">
        <v>47</v>
      </c>
      <c r="M547" s="3" t="s">
        <v>16</v>
      </c>
      <c r="N547" s="3" t="s">
        <v>17</v>
      </c>
    </row>
    <row r="548" spans="1:14" x14ac:dyDescent="0.3">
      <c r="A548" s="2" t="s">
        <v>790</v>
      </c>
      <c r="B548" s="2" t="s">
        <v>422</v>
      </c>
      <c r="C548" s="2" t="s">
        <v>26</v>
      </c>
      <c r="D548" s="2" t="s">
        <v>334</v>
      </c>
      <c r="E548" s="2" t="s">
        <v>29</v>
      </c>
      <c r="F548" s="2">
        <v>22</v>
      </c>
      <c r="G548" s="2">
        <v>96515.21</v>
      </c>
      <c r="H548" s="2">
        <v>4387.0600000000004</v>
      </c>
      <c r="I548" s="2" t="s">
        <v>3560</v>
      </c>
      <c r="J548" s="2">
        <v>137</v>
      </c>
      <c r="K548" s="2" t="s">
        <v>13</v>
      </c>
      <c r="L548" s="2" t="s">
        <v>23</v>
      </c>
      <c r="M548" s="2" t="s">
        <v>24</v>
      </c>
      <c r="N548" s="2" t="s">
        <v>32</v>
      </c>
    </row>
    <row r="549" spans="1:14" x14ac:dyDescent="0.3">
      <c r="A549" s="3" t="s">
        <v>9353</v>
      </c>
      <c r="B549" s="3" t="s">
        <v>1730</v>
      </c>
      <c r="C549" s="3" t="s">
        <v>42</v>
      </c>
      <c r="D549" s="3" t="s">
        <v>160</v>
      </c>
      <c r="E549" s="3" t="s">
        <v>29</v>
      </c>
      <c r="F549" s="3">
        <v>27</v>
      </c>
      <c r="G549" s="3">
        <v>177930.13</v>
      </c>
      <c r="H549" s="3">
        <v>6590</v>
      </c>
      <c r="I549" s="3" t="s">
        <v>975</v>
      </c>
      <c r="J549" s="3">
        <v>69</v>
      </c>
      <c r="K549" s="3" t="s">
        <v>28</v>
      </c>
      <c r="L549" s="3" t="s">
        <v>48</v>
      </c>
      <c r="M549" s="3" t="s">
        <v>16</v>
      </c>
      <c r="N549" s="3" t="s">
        <v>25</v>
      </c>
    </row>
    <row r="550" spans="1:14" x14ac:dyDescent="0.3">
      <c r="A550" s="2" t="s">
        <v>2755</v>
      </c>
      <c r="B550" s="2" t="s">
        <v>840</v>
      </c>
      <c r="C550" s="2" t="s">
        <v>42</v>
      </c>
      <c r="D550" s="2" t="s">
        <v>427</v>
      </c>
      <c r="E550" s="2" t="s">
        <v>29</v>
      </c>
      <c r="F550" s="2">
        <v>28</v>
      </c>
      <c r="G550" s="2">
        <v>196906.81</v>
      </c>
      <c r="H550" s="2">
        <v>7032.39</v>
      </c>
      <c r="I550" s="2" t="s">
        <v>947</v>
      </c>
      <c r="J550" s="2">
        <v>79</v>
      </c>
      <c r="K550" s="2" t="s">
        <v>28</v>
      </c>
      <c r="L550" s="2" t="s">
        <v>30</v>
      </c>
      <c r="M550" s="2" t="s">
        <v>16</v>
      </c>
      <c r="N550" s="2" t="s">
        <v>25</v>
      </c>
    </row>
    <row r="551" spans="1:14" x14ac:dyDescent="0.3">
      <c r="A551" s="3" t="s">
        <v>1357</v>
      </c>
      <c r="B551" s="3" t="s">
        <v>1246</v>
      </c>
      <c r="C551" s="3" t="s">
        <v>18</v>
      </c>
      <c r="D551" s="3" t="s">
        <v>834</v>
      </c>
      <c r="E551" s="3" t="s">
        <v>29</v>
      </c>
      <c r="F551" s="3">
        <v>3</v>
      </c>
      <c r="G551" s="3">
        <v>94617.77</v>
      </c>
      <c r="H551" s="3">
        <v>31539.26</v>
      </c>
      <c r="I551" s="3" t="s">
        <v>4132</v>
      </c>
      <c r="J551" s="3">
        <v>222</v>
      </c>
      <c r="K551" s="3" t="s">
        <v>13</v>
      </c>
      <c r="L551" s="3" t="s">
        <v>30</v>
      </c>
      <c r="M551" s="3" t="s">
        <v>24</v>
      </c>
      <c r="N551" s="3" t="s">
        <v>17</v>
      </c>
    </row>
    <row r="552" spans="1:14" x14ac:dyDescent="0.3">
      <c r="A552" s="2" t="s">
        <v>5554</v>
      </c>
      <c r="B552" s="2" t="s">
        <v>200</v>
      </c>
      <c r="C552" s="2" t="s">
        <v>33</v>
      </c>
      <c r="D552" s="2" t="s">
        <v>834</v>
      </c>
      <c r="E552" s="2" t="s">
        <v>29</v>
      </c>
      <c r="F552" s="2">
        <v>7</v>
      </c>
      <c r="G552" s="2">
        <v>147622.70000000001</v>
      </c>
      <c r="H552" s="2">
        <v>21088.959999999999</v>
      </c>
      <c r="I552" s="2" t="s">
        <v>1256</v>
      </c>
      <c r="J552" s="2">
        <v>153</v>
      </c>
      <c r="K552" s="2" t="s">
        <v>28</v>
      </c>
      <c r="L552" s="2" t="s">
        <v>43</v>
      </c>
      <c r="M552" s="2" t="s">
        <v>16</v>
      </c>
      <c r="N552" s="2" t="s">
        <v>32</v>
      </c>
    </row>
    <row r="553" spans="1:14" x14ac:dyDescent="0.3">
      <c r="A553" s="3" t="s">
        <v>9354</v>
      </c>
      <c r="B553" s="3" t="s">
        <v>782</v>
      </c>
      <c r="C553" s="3" t="s">
        <v>26</v>
      </c>
      <c r="D553" s="3" t="s">
        <v>122</v>
      </c>
      <c r="E553" s="3" t="s">
        <v>22</v>
      </c>
      <c r="F553" s="3">
        <v>11</v>
      </c>
      <c r="G553" s="3">
        <v>28147.59</v>
      </c>
      <c r="H553" s="3">
        <v>2558.87</v>
      </c>
      <c r="I553" s="3" t="s">
        <v>3707</v>
      </c>
      <c r="J553" s="3">
        <v>156</v>
      </c>
      <c r="K553" s="3" t="s">
        <v>27</v>
      </c>
      <c r="L553" s="3" t="s">
        <v>40</v>
      </c>
      <c r="M553" s="3" t="s">
        <v>31</v>
      </c>
      <c r="N553" s="3" t="s">
        <v>32</v>
      </c>
    </row>
    <row r="554" spans="1:14" x14ac:dyDescent="0.3">
      <c r="A554" s="2" t="s">
        <v>9355</v>
      </c>
      <c r="B554" s="2" t="s">
        <v>1451</v>
      </c>
      <c r="C554" s="2" t="s">
        <v>18</v>
      </c>
      <c r="D554" s="2" t="s">
        <v>95</v>
      </c>
      <c r="E554" s="2" t="s">
        <v>14</v>
      </c>
      <c r="F554" s="2">
        <v>10</v>
      </c>
      <c r="G554" s="2">
        <v>37014.35</v>
      </c>
      <c r="H554" s="2">
        <v>3701.43</v>
      </c>
      <c r="I554" s="2" t="s">
        <v>3669</v>
      </c>
      <c r="J554" s="2">
        <v>186</v>
      </c>
      <c r="K554" s="2" t="s">
        <v>19</v>
      </c>
      <c r="L554" s="2" t="s">
        <v>30</v>
      </c>
      <c r="M554" s="2" t="s">
        <v>31</v>
      </c>
      <c r="N554" s="2" t="s">
        <v>17</v>
      </c>
    </row>
    <row r="555" spans="1:14" x14ac:dyDescent="0.3">
      <c r="A555" s="3" t="s">
        <v>9356</v>
      </c>
      <c r="B555" s="3" t="s">
        <v>695</v>
      </c>
      <c r="C555" s="3" t="s">
        <v>26</v>
      </c>
      <c r="D555" s="3" t="s">
        <v>193</v>
      </c>
      <c r="E555" s="3" t="s">
        <v>39</v>
      </c>
      <c r="F555" s="3">
        <v>12</v>
      </c>
      <c r="G555" s="3">
        <v>109669.59</v>
      </c>
      <c r="H555" s="3">
        <v>9139.1299999999992</v>
      </c>
      <c r="I555" s="3" t="s">
        <v>7475</v>
      </c>
      <c r="J555" s="3">
        <v>150</v>
      </c>
      <c r="K555" s="3" t="s">
        <v>19</v>
      </c>
      <c r="L555" s="3" t="s">
        <v>48</v>
      </c>
      <c r="M555" s="3" t="s">
        <v>16</v>
      </c>
      <c r="N555" s="3" t="s">
        <v>32</v>
      </c>
    </row>
    <row r="556" spans="1:14" x14ac:dyDescent="0.3">
      <c r="A556" s="2" t="s">
        <v>3346</v>
      </c>
      <c r="B556" s="2" t="s">
        <v>231</v>
      </c>
      <c r="C556" s="2" t="s">
        <v>26</v>
      </c>
      <c r="D556" s="2" t="s">
        <v>183</v>
      </c>
      <c r="E556" s="2" t="s">
        <v>14</v>
      </c>
      <c r="F556" s="2">
        <v>26</v>
      </c>
      <c r="G556" s="2">
        <v>151833.48000000001</v>
      </c>
      <c r="H556" s="2">
        <v>5839.75</v>
      </c>
      <c r="I556" s="2" t="s">
        <v>2752</v>
      </c>
      <c r="J556" s="2">
        <v>255</v>
      </c>
      <c r="K556" s="2" t="s">
        <v>21</v>
      </c>
      <c r="L556" s="2" t="s">
        <v>40</v>
      </c>
      <c r="M556" s="2" t="s">
        <v>16</v>
      </c>
      <c r="N556" s="2" t="s">
        <v>17</v>
      </c>
    </row>
    <row r="557" spans="1:14" x14ac:dyDescent="0.3">
      <c r="A557" s="3" t="s">
        <v>9357</v>
      </c>
      <c r="B557" s="3" t="s">
        <v>1371</v>
      </c>
      <c r="C557" s="3" t="s">
        <v>33</v>
      </c>
      <c r="D557" s="3" t="s">
        <v>109</v>
      </c>
      <c r="E557" s="3" t="s">
        <v>39</v>
      </c>
      <c r="F557" s="3">
        <v>17</v>
      </c>
      <c r="G557" s="3">
        <v>159427.28</v>
      </c>
      <c r="H557" s="3">
        <v>9378.08</v>
      </c>
      <c r="I557" s="3" t="s">
        <v>514</v>
      </c>
      <c r="J557" s="3">
        <v>59</v>
      </c>
      <c r="K557" s="3" t="s">
        <v>21</v>
      </c>
      <c r="L557" s="3" t="s">
        <v>47</v>
      </c>
      <c r="M557" s="3" t="s">
        <v>16</v>
      </c>
      <c r="N557" s="3" t="s">
        <v>25</v>
      </c>
    </row>
    <row r="558" spans="1:14" x14ac:dyDescent="0.3">
      <c r="A558" s="2" t="s">
        <v>9358</v>
      </c>
      <c r="B558" s="2" t="s">
        <v>695</v>
      </c>
      <c r="C558" s="2" t="s">
        <v>18</v>
      </c>
      <c r="D558" s="2" t="s">
        <v>171</v>
      </c>
      <c r="E558" s="2" t="s">
        <v>14</v>
      </c>
      <c r="F558" s="2">
        <v>13</v>
      </c>
      <c r="G558" s="2">
        <v>6283.25</v>
      </c>
      <c r="H558" s="2">
        <v>483.33</v>
      </c>
      <c r="I558" s="2" t="s">
        <v>203</v>
      </c>
      <c r="J558" s="2">
        <v>106</v>
      </c>
      <c r="K558" s="2" t="s">
        <v>13</v>
      </c>
      <c r="L558" s="2" t="s">
        <v>30</v>
      </c>
      <c r="M558" s="2" t="s">
        <v>41</v>
      </c>
      <c r="N558" s="2" t="s">
        <v>32</v>
      </c>
    </row>
    <row r="559" spans="1:14" x14ac:dyDescent="0.3">
      <c r="A559" s="3" t="s">
        <v>9359</v>
      </c>
      <c r="B559" s="3" t="s">
        <v>1955</v>
      </c>
      <c r="C559" s="3" t="s">
        <v>42</v>
      </c>
      <c r="D559" s="3" t="s">
        <v>334</v>
      </c>
      <c r="E559" s="3" t="s">
        <v>29</v>
      </c>
      <c r="F559" s="3">
        <v>24</v>
      </c>
      <c r="G559" s="3">
        <v>39843.47</v>
      </c>
      <c r="H559" s="3">
        <v>1660.14</v>
      </c>
      <c r="I559" s="3" t="s">
        <v>5082</v>
      </c>
      <c r="J559" s="3">
        <v>143</v>
      </c>
      <c r="K559" s="3" t="s">
        <v>13</v>
      </c>
      <c r="L559" s="3" t="s">
        <v>43</v>
      </c>
      <c r="M559" s="3" t="s">
        <v>31</v>
      </c>
      <c r="N559" s="3" t="s">
        <v>32</v>
      </c>
    </row>
    <row r="560" spans="1:14" x14ac:dyDescent="0.3">
      <c r="A560" s="2" t="s">
        <v>9360</v>
      </c>
      <c r="B560" s="2" t="s">
        <v>1597</v>
      </c>
      <c r="C560" s="2" t="s">
        <v>33</v>
      </c>
      <c r="D560" s="2" t="s">
        <v>443</v>
      </c>
      <c r="E560" s="2" t="s">
        <v>22</v>
      </c>
      <c r="F560" s="2">
        <v>18</v>
      </c>
      <c r="G560" s="2">
        <v>23879.07</v>
      </c>
      <c r="H560" s="2">
        <v>1326.62</v>
      </c>
      <c r="I560" s="2" t="s">
        <v>1329</v>
      </c>
      <c r="J560" s="2">
        <v>331</v>
      </c>
      <c r="K560" s="2" t="s">
        <v>21</v>
      </c>
      <c r="L560" s="2" t="s">
        <v>47</v>
      </c>
      <c r="M560" s="2" t="s">
        <v>31</v>
      </c>
      <c r="N560" s="2" t="s">
        <v>17</v>
      </c>
    </row>
    <row r="561" spans="1:14" x14ac:dyDescent="0.3">
      <c r="A561" s="3" t="s">
        <v>9361</v>
      </c>
      <c r="B561" s="3" t="s">
        <v>707</v>
      </c>
      <c r="C561" s="3" t="s">
        <v>33</v>
      </c>
      <c r="D561" s="3" t="s">
        <v>314</v>
      </c>
      <c r="E561" s="3" t="s">
        <v>39</v>
      </c>
      <c r="F561" s="3">
        <v>8</v>
      </c>
      <c r="G561" s="3">
        <v>140765.23000000001</v>
      </c>
      <c r="H561" s="3">
        <v>17595.650000000001</v>
      </c>
      <c r="I561" s="3" t="s">
        <v>311</v>
      </c>
      <c r="J561" s="3">
        <v>75</v>
      </c>
      <c r="K561" s="3" t="s">
        <v>28</v>
      </c>
      <c r="L561" s="3" t="s">
        <v>48</v>
      </c>
      <c r="M561" s="3" t="s">
        <v>16</v>
      </c>
      <c r="N561" s="3" t="s">
        <v>25</v>
      </c>
    </row>
    <row r="562" spans="1:14" x14ac:dyDescent="0.3">
      <c r="A562" s="2" t="s">
        <v>9362</v>
      </c>
      <c r="B562" s="2" t="s">
        <v>1131</v>
      </c>
      <c r="C562" s="2" t="s">
        <v>18</v>
      </c>
      <c r="D562" s="2" t="s">
        <v>834</v>
      </c>
      <c r="E562" s="2" t="s">
        <v>29</v>
      </c>
      <c r="F562" s="2">
        <v>8</v>
      </c>
      <c r="G562" s="2">
        <v>39209.699999999997</v>
      </c>
      <c r="H562" s="2">
        <v>4901.21</v>
      </c>
      <c r="I562" s="2" t="s">
        <v>2101</v>
      </c>
      <c r="J562" s="2">
        <v>303</v>
      </c>
      <c r="K562" s="2" t="s">
        <v>27</v>
      </c>
      <c r="L562" s="2" t="s">
        <v>40</v>
      </c>
      <c r="M562" s="2" t="s">
        <v>31</v>
      </c>
      <c r="N562" s="2" t="s">
        <v>17</v>
      </c>
    </row>
    <row r="563" spans="1:14" x14ac:dyDescent="0.3">
      <c r="A563" s="3" t="s">
        <v>9363</v>
      </c>
      <c r="B563" s="3" t="s">
        <v>2729</v>
      </c>
      <c r="C563" s="3" t="s">
        <v>42</v>
      </c>
      <c r="D563" s="3" t="s">
        <v>443</v>
      </c>
      <c r="E563" s="3" t="s">
        <v>22</v>
      </c>
      <c r="F563" s="3">
        <v>12</v>
      </c>
      <c r="G563" s="3">
        <v>110650.96</v>
      </c>
      <c r="H563" s="3">
        <v>9220.91</v>
      </c>
      <c r="I563" s="3" t="s">
        <v>1221</v>
      </c>
      <c r="J563" s="3">
        <v>245</v>
      </c>
      <c r="K563" s="3" t="s">
        <v>28</v>
      </c>
      <c r="L563" s="3" t="s">
        <v>23</v>
      </c>
      <c r="M563" s="3" t="s">
        <v>16</v>
      </c>
      <c r="N563" s="3" t="s">
        <v>17</v>
      </c>
    </row>
    <row r="564" spans="1:14" x14ac:dyDescent="0.3">
      <c r="A564" s="2" t="s">
        <v>9364</v>
      </c>
      <c r="B564" s="2" t="s">
        <v>1326</v>
      </c>
      <c r="C564" s="2" t="s">
        <v>33</v>
      </c>
      <c r="D564" s="2" t="s">
        <v>254</v>
      </c>
      <c r="E564" s="2" t="s">
        <v>22</v>
      </c>
      <c r="F564" s="2">
        <v>25</v>
      </c>
      <c r="G564" s="2">
        <v>175634.8</v>
      </c>
      <c r="H564" s="2">
        <v>7025.39</v>
      </c>
      <c r="I564" s="2" t="s">
        <v>7080</v>
      </c>
      <c r="J564" s="2">
        <v>101</v>
      </c>
      <c r="K564" s="2" t="s">
        <v>27</v>
      </c>
      <c r="L564" s="2" t="s">
        <v>47</v>
      </c>
      <c r="M564" s="2" t="s">
        <v>16</v>
      </c>
      <c r="N564" s="2" t="s">
        <v>32</v>
      </c>
    </row>
    <row r="565" spans="1:14" x14ac:dyDescent="0.3">
      <c r="A565" s="3" t="s">
        <v>6885</v>
      </c>
      <c r="B565" s="3" t="s">
        <v>5584</v>
      </c>
      <c r="C565" s="3" t="s">
        <v>42</v>
      </c>
      <c r="D565" s="3" t="s">
        <v>254</v>
      </c>
      <c r="E565" s="3" t="s">
        <v>22</v>
      </c>
      <c r="F565" s="3">
        <v>10</v>
      </c>
      <c r="G565" s="3">
        <v>184692.5</v>
      </c>
      <c r="H565" s="3">
        <v>18469.25</v>
      </c>
      <c r="I565" s="3" t="s">
        <v>381</v>
      </c>
      <c r="J565" s="3">
        <v>182</v>
      </c>
      <c r="K565" s="3" t="s">
        <v>27</v>
      </c>
      <c r="L565" s="3" t="s">
        <v>47</v>
      </c>
      <c r="M565" s="3" t="s">
        <v>16</v>
      </c>
      <c r="N565" s="3" t="s">
        <v>17</v>
      </c>
    </row>
    <row r="566" spans="1:14" x14ac:dyDescent="0.3">
      <c r="A566" s="2" t="s">
        <v>9365</v>
      </c>
      <c r="B566" s="2" t="s">
        <v>4049</v>
      </c>
      <c r="C566" s="2" t="s">
        <v>26</v>
      </c>
      <c r="D566" s="2" t="s">
        <v>314</v>
      </c>
      <c r="E566" s="2" t="s">
        <v>39</v>
      </c>
      <c r="F566" s="2">
        <v>10</v>
      </c>
      <c r="G566" s="2">
        <v>57029.82</v>
      </c>
      <c r="H566" s="2">
        <v>5702.98</v>
      </c>
      <c r="I566" s="2" t="s">
        <v>1264</v>
      </c>
      <c r="J566" s="2">
        <v>248</v>
      </c>
      <c r="K566" s="2" t="s">
        <v>13</v>
      </c>
      <c r="L566" s="2" t="s">
        <v>30</v>
      </c>
      <c r="M566" s="2" t="s">
        <v>24</v>
      </c>
      <c r="N566" s="2" t="s">
        <v>17</v>
      </c>
    </row>
    <row r="567" spans="1:14" x14ac:dyDescent="0.3">
      <c r="A567" s="3" t="s">
        <v>9366</v>
      </c>
      <c r="B567" s="3" t="s">
        <v>603</v>
      </c>
      <c r="C567" s="3" t="s">
        <v>26</v>
      </c>
      <c r="D567" s="3" t="s">
        <v>712</v>
      </c>
      <c r="E567" s="3" t="s">
        <v>14</v>
      </c>
      <c r="F567" s="3">
        <v>1</v>
      </c>
      <c r="G567" s="3">
        <v>110570.53</v>
      </c>
      <c r="H567" s="3">
        <v>110570.53</v>
      </c>
      <c r="I567" s="3" t="s">
        <v>2365</v>
      </c>
      <c r="J567" s="3">
        <v>356</v>
      </c>
      <c r="K567" s="3" t="s">
        <v>27</v>
      </c>
      <c r="L567" s="3" t="s">
        <v>47</v>
      </c>
      <c r="M567" s="3" t="s">
        <v>16</v>
      </c>
      <c r="N567" s="3" t="s">
        <v>17</v>
      </c>
    </row>
    <row r="568" spans="1:14" x14ac:dyDescent="0.3">
      <c r="A568" s="2" t="s">
        <v>2621</v>
      </c>
      <c r="B568" s="2" t="s">
        <v>1350</v>
      </c>
      <c r="C568" s="2" t="s">
        <v>18</v>
      </c>
      <c r="D568" s="2" t="s">
        <v>834</v>
      </c>
      <c r="E568" s="2" t="s">
        <v>29</v>
      </c>
      <c r="F568" s="2">
        <v>4</v>
      </c>
      <c r="G568" s="2">
        <v>61802.559999999998</v>
      </c>
      <c r="H568" s="2">
        <v>15450.64</v>
      </c>
      <c r="I568" s="2" t="s">
        <v>2063</v>
      </c>
      <c r="J568" s="2">
        <v>46</v>
      </c>
      <c r="K568" s="2" t="s">
        <v>21</v>
      </c>
      <c r="L568" s="2" t="s">
        <v>40</v>
      </c>
      <c r="M568" s="2" t="s">
        <v>24</v>
      </c>
      <c r="N568" s="2" t="s">
        <v>25</v>
      </c>
    </row>
    <row r="569" spans="1:14" x14ac:dyDescent="0.3">
      <c r="A569" s="3" t="s">
        <v>9367</v>
      </c>
      <c r="B569" s="3" t="s">
        <v>1484</v>
      </c>
      <c r="C569" s="3" t="s">
        <v>42</v>
      </c>
      <c r="D569" s="3" t="s">
        <v>171</v>
      </c>
      <c r="E569" s="3" t="s">
        <v>14</v>
      </c>
      <c r="F569" s="3">
        <v>16</v>
      </c>
      <c r="G569" s="3">
        <v>156572.25</v>
      </c>
      <c r="H569" s="3">
        <v>9785.77</v>
      </c>
      <c r="I569" s="3" t="s">
        <v>3133</v>
      </c>
      <c r="J569" s="3">
        <v>202</v>
      </c>
      <c r="K569" s="3" t="s">
        <v>19</v>
      </c>
      <c r="L569" s="3" t="s">
        <v>43</v>
      </c>
      <c r="M569" s="3" t="s">
        <v>16</v>
      </c>
      <c r="N569" s="3" t="s">
        <v>17</v>
      </c>
    </row>
    <row r="570" spans="1:14" x14ac:dyDescent="0.3">
      <c r="A570" s="2" t="s">
        <v>9368</v>
      </c>
      <c r="B570" s="2" t="s">
        <v>774</v>
      </c>
      <c r="C570" s="2" t="s">
        <v>42</v>
      </c>
      <c r="D570" s="2" t="s">
        <v>171</v>
      </c>
      <c r="E570" s="2" t="s">
        <v>14</v>
      </c>
      <c r="F570" s="2">
        <v>26</v>
      </c>
      <c r="G570" s="2">
        <v>179033.37</v>
      </c>
      <c r="H570" s="2">
        <v>6885.9</v>
      </c>
      <c r="I570" s="2" t="s">
        <v>454</v>
      </c>
      <c r="J570" s="2">
        <v>360</v>
      </c>
      <c r="K570" s="2" t="s">
        <v>19</v>
      </c>
      <c r="L570" s="2" t="s">
        <v>40</v>
      </c>
      <c r="M570" s="2" t="s">
        <v>16</v>
      </c>
      <c r="N570" s="2" t="s">
        <v>17</v>
      </c>
    </row>
    <row r="571" spans="1:14" x14ac:dyDescent="0.3">
      <c r="A571" s="3" t="s">
        <v>9369</v>
      </c>
      <c r="B571" s="3" t="s">
        <v>733</v>
      </c>
      <c r="C571" s="3" t="s">
        <v>42</v>
      </c>
      <c r="D571" s="3" t="s">
        <v>160</v>
      </c>
      <c r="E571" s="3" t="s">
        <v>29</v>
      </c>
      <c r="F571" s="3">
        <v>17</v>
      </c>
      <c r="G571" s="3">
        <v>21460.080000000002</v>
      </c>
      <c r="H571" s="3">
        <v>1262.3599999999999</v>
      </c>
      <c r="I571" s="3" t="s">
        <v>1255</v>
      </c>
      <c r="J571" s="3">
        <v>154</v>
      </c>
      <c r="K571" s="3" t="s">
        <v>27</v>
      </c>
      <c r="L571" s="3" t="s">
        <v>47</v>
      </c>
      <c r="M571" s="3" t="s">
        <v>31</v>
      </c>
      <c r="N571" s="3" t="s">
        <v>32</v>
      </c>
    </row>
    <row r="572" spans="1:14" x14ac:dyDescent="0.3">
      <c r="A572" s="2" t="s">
        <v>9370</v>
      </c>
      <c r="B572" s="2" t="s">
        <v>2534</v>
      </c>
      <c r="C572" s="2" t="s">
        <v>33</v>
      </c>
      <c r="D572" s="2" t="s">
        <v>738</v>
      </c>
      <c r="E572" s="2" t="s">
        <v>22</v>
      </c>
      <c r="F572" s="2">
        <v>19</v>
      </c>
      <c r="G572" s="2">
        <v>105520.85</v>
      </c>
      <c r="H572" s="2">
        <v>5553.73</v>
      </c>
      <c r="I572" s="2" t="s">
        <v>3797</v>
      </c>
      <c r="J572" s="2">
        <v>84</v>
      </c>
      <c r="K572" s="2" t="s">
        <v>28</v>
      </c>
      <c r="L572" s="2" t="s">
        <v>15</v>
      </c>
      <c r="M572" s="2" t="s">
        <v>16</v>
      </c>
      <c r="N572" s="2" t="s">
        <v>25</v>
      </c>
    </row>
    <row r="573" spans="1:14" x14ac:dyDescent="0.3">
      <c r="A573" s="3" t="s">
        <v>9371</v>
      </c>
      <c r="B573" s="3" t="s">
        <v>1419</v>
      </c>
      <c r="C573" s="3" t="s">
        <v>33</v>
      </c>
      <c r="D573" s="3" t="s">
        <v>324</v>
      </c>
      <c r="E573" s="3" t="s">
        <v>39</v>
      </c>
      <c r="F573" s="3">
        <v>17</v>
      </c>
      <c r="G573" s="3">
        <v>13397.15</v>
      </c>
      <c r="H573" s="3">
        <v>788.07</v>
      </c>
      <c r="I573" s="3" t="s">
        <v>5884</v>
      </c>
      <c r="J573" s="3">
        <v>287</v>
      </c>
      <c r="K573" s="3" t="s">
        <v>27</v>
      </c>
      <c r="L573" s="3" t="s">
        <v>30</v>
      </c>
      <c r="M573" s="3" t="s">
        <v>31</v>
      </c>
      <c r="N573" s="3" t="s">
        <v>17</v>
      </c>
    </row>
    <row r="574" spans="1:14" x14ac:dyDescent="0.3">
      <c r="A574" s="2" t="s">
        <v>3216</v>
      </c>
      <c r="B574" s="2" t="s">
        <v>1419</v>
      </c>
      <c r="C574" s="2" t="s">
        <v>18</v>
      </c>
      <c r="D574" s="2" t="s">
        <v>109</v>
      </c>
      <c r="E574" s="2" t="s">
        <v>39</v>
      </c>
      <c r="F574" s="2">
        <v>21</v>
      </c>
      <c r="G574" s="2">
        <v>162999.25</v>
      </c>
      <c r="H574" s="2">
        <v>7761.87</v>
      </c>
      <c r="I574" s="2" t="s">
        <v>2154</v>
      </c>
      <c r="J574" s="2">
        <v>227</v>
      </c>
      <c r="K574" s="2" t="s">
        <v>19</v>
      </c>
      <c r="L574" s="2" t="s">
        <v>30</v>
      </c>
      <c r="M574" s="2" t="s">
        <v>16</v>
      </c>
      <c r="N574" s="2" t="s">
        <v>17</v>
      </c>
    </row>
    <row r="575" spans="1:14" x14ac:dyDescent="0.3">
      <c r="A575" s="3" t="s">
        <v>9372</v>
      </c>
      <c r="B575" s="3" t="s">
        <v>2291</v>
      </c>
      <c r="C575" s="3" t="s">
        <v>18</v>
      </c>
      <c r="D575" s="3" t="s">
        <v>443</v>
      </c>
      <c r="E575" s="3" t="s">
        <v>22</v>
      </c>
      <c r="F575" s="3">
        <v>12</v>
      </c>
      <c r="G575" s="3">
        <v>120361.26</v>
      </c>
      <c r="H575" s="3">
        <v>10030.1</v>
      </c>
      <c r="I575" s="3" t="s">
        <v>1599</v>
      </c>
      <c r="J575" s="3">
        <v>171</v>
      </c>
      <c r="K575" s="3" t="s">
        <v>27</v>
      </c>
      <c r="L575" s="3" t="s">
        <v>47</v>
      </c>
      <c r="M575" s="3" t="s">
        <v>16</v>
      </c>
      <c r="N575" s="3" t="s">
        <v>32</v>
      </c>
    </row>
    <row r="576" spans="1:14" x14ac:dyDescent="0.3">
      <c r="A576" s="2" t="s">
        <v>6330</v>
      </c>
      <c r="B576" s="2" t="s">
        <v>377</v>
      </c>
      <c r="C576" s="2" t="s">
        <v>18</v>
      </c>
      <c r="D576" s="2" t="s">
        <v>283</v>
      </c>
      <c r="E576" s="2" t="s">
        <v>22</v>
      </c>
      <c r="F576" s="2">
        <v>16</v>
      </c>
      <c r="G576" s="2">
        <v>53779.69</v>
      </c>
      <c r="H576" s="2">
        <v>3361.23</v>
      </c>
      <c r="I576" s="2" t="s">
        <v>435</v>
      </c>
      <c r="J576" s="2">
        <v>66</v>
      </c>
      <c r="K576" s="2" t="s">
        <v>21</v>
      </c>
      <c r="L576" s="2" t="s">
        <v>43</v>
      </c>
      <c r="M576" s="2" t="s">
        <v>24</v>
      </c>
      <c r="N576" s="2" t="s">
        <v>25</v>
      </c>
    </row>
    <row r="577" spans="1:14" x14ac:dyDescent="0.3">
      <c r="A577" s="3" t="s">
        <v>9373</v>
      </c>
      <c r="B577" s="3" t="s">
        <v>536</v>
      </c>
      <c r="C577" s="3" t="s">
        <v>26</v>
      </c>
      <c r="D577" s="3" t="s">
        <v>443</v>
      </c>
      <c r="E577" s="3" t="s">
        <v>22</v>
      </c>
      <c r="F577" s="3">
        <v>30</v>
      </c>
      <c r="G577" s="3">
        <v>112097.25</v>
      </c>
      <c r="H577" s="3">
        <v>3736.57</v>
      </c>
      <c r="I577" s="3" t="s">
        <v>1776</v>
      </c>
      <c r="J577" s="3">
        <v>13</v>
      </c>
      <c r="K577" s="3" t="s">
        <v>19</v>
      </c>
      <c r="L577" s="3" t="s">
        <v>23</v>
      </c>
      <c r="M577" s="3" t="s">
        <v>16</v>
      </c>
      <c r="N577" s="3" t="s">
        <v>25</v>
      </c>
    </row>
    <row r="578" spans="1:14" x14ac:dyDescent="0.3">
      <c r="A578" s="2" t="s">
        <v>9374</v>
      </c>
      <c r="B578" s="2" t="s">
        <v>743</v>
      </c>
      <c r="C578" s="2" t="s">
        <v>42</v>
      </c>
      <c r="D578" s="2" t="s">
        <v>314</v>
      </c>
      <c r="E578" s="2" t="s">
        <v>39</v>
      </c>
      <c r="F578" s="2">
        <v>23</v>
      </c>
      <c r="G578" s="2">
        <v>183161.24</v>
      </c>
      <c r="H578" s="2">
        <v>7963.53</v>
      </c>
      <c r="I578" s="2" t="s">
        <v>885</v>
      </c>
      <c r="J578" s="2">
        <v>209</v>
      </c>
      <c r="K578" s="2" t="s">
        <v>21</v>
      </c>
      <c r="L578" s="2" t="s">
        <v>23</v>
      </c>
      <c r="M578" s="2" t="s">
        <v>16</v>
      </c>
      <c r="N578" s="2" t="s">
        <v>17</v>
      </c>
    </row>
    <row r="579" spans="1:14" x14ac:dyDescent="0.3">
      <c r="A579" s="3" t="s">
        <v>9375</v>
      </c>
      <c r="B579" s="3" t="s">
        <v>5584</v>
      </c>
      <c r="C579" s="3" t="s">
        <v>26</v>
      </c>
      <c r="D579" s="3" t="s">
        <v>148</v>
      </c>
      <c r="E579" s="3" t="s">
        <v>29</v>
      </c>
      <c r="F579" s="3">
        <v>14</v>
      </c>
      <c r="G579" s="3">
        <v>153609.63</v>
      </c>
      <c r="H579" s="3">
        <v>10972.12</v>
      </c>
      <c r="I579" s="3" t="s">
        <v>1894</v>
      </c>
      <c r="J579" s="3">
        <v>323</v>
      </c>
      <c r="K579" s="3" t="s">
        <v>21</v>
      </c>
      <c r="L579" s="3" t="s">
        <v>30</v>
      </c>
      <c r="M579" s="3" t="s">
        <v>16</v>
      </c>
      <c r="N579" s="3" t="s">
        <v>17</v>
      </c>
    </row>
    <row r="580" spans="1:14" x14ac:dyDescent="0.3">
      <c r="A580" s="2" t="s">
        <v>9376</v>
      </c>
      <c r="B580" s="2" t="s">
        <v>1981</v>
      </c>
      <c r="C580" s="2" t="s">
        <v>26</v>
      </c>
      <c r="D580" s="2" t="s">
        <v>95</v>
      </c>
      <c r="E580" s="2" t="s">
        <v>14</v>
      </c>
      <c r="F580" s="2">
        <v>12</v>
      </c>
      <c r="G580" s="2">
        <v>36710.21</v>
      </c>
      <c r="H580" s="2">
        <v>3059.18</v>
      </c>
      <c r="I580" s="2" t="s">
        <v>2712</v>
      </c>
      <c r="J580" s="2">
        <v>104</v>
      </c>
      <c r="K580" s="2" t="s">
        <v>28</v>
      </c>
      <c r="L580" s="2" t="s">
        <v>47</v>
      </c>
      <c r="M580" s="2" t="s">
        <v>31</v>
      </c>
      <c r="N580" s="2" t="s">
        <v>32</v>
      </c>
    </row>
    <row r="581" spans="1:14" x14ac:dyDescent="0.3">
      <c r="A581" s="3" t="s">
        <v>9377</v>
      </c>
      <c r="B581" s="3" t="s">
        <v>210</v>
      </c>
      <c r="C581" s="3" t="s">
        <v>18</v>
      </c>
      <c r="D581" s="3" t="s">
        <v>427</v>
      </c>
      <c r="E581" s="3" t="s">
        <v>29</v>
      </c>
      <c r="F581" s="3">
        <v>30</v>
      </c>
      <c r="G581" s="3">
        <v>33833.75</v>
      </c>
      <c r="H581" s="3">
        <v>1127.79</v>
      </c>
      <c r="I581" s="3" t="s">
        <v>168</v>
      </c>
      <c r="J581" s="3">
        <v>330</v>
      </c>
      <c r="K581" s="3" t="s">
        <v>13</v>
      </c>
      <c r="L581" s="3" t="s">
        <v>48</v>
      </c>
      <c r="M581" s="3" t="s">
        <v>31</v>
      </c>
      <c r="N581" s="3" t="s">
        <v>17</v>
      </c>
    </row>
    <row r="582" spans="1:14" x14ac:dyDescent="0.3">
      <c r="A582" s="2" t="s">
        <v>9378</v>
      </c>
      <c r="B582" s="2" t="s">
        <v>2141</v>
      </c>
      <c r="C582" s="2" t="s">
        <v>33</v>
      </c>
      <c r="D582" s="2" t="s">
        <v>712</v>
      </c>
      <c r="E582" s="2" t="s">
        <v>14</v>
      </c>
      <c r="F582" s="2">
        <v>24</v>
      </c>
      <c r="G582" s="2">
        <v>110779.63</v>
      </c>
      <c r="H582" s="2">
        <v>4615.82</v>
      </c>
      <c r="I582" s="2" t="s">
        <v>938</v>
      </c>
      <c r="J582" s="2">
        <v>230</v>
      </c>
      <c r="K582" s="2" t="s">
        <v>21</v>
      </c>
      <c r="L582" s="2" t="s">
        <v>23</v>
      </c>
      <c r="M582" s="2" t="s">
        <v>16</v>
      </c>
      <c r="N582" s="2" t="s">
        <v>17</v>
      </c>
    </row>
    <row r="583" spans="1:14" x14ac:dyDescent="0.3">
      <c r="A583" s="3" t="s">
        <v>9379</v>
      </c>
      <c r="B583" s="3" t="s">
        <v>2834</v>
      </c>
      <c r="C583" s="3" t="s">
        <v>42</v>
      </c>
      <c r="D583" s="3" t="s">
        <v>95</v>
      </c>
      <c r="E583" s="3" t="s">
        <v>14</v>
      </c>
      <c r="F583" s="3">
        <v>18</v>
      </c>
      <c r="G583" s="3">
        <v>173159.25</v>
      </c>
      <c r="H583" s="3">
        <v>9619.9599999999991</v>
      </c>
      <c r="I583" s="3" t="s">
        <v>7023</v>
      </c>
      <c r="J583" s="3">
        <v>142</v>
      </c>
      <c r="K583" s="3" t="s">
        <v>21</v>
      </c>
      <c r="L583" s="3" t="s">
        <v>30</v>
      </c>
      <c r="M583" s="3" t="s">
        <v>16</v>
      </c>
      <c r="N583" s="3" t="s">
        <v>32</v>
      </c>
    </row>
    <row r="584" spans="1:14" x14ac:dyDescent="0.3">
      <c r="A584" s="2" t="s">
        <v>9380</v>
      </c>
      <c r="B584" s="2" t="s">
        <v>774</v>
      </c>
      <c r="C584" s="2" t="s">
        <v>42</v>
      </c>
      <c r="D584" s="2" t="s">
        <v>160</v>
      </c>
      <c r="E584" s="2" t="s">
        <v>29</v>
      </c>
      <c r="F584" s="2">
        <v>25</v>
      </c>
      <c r="G584" s="2">
        <v>103027.06</v>
      </c>
      <c r="H584" s="2">
        <v>4121.08</v>
      </c>
      <c r="I584" s="2" t="s">
        <v>2554</v>
      </c>
      <c r="J584" s="2">
        <v>169</v>
      </c>
      <c r="K584" s="2" t="s">
        <v>28</v>
      </c>
      <c r="L584" s="2" t="s">
        <v>48</v>
      </c>
      <c r="M584" s="2" t="s">
        <v>16</v>
      </c>
      <c r="N584" s="2" t="s">
        <v>32</v>
      </c>
    </row>
    <row r="585" spans="1:14" x14ac:dyDescent="0.3">
      <c r="A585" s="3" t="s">
        <v>9381</v>
      </c>
      <c r="B585" s="3" t="s">
        <v>782</v>
      </c>
      <c r="C585" s="3" t="s">
        <v>18</v>
      </c>
      <c r="D585" s="3" t="s">
        <v>193</v>
      </c>
      <c r="E585" s="3" t="s">
        <v>39</v>
      </c>
      <c r="F585" s="3">
        <v>30</v>
      </c>
      <c r="G585" s="3">
        <v>139503.22</v>
      </c>
      <c r="H585" s="3">
        <v>4650.1099999999997</v>
      </c>
      <c r="I585" s="3" t="s">
        <v>1776</v>
      </c>
      <c r="J585" s="3">
        <v>13</v>
      </c>
      <c r="K585" s="3" t="s">
        <v>13</v>
      </c>
      <c r="L585" s="3" t="s">
        <v>47</v>
      </c>
      <c r="M585" s="3" t="s">
        <v>16</v>
      </c>
      <c r="N585" s="3" t="s">
        <v>25</v>
      </c>
    </row>
    <row r="586" spans="1:14" x14ac:dyDescent="0.3">
      <c r="A586" s="2" t="s">
        <v>9382</v>
      </c>
      <c r="B586" s="2" t="s">
        <v>1159</v>
      </c>
      <c r="C586" s="2" t="s">
        <v>18</v>
      </c>
      <c r="D586" s="2" t="s">
        <v>427</v>
      </c>
      <c r="E586" s="2" t="s">
        <v>29</v>
      </c>
      <c r="F586" s="2">
        <v>6</v>
      </c>
      <c r="G586" s="2">
        <v>17776.95</v>
      </c>
      <c r="H586" s="2">
        <v>2962.83</v>
      </c>
      <c r="I586" s="2" t="s">
        <v>1185</v>
      </c>
      <c r="J586" s="2">
        <v>134</v>
      </c>
      <c r="K586" s="2" t="s">
        <v>28</v>
      </c>
      <c r="L586" s="2" t="s">
        <v>30</v>
      </c>
      <c r="M586" s="2" t="s">
        <v>31</v>
      </c>
      <c r="N586" s="2" t="s">
        <v>32</v>
      </c>
    </row>
    <row r="587" spans="1:14" x14ac:dyDescent="0.3">
      <c r="A587" s="3" t="s">
        <v>9383</v>
      </c>
      <c r="B587" s="3" t="s">
        <v>1311</v>
      </c>
      <c r="C587" s="3" t="s">
        <v>42</v>
      </c>
      <c r="D587" s="3" t="s">
        <v>314</v>
      </c>
      <c r="E587" s="3" t="s">
        <v>39</v>
      </c>
      <c r="F587" s="3">
        <v>12</v>
      </c>
      <c r="G587" s="3">
        <v>37919.379999999997</v>
      </c>
      <c r="H587" s="3">
        <v>3159.95</v>
      </c>
      <c r="I587" s="3" t="s">
        <v>1695</v>
      </c>
      <c r="J587" s="3">
        <v>353</v>
      </c>
      <c r="K587" s="3" t="s">
        <v>27</v>
      </c>
      <c r="L587" s="3" t="s">
        <v>40</v>
      </c>
      <c r="M587" s="3" t="s">
        <v>31</v>
      </c>
      <c r="N587" s="3" t="s">
        <v>17</v>
      </c>
    </row>
    <row r="588" spans="1:14" x14ac:dyDescent="0.3">
      <c r="A588" s="2" t="s">
        <v>2557</v>
      </c>
      <c r="B588" s="2" t="s">
        <v>2151</v>
      </c>
      <c r="C588" s="2" t="s">
        <v>42</v>
      </c>
      <c r="D588" s="2" t="s">
        <v>183</v>
      </c>
      <c r="E588" s="2" t="s">
        <v>14</v>
      </c>
      <c r="F588" s="2">
        <v>9</v>
      </c>
      <c r="G588" s="2">
        <v>95467.27</v>
      </c>
      <c r="H588" s="2">
        <v>10607.47</v>
      </c>
      <c r="I588" s="2" t="s">
        <v>801</v>
      </c>
      <c r="J588" s="2">
        <v>196</v>
      </c>
      <c r="K588" s="2" t="s">
        <v>28</v>
      </c>
      <c r="L588" s="2" t="s">
        <v>43</v>
      </c>
      <c r="M588" s="2" t="s">
        <v>24</v>
      </c>
      <c r="N588" s="2" t="s">
        <v>17</v>
      </c>
    </row>
    <row r="589" spans="1:14" x14ac:dyDescent="0.3">
      <c r="A589" s="3" t="s">
        <v>9384</v>
      </c>
      <c r="B589" s="3" t="s">
        <v>1782</v>
      </c>
      <c r="C589" s="3" t="s">
        <v>33</v>
      </c>
      <c r="D589" s="3" t="s">
        <v>183</v>
      </c>
      <c r="E589" s="3" t="s">
        <v>14</v>
      </c>
      <c r="F589" s="3">
        <v>6</v>
      </c>
      <c r="G589" s="3">
        <v>93950.53</v>
      </c>
      <c r="H589" s="3">
        <v>15658.42</v>
      </c>
      <c r="I589" s="3" t="s">
        <v>132</v>
      </c>
      <c r="J589" s="3">
        <v>118</v>
      </c>
      <c r="K589" s="3" t="s">
        <v>13</v>
      </c>
      <c r="L589" s="3" t="s">
        <v>48</v>
      </c>
      <c r="M589" s="3" t="s">
        <v>24</v>
      </c>
      <c r="N589" s="3" t="s">
        <v>32</v>
      </c>
    </row>
    <row r="590" spans="1:14" x14ac:dyDescent="0.3">
      <c r="A590" s="2" t="s">
        <v>9385</v>
      </c>
      <c r="B590" s="2" t="s">
        <v>1742</v>
      </c>
      <c r="C590" s="2" t="s">
        <v>33</v>
      </c>
      <c r="D590" s="2" t="s">
        <v>314</v>
      </c>
      <c r="E590" s="2" t="s">
        <v>39</v>
      </c>
      <c r="F590" s="2">
        <v>2</v>
      </c>
      <c r="G590" s="2">
        <v>3688.99</v>
      </c>
      <c r="H590" s="2">
        <v>1844.49</v>
      </c>
      <c r="I590" s="2" t="s">
        <v>778</v>
      </c>
      <c r="J590" s="2">
        <v>82</v>
      </c>
      <c r="K590" s="2" t="s">
        <v>13</v>
      </c>
      <c r="L590" s="2" t="s">
        <v>47</v>
      </c>
      <c r="M590" s="2" t="s">
        <v>41</v>
      </c>
      <c r="N590" s="2" t="s">
        <v>25</v>
      </c>
    </row>
    <row r="591" spans="1:14" x14ac:dyDescent="0.3">
      <c r="A591" s="3" t="s">
        <v>9386</v>
      </c>
      <c r="B591" s="3" t="s">
        <v>642</v>
      </c>
      <c r="C591" s="3" t="s">
        <v>18</v>
      </c>
      <c r="D591" s="3" t="s">
        <v>443</v>
      </c>
      <c r="E591" s="3" t="s">
        <v>22</v>
      </c>
      <c r="F591" s="3">
        <v>12</v>
      </c>
      <c r="G591" s="3">
        <v>81038.8</v>
      </c>
      <c r="H591" s="3">
        <v>6753.23</v>
      </c>
      <c r="I591" s="3" t="s">
        <v>3708</v>
      </c>
      <c r="J591" s="3">
        <v>149</v>
      </c>
      <c r="K591" s="3" t="s">
        <v>13</v>
      </c>
      <c r="L591" s="3" t="s">
        <v>47</v>
      </c>
      <c r="M591" s="3" t="s">
        <v>24</v>
      </c>
      <c r="N591" s="3" t="s">
        <v>32</v>
      </c>
    </row>
    <row r="592" spans="1:14" x14ac:dyDescent="0.3">
      <c r="A592" s="2" t="s">
        <v>3371</v>
      </c>
      <c r="B592" s="2" t="s">
        <v>1019</v>
      </c>
      <c r="C592" s="2" t="s">
        <v>26</v>
      </c>
      <c r="D592" s="2" t="s">
        <v>738</v>
      </c>
      <c r="E592" s="2" t="s">
        <v>22</v>
      </c>
      <c r="F592" s="2">
        <v>18</v>
      </c>
      <c r="G592" s="2">
        <v>98697.05</v>
      </c>
      <c r="H592" s="2">
        <v>5483.17</v>
      </c>
      <c r="I592" s="2" t="s">
        <v>886</v>
      </c>
      <c r="J592" s="2">
        <v>207</v>
      </c>
      <c r="K592" s="2" t="s">
        <v>19</v>
      </c>
      <c r="L592" s="2" t="s">
        <v>30</v>
      </c>
      <c r="M592" s="2" t="s">
        <v>24</v>
      </c>
      <c r="N592" s="2" t="s">
        <v>17</v>
      </c>
    </row>
    <row r="593" spans="1:14" x14ac:dyDescent="0.3">
      <c r="A593" s="3" t="s">
        <v>9387</v>
      </c>
      <c r="B593" s="3" t="s">
        <v>2124</v>
      </c>
      <c r="C593" s="3" t="s">
        <v>18</v>
      </c>
      <c r="D593" s="3" t="s">
        <v>109</v>
      </c>
      <c r="E593" s="3" t="s">
        <v>39</v>
      </c>
      <c r="F593" s="3">
        <v>22</v>
      </c>
      <c r="G593" s="3">
        <v>106249.11</v>
      </c>
      <c r="H593" s="3">
        <v>4829.51</v>
      </c>
      <c r="I593" s="3" t="s">
        <v>1402</v>
      </c>
      <c r="J593" s="3">
        <v>139</v>
      </c>
      <c r="K593" s="3" t="s">
        <v>13</v>
      </c>
      <c r="L593" s="3" t="s">
        <v>23</v>
      </c>
      <c r="M593" s="3" t="s">
        <v>16</v>
      </c>
      <c r="N593" s="3" t="s">
        <v>32</v>
      </c>
    </row>
    <row r="594" spans="1:14" x14ac:dyDescent="0.3">
      <c r="A594" s="2" t="s">
        <v>9388</v>
      </c>
      <c r="B594" s="2" t="s">
        <v>2110</v>
      </c>
      <c r="C594" s="2" t="s">
        <v>26</v>
      </c>
      <c r="D594" s="2" t="s">
        <v>443</v>
      </c>
      <c r="E594" s="2" t="s">
        <v>22</v>
      </c>
      <c r="F594" s="2">
        <v>2</v>
      </c>
      <c r="G594" s="2">
        <v>194954.62</v>
      </c>
      <c r="H594" s="2">
        <v>97477.31</v>
      </c>
      <c r="I594" s="2" t="s">
        <v>2328</v>
      </c>
      <c r="J594" s="2">
        <v>105</v>
      </c>
      <c r="K594" s="2" t="s">
        <v>27</v>
      </c>
      <c r="L594" s="2" t="s">
        <v>15</v>
      </c>
      <c r="M594" s="2" t="s">
        <v>16</v>
      </c>
      <c r="N594" s="2" t="s">
        <v>32</v>
      </c>
    </row>
    <row r="595" spans="1:14" x14ac:dyDescent="0.3">
      <c r="A595" s="3" t="s">
        <v>9389</v>
      </c>
      <c r="B595" s="3" t="s">
        <v>782</v>
      </c>
      <c r="C595" s="3" t="s">
        <v>26</v>
      </c>
      <c r="D595" s="3" t="s">
        <v>834</v>
      </c>
      <c r="E595" s="3" t="s">
        <v>29</v>
      </c>
      <c r="F595" s="3">
        <v>17</v>
      </c>
      <c r="G595" s="3">
        <v>124968.7</v>
      </c>
      <c r="H595" s="3">
        <v>7351.1</v>
      </c>
      <c r="I595" s="3" t="s">
        <v>3561</v>
      </c>
      <c r="J595" s="3">
        <v>131</v>
      </c>
      <c r="K595" s="3" t="s">
        <v>27</v>
      </c>
      <c r="L595" s="3" t="s">
        <v>23</v>
      </c>
      <c r="M595" s="3" t="s">
        <v>16</v>
      </c>
      <c r="N595" s="3" t="s">
        <v>32</v>
      </c>
    </row>
    <row r="596" spans="1:14" x14ac:dyDescent="0.3">
      <c r="A596" s="2" t="s">
        <v>9390</v>
      </c>
      <c r="B596" s="2" t="s">
        <v>2231</v>
      </c>
      <c r="C596" s="2" t="s">
        <v>26</v>
      </c>
      <c r="D596" s="2" t="s">
        <v>324</v>
      </c>
      <c r="E596" s="2" t="s">
        <v>39</v>
      </c>
      <c r="F596" s="2">
        <v>9</v>
      </c>
      <c r="G596" s="2">
        <v>125489.75</v>
      </c>
      <c r="H596" s="2">
        <v>13943.31</v>
      </c>
      <c r="I596" s="2" t="s">
        <v>5136</v>
      </c>
      <c r="J596" s="2">
        <v>11</v>
      </c>
      <c r="K596" s="2" t="s">
        <v>13</v>
      </c>
      <c r="L596" s="2" t="s">
        <v>23</v>
      </c>
      <c r="M596" s="2" t="s">
        <v>16</v>
      </c>
      <c r="N596" s="2" t="s">
        <v>25</v>
      </c>
    </row>
    <row r="597" spans="1:14" x14ac:dyDescent="0.3">
      <c r="A597" s="3" t="s">
        <v>9391</v>
      </c>
      <c r="B597" s="3" t="s">
        <v>1217</v>
      </c>
      <c r="C597" s="3" t="s">
        <v>18</v>
      </c>
      <c r="D597" s="3" t="s">
        <v>171</v>
      </c>
      <c r="E597" s="3" t="s">
        <v>14</v>
      </c>
      <c r="F597" s="3">
        <v>29</v>
      </c>
      <c r="G597" s="3">
        <v>68926.97</v>
      </c>
      <c r="H597" s="3">
        <v>2376.79</v>
      </c>
      <c r="I597" s="3" t="s">
        <v>5191</v>
      </c>
      <c r="J597" s="3">
        <v>14</v>
      </c>
      <c r="K597" s="3" t="s">
        <v>21</v>
      </c>
      <c r="L597" s="3" t="s">
        <v>23</v>
      </c>
      <c r="M597" s="3" t="s">
        <v>24</v>
      </c>
      <c r="N597" s="3" t="s">
        <v>25</v>
      </c>
    </row>
    <row r="598" spans="1:14" x14ac:dyDescent="0.3">
      <c r="A598" s="2" t="s">
        <v>9392</v>
      </c>
      <c r="B598" s="2" t="s">
        <v>2779</v>
      </c>
      <c r="C598" s="2" t="s">
        <v>42</v>
      </c>
      <c r="D598" s="2" t="s">
        <v>122</v>
      </c>
      <c r="E598" s="2" t="s">
        <v>22</v>
      </c>
      <c r="F598" s="2">
        <v>3</v>
      </c>
      <c r="G598" s="2">
        <v>128584.71</v>
      </c>
      <c r="H598" s="2">
        <v>42861.57</v>
      </c>
      <c r="I598" s="2" t="s">
        <v>612</v>
      </c>
      <c r="J598" s="2">
        <v>326</v>
      </c>
      <c r="K598" s="2" t="s">
        <v>28</v>
      </c>
      <c r="L598" s="2" t="s">
        <v>47</v>
      </c>
      <c r="M598" s="2" t="s">
        <v>16</v>
      </c>
      <c r="N598" s="2" t="s">
        <v>17</v>
      </c>
    </row>
    <row r="599" spans="1:14" x14ac:dyDescent="0.3">
      <c r="A599" s="3" t="s">
        <v>9393</v>
      </c>
      <c r="B599" s="3" t="s">
        <v>412</v>
      </c>
      <c r="C599" s="3" t="s">
        <v>42</v>
      </c>
      <c r="D599" s="3" t="s">
        <v>171</v>
      </c>
      <c r="E599" s="3" t="s">
        <v>14</v>
      </c>
      <c r="F599" s="3">
        <v>29</v>
      </c>
      <c r="G599" s="3">
        <v>90016.61</v>
      </c>
      <c r="H599" s="3">
        <v>3104.02</v>
      </c>
      <c r="I599" s="3" t="s">
        <v>3317</v>
      </c>
      <c r="J599" s="3">
        <v>273</v>
      </c>
      <c r="K599" s="3" t="s">
        <v>13</v>
      </c>
      <c r="L599" s="3" t="s">
        <v>30</v>
      </c>
      <c r="M599" s="3" t="s">
        <v>24</v>
      </c>
      <c r="N599" s="3" t="s">
        <v>17</v>
      </c>
    </row>
    <row r="600" spans="1:14" x14ac:dyDescent="0.3">
      <c r="A600" s="2" t="s">
        <v>4948</v>
      </c>
      <c r="B600" s="2" t="s">
        <v>1253</v>
      </c>
      <c r="C600" s="2" t="s">
        <v>18</v>
      </c>
      <c r="D600" s="2" t="s">
        <v>171</v>
      </c>
      <c r="E600" s="2" t="s">
        <v>14</v>
      </c>
      <c r="F600" s="2">
        <v>28</v>
      </c>
      <c r="G600" s="2">
        <v>11186.2</v>
      </c>
      <c r="H600" s="2">
        <v>399.51</v>
      </c>
      <c r="I600" s="2" t="s">
        <v>2449</v>
      </c>
      <c r="J600" s="2">
        <v>366</v>
      </c>
      <c r="K600" s="2" t="s">
        <v>21</v>
      </c>
      <c r="L600" s="2" t="s">
        <v>40</v>
      </c>
      <c r="M600" s="2" t="s">
        <v>31</v>
      </c>
      <c r="N600" s="2" t="s">
        <v>17</v>
      </c>
    </row>
    <row r="601" spans="1:14" x14ac:dyDescent="0.3">
      <c r="A601" s="3" t="s">
        <v>9394</v>
      </c>
      <c r="B601" s="3" t="s">
        <v>695</v>
      </c>
      <c r="C601" s="3" t="s">
        <v>26</v>
      </c>
      <c r="D601" s="3" t="s">
        <v>834</v>
      </c>
      <c r="E601" s="3" t="s">
        <v>29</v>
      </c>
      <c r="F601" s="3">
        <v>2</v>
      </c>
      <c r="G601" s="3">
        <v>90350.03</v>
      </c>
      <c r="H601" s="3">
        <v>45175.01</v>
      </c>
      <c r="I601" s="3" t="s">
        <v>2547</v>
      </c>
      <c r="J601" s="3">
        <v>334</v>
      </c>
      <c r="K601" s="3" t="s">
        <v>27</v>
      </c>
      <c r="L601" s="3" t="s">
        <v>43</v>
      </c>
      <c r="M601" s="3" t="s">
        <v>24</v>
      </c>
      <c r="N601" s="3" t="s">
        <v>17</v>
      </c>
    </row>
    <row r="602" spans="1:14" x14ac:dyDescent="0.3">
      <c r="A602" s="2" t="s">
        <v>9395</v>
      </c>
      <c r="B602" s="2" t="s">
        <v>2136</v>
      </c>
      <c r="C602" s="2" t="s">
        <v>33</v>
      </c>
      <c r="D602" s="2" t="s">
        <v>427</v>
      </c>
      <c r="E602" s="2" t="s">
        <v>29</v>
      </c>
      <c r="F602" s="2">
        <v>30</v>
      </c>
      <c r="G602" s="2">
        <v>98513.54</v>
      </c>
      <c r="H602" s="2">
        <v>3283.78</v>
      </c>
      <c r="I602" s="2" t="s">
        <v>907</v>
      </c>
      <c r="J602" s="2">
        <v>76</v>
      </c>
      <c r="K602" s="2" t="s">
        <v>28</v>
      </c>
      <c r="L602" s="2" t="s">
        <v>47</v>
      </c>
      <c r="M602" s="2" t="s">
        <v>24</v>
      </c>
      <c r="N602" s="2" t="s">
        <v>25</v>
      </c>
    </row>
    <row r="603" spans="1:14" x14ac:dyDescent="0.3">
      <c r="A603" s="3" t="s">
        <v>6969</v>
      </c>
      <c r="B603" s="3" t="s">
        <v>1918</v>
      </c>
      <c r="C603" s="3" t="s">
        <v>42</v>
      </c>
      <c r="D603" s="3" t="s">
        <v>95</v>
      </c>
      <c r="E603" s="3" t="s">
        <v>14</v>
      </c>
      <c r="F603" s="3">
        <v>11</v>
      </c>
      <c r="G603" s="3">
        <v>132971.38</v>
      </c>
      <c r="H603" s="3">
        <v>12088.31</v>
      </c>
      <c r="I603" s="3" t="s">
        <v>3614</v>
      </c>
      <c r="J603" s="3">
        <v>50</v>
      </c>
      <c r="K603" s="3" t="s">
        <v>28</v>
      </c>
      <c r="L603" s="3" t="s">
        <v>15</v>
      </c>
      <c r="M603" s="3" t="s">
        <v>16</v>
      </c>
      <c r="N603" s="3" t="s">
        <v>25</v>
      </c>
    </row>
    <row r="604" spans="1:14" x14ac:dyDescent="0.3">
      <c r="A604" s="2" t="s">
        <v>9396</v>
      </c>
      <c r="B604" s="2" t="s">
        <v>240</v>
      </c>
      <c r="C604" s="2" t="s">
        <v>33</v>
      </c>
      <c r="D604" s="2" t="s">
        <v>427</v>
      </c>
      <c r="E604" s="2" t="s">
        <v>29</v>
      </c>
      <c r="F604" s="2">
        <v>29</v>
      </c>
      <c r="G604" s="2">
        <v>47347.88</v>
      </c>
      <c r="H604" s="2">
        <v>1632.69</v>
      </c>
      <c r="I604" s="2" t="s">
        <v>5082</v>
      </c>
      <c r="J604" s="2">
        <v>143</v>
      </c>
      <c r="K604" s="2" t="s">
        <v>19</v>
      </c>
      <c r="L604" s="2" t="s">
        <v>15</v>
      </c>
      <c r="M604" s="2" t="s">
        <v>31</v>
      </c>
      <c r="N604" s="2" t="s">
        <v>32</v>
      </c>
    </row>
    <row r="605" spans="1:14" x14ac:dyDescent="0.3">
      <c r="A605" s="3" t="s">
        <v>9397</v>
      </c>
      <c r="B605" s="3" t="s">
        <v>2141</v>
      </c>
      <c r="C605" s="3" t="s">
        <v>33</v>
      </c>
      <c r="D605" s="3" t="s">
        <v>95</v>
      </c>
      <c r="E605" s="3" t="s">
        <v>14</v>
      </c>
      <c r="F605" s="3">
        <v>5</v>
      </c>
      <c r="G605" s="3">
        <v>56489.919999999998</v>
      </c>
      <c r="H605" s="3">
        <v>11297.98</v>
      </c>
      <c r="I605" s="3" t="s">
        <v>613</v>
      </c>
      <c r="J605" s="3">
        <v>321</v>
      </c>
      <c r="K605" s="3" t="s">
        <v>19</v>
      </c>
      <c r="L605" s="3" t="s">
        <v>43</v>
      </c>
      <c r="M605" s="3" t="s">
        <v>24</v>
      </c>
      <c r="N605" s="3" t="s">
        <v>17</v>
      </c>
    </row>
    <row r="606" spans="1:14" x14ac:dyDescent="0.3">
      <c r="A606" s="2" t="s">
        <v>9398</v>
      </c>
      <c r="B606" s="2" t="s">
        <v>1544</v>
      </c>
      <c r="C606" s="2" t="s">
        <v>18</v>
      </c>
      <c r="D606" s="2" t="s">
        <v>314</v>
      </c>
      <c r="E606" s="2" t="s">
        <v>39</v>
      </c>
      <c r="F606" s="2">
        <v>15</v>
      </c>
      <c r="G606" s="2">
        <v>72724.77</v>
      </c>
      <c r="H606" s="2">
        <v>4848.32</v>
      </c>
      <c r="I606" s="2" t="s">
        <v>2409</v>
      </c>
      <c r="J606" s="2">
        <v>155</v>
      </c>
      <c r="K606" s="2" t="s">
        <v>21</v>
      </c>
      <c r="L606" s="2" t="s">
        <v>23</v>
      </c>
      <c r="M606" s="2" t="s">
        <v>24</v>
      </c>
      <c r="N606" s="2" t="s">
        <v>32</v>
      </c>
    </row>
    <row r="607" spans="1:14" x14ac:dyDescent="0.3">
      <c r="A607" s="3" t="s">
        <v>9399</v>
      </c>
      <c r="B607" s="3" t="s">
        <v>603</v>
      </c>
      <c r="C607" s="3" t="s">
        <v>18</v>
      </c>
      <c r="D607" s="3" t="s">
        <v>834</v>
      </c>
      <c r="E607" s="3" t="s">
        <v>29</v>
      </c>
      <c r="F607" s="3">
        <v>18</v>
      </c>
      <c r="G607" s="3">
        <v>147308.87</v>
      </c>
      <c r="H607" s="3">
        <v>8183.83</v>
      </c>
      <c r="I607" s="3" t="s">
        <v>1199</v>
      </c>
      <c r="J607" s="3">
        <v>336</v>
      </c>
      <c r="K607" s="3" t="s">
        <v>19</v>
      </c>
      <c r="L607" s="3" t="s">
        <v>30</v>
      </c>
      <c r="M607" s="3" t="s">
        <v>16</v>
      </c>
      <c r="N607" s="3" t="s">
        <v>17</v>
      </c>
    </row>
    <row r="608" spans="1:14" x14ac:dyDescent="0.3">
      <c r="A608" s="2" t="s">
        <v>6295</v>
      </c>
      <c r="B608" s="2" t="s">
        <v>816</v>
      </c>
      <c r="C608" s="2" t="s">
        <v>42</v>
      </c>
      <c r="D608" s="2" t="s">
        <v>712</v>
      </c>
      <c r="E608" s="2" t="s">
        <v>14</v>
      </c>
      <c r="F608" s="2">
        <v>16</v>
      </c>
      <c r="G608" s="2">
        <v>169242.32</v>
      </c>
      <c r="H608" s="2">
        <v>10577.65</v>
      </c>
      <c r="I608" s="2" t="s">
        <v>1113</v>
      </c>
      <c r="J608" s="2">
        <v>45</v>
      </c>
      <c r="K608" s="2" t="s">
        <v>27</v>
      </c>
      <c r="L608" s="2" t="s">
        <v>48</v>
      </c>
      <c r="M608" s="2" t="s">
        <v>16</v>
      </c>
      <c r="N608" s="2" t="s">
        <v>25</v>
      </c>
    </row>
    <row r="609" spans="1:14" x14ac:dyDescent="0.3">
      <c r="A609" s="3" t="s">
        <v>5684</v>
      </c>
      <c r="B609" s="3" t="s">
        <v>586</v>
      </c>
      <c r="C609" s="3" t="s">
        <v>33</v>
      </c>
      <c r="D609" s="3" t="s">
        <v>738</v>
      </c>
      <c r="E609" s="3" t="s">
        <v>22</v>
      </c>
      <c r="F609" s="3">
        <v>16</v>
      </c>
      <c r="G609" s="3">
        <v>181602.18</v>
      </c>
      <c r="H609" s="3">
        <v>11350.14</v>
      </c>
      <c r="I609" s="3" t="s">
        <v>3510</v>
      </c>
      <c r="J609" s="3">
        <v>234</v>
      </c>
      <c r="K609" s="3" t="s">
        <v>21</v>
      </c>
      <c r="L609" s="3" t="s">
        <v>48</v>
      </c>
      <c r="M609" s="3" t="s">
        <v>16</v>
      </c>
      <c r="N609" s="3" t="s">
        <v>17</v>
      </c>
    </row>
    <row r="610" spans="1:14" x14ac:dyDescent="0.3">
      <c r="A610" s="2" t="s">
        <v>402</v>
      </c>
      <c r="B610" s="2" t="s">
        <v>521</v>
      </c>
      <c r="C610" s="2" t="s">
        <v>26</v>
      </c>
      <c r="D610" s="2" t="s">
        <v>427</v>
      </c>
      <c r="E610" s="2" t="s">
        <v>29</v>
      </c>
      <c r="F610" s="2">
        <v>26</v>
      </c>
      <c r="G610" s="2">
        <v>55383.57</v>
      </c>
      <c r="H610" s="2">
        <v>2130.14</v>
      </c>
      <c r="I610" s="2" t="s">
        <v>2069</v>
      </c>
      <c r="J610" s="2">
        <v>138</v>
      </c>
      <c r="K610" s="2" t="s">
        <v>21</v>
      </c>
      <c r="L610" s="2" t="s">
        <v>15</v>
      </c>
      <c r="M610" s="2" t="s">
        <v>24</v>
      </c>
      <c r="N610" s="2" t="s">
        <v>32</v>
      </c>
    </row>
    <row r="611" spans="1:14" x14ac:dyDescent="0.3">
      <c r="A611" s="3" t="s">
        <v>585</v>
      </c>
      <c r="B611" s="3" t="s">
        <v>918</v>
      </c>
      <c r="C611" s="3" t="s">
        <v>18</v>
      </c>
      <c r="D611" s="3" t="s">
        <v>712</v>
      </c>
      <c r="E611" s="3" t="s">
        <v>14</v>
      </c>
      <c r="F611" s="3">
        <v>11</v>
      </c>
      <c r="G611" s="3">
        <v>56860.84</v>
      </c>
      <c r="H611" s="3">
        <v>5169.17</v>
      </c>
      <c r="I611" s="3" t="s">
        <v>170</v>
      </c>
      <c r="J611" s="3">
        <v>322</v>
      </c>
      <c r="K611" s="3" t="s">
        <v>27</v>
      </c>
      <c r="L611" s="3" t="s">
        <v>47</v>
      </c>
      <c r="M611" s="3" t="s">
        <v>24</v>
      </c>
      <c r="N611" s="3" t="s">
        <v>17</v>
      </c>
    </row>
    <row r="612" spans="1:14" x14ac:dyDescent="0.3">
      <c r="A612" s="2" t="s">
        <v>9400</v>
      </c>
      <c r="B612" s="2" t="s">
        <v>2231</v>
      </c>
      <c r="C612" s="2" t="s">
        <v>42</v>
      </c>
      <c r="D612" s="2" t="s">
        <v>160</v>
      </c>
      <c r="E612" s="2" t="s">
        <v>29</v>
      </c>
      <c r="F612" s="2">
        <v>16</v>
      </c>
      <c r="G612" s="2">
        <v>170081.91</v>
      </c>
      <c r="H612" s="2">
        <v>10630.12</v>
      </c>
      <c r="I612" s="2" t="s">
        <v>3708</v>
      </c>
      <c r="J612" s="2">
        <v>149</v>
      </c>
      <c r="K612" s="2" t="s">
        <v>28</v>
      </c>
      <c r="L612" s="2" t="s">
        <v>47</v>
      </c>
      <c r="M612" s="2" t="s">
        <v>16</v>
      </c>
      <c r="N612" s="2" t="s">
        <v>32</v>
      </c>
    </row>
    <row r="613" spans="1:14" x14ac:dyDescent="0.3">
      <c r="A613" s="3" t="s">
        <v>9401</v>
      </c>
      <c r="B613" s="3" t="s">
        <v>4171</v>
      </c>
      <c r="C613" s="3" t="s">
        <v>42</v>
      </c>
      <c r="D613" s="3" t="s">
        <v>193</v>
      </c>
      <c r="E613" s="3" t="s">
        <v>39</v>
      </c>
      <c r="F613" s="3">
        <v>20</v>
      </c>
      <c r="G613" s="3">
        <v>144146.66</v>
      </c>
      <c r="H613" s="3">
        <v>7207.33</v>
      </c>
      <c r="I613" s="3" t="s">
        <v>1688</v>
      </c>
      <c r="J613" s="3">
        <v>302</v>
      </c>
      <c r="K613" s="3" t="s">
        <v>19</v>
      </c>
      <c r="L613" s="3" t="s">
        <v>43</v>
      </c>
      <c r="M613" s="3" t="s">
        <v>16</v>
      </c>
      <c r="N613" s="3" t="s">
        <v>17</v>
      </c>
    </row>
    <row r="614" spans="1:14" x14ac:dyDescent="0.3">
      <c r="A614" s="2" t="s">
        <v>9402</v>
      </c>
      <c r="B614" s="2" t="s">
        <v>1517</v>
      </c>
      <c r="C614" s="2" t="s">
        <v>18</v>
      </c>
      <c r="D614" s="2" t="s">
        <v>834</v>
      </c>
      <c r="E614" s="2" t="s">
        <v>29</v>
      </c>
      <c r="F614" s="2">
        <v>25</v>
      </c>
      <c r="G614" s="2">
        <v>165918.39999999999</v>
      </c>
      <c r="H614" s="2">
        <v>6636.74</v>
      </c>
      <c r="I614" s="2" t="s">
        <v>191</v>
      </c>
      <c r="J614" s="2">
        <v>253</v>
      </c>
      <c r="K614" s="2" t="s">
        <v>21</v>
      </c>
      <c r="L614" s="2" t="s">
        <v>30</v>
      </c>
      <c r="M614" s="2" t="s">
        <v>16</v>
      </c>
      <c r="N614" s="2" t="s">
        <v>17</v>
      </c>
    </row>
    <row r="615" spans="1:14" x14ac:dyDescent="0.3">
      <c r="A615" s="3" t="s">
        <v>9403</v>
      </c>
      <c r="B615" s="3" t="s">
        <v>918</v>
      </c>
      <c r="C615" s="3" t="s">
        <v>18</v>
      </c>
      <c r="D615" s="3" t="s">
        <v>334</v>
      </c>
      <c r="E615" s="3" t="s">
        <v>29</v>
      </c>
      <c r="F615" s="3">
        <v>13</v>
      </c>
      <c r="G615" s="3">
        <v>164039.43</v>
      </c>
      <c r="H615" s="3">
        <v>12618.42</v>
      </c>
      <c r="I615" s="3" t="s">
        <v>1100</v>
      </c>
      <c r="J615" s="3">
        <v>34</v>
      </c>
      <c r="K615" s="3" t="s">
        <v>13</v>
      </c>
      <c r="L615" s="3" t="s">
        <v>48</v>
      </c>
      <c r="M615" s="3" t="s">
        <v>16</v>
      </c>
      <c r="N615" s="3" t="s">
        <v>25</v>
      </c>
    </row>
    <row r="616" spans="1:14" x14ac:dyDescent="0.3">
      <c r="A616" s="2" t="s">
        <v>9404</v>
      </c>
      <c r="B616" s="2" t="s">
        <v>155</v>
      </c>
      <c r="C616" s="2" t="s">
        <v>42</v>
      </c>
      <c r="D616" s="2" t="s">
        <v>427</v>
      </c>
      <c r="E616" s="2" t="s">
        <v>29</v>
      </c>
      <c r="F616" s="2">
        <v>28</v>
      </c>
      <c r="G616" s="2">
        <v>33272.43</v>
      </c>
      <c r="H616" s="2">
        <v>1188.3</v>
      </c>
      <c r="I616" s="2" t="s">
        <v>1914</v>
      </c>
      <c r="J616" s="2">
        <v>342</v>
      </c>
      <c r="K616" s="2" t="s">
        <v>27</v>
      </c>
      <c r="L616" s="2" t="s">
        <v>48</v>
      </c>
      <c r="M616" s="2" t="s">
        <v>31</v>
      </c>
      <c r="N616" s="2" t="s">
        <v>17</v>
      </c>
    </row>
    <row r="617" spans="1:14" x14ac:dyDescent="0.3">
      <c r="A617" s="3" t="s">
        <v>9405</v>
      </c>
      <c r="B617" s="3" t="s">
        <v>1700</v>
      </c>
      <c r="C617" s="3" t="s">
        <v>42</v>
      </c>
      <c r="D617" s="3" t="s">
        <v>171</v>
      </c>
      <c r="E617" s="3" t="s">
        <v>14</v>
      </c>
      <c r="F617" s="3">
        <v>13</v>
      </c>
      <c r="G617" s="3">
        <v>53145.9</v>
      </c>
      <c r="H617" s="3">
        <v>4088.15</v>
      </c>
      <c r="I617" s="3" t="s">
        <v>3698</v>
      </c>
      <c r="J617" s="3">
        <v>284</v>
      </c>
      <c r="K617" s="3" t="s">
        <v>27</v>
      </c>
      <c r="L617" s="3" t="s">
        <v>23</v>
      </c>
      <c r="M617" s="3" t="s">
        <v>24</v>
      </c>
      <c r="N617" s="3" t="s">
        <v>17</v>
      </c>
    </row>
    <row r="618" spans="1:14" x14ac:dyDescent="0.3">
      <c r="A618" s="2" t="s">
        <v>9406</v>
      </c>
      <c r="B618" s="2" t="s">
        <v>2298</v>
      </c>
      <c r="C618" s="2" t="s">
        <v>33</v>
      </c>
      <c r="D618" s="2" t="s">
        <v>283</v>
      </c>
      <c r="E618" s="2" t="s">
        <v>22</v>
      </c>
      <c r="F618" s="2">
        <v>7</v>
      </c>
      <c r="G618" s="2">
        <v>39538.36</v>
      </c>
      <c r="H618" s="2">
        <v>5648.34</v>
      </c>
      <c r="I618" s="2" t="s">
        <v>6667</v>
      </c>
      <c r="J618" s="2">
        <v>268</v>
      </c>
      <c r="K618" s="2" t="s">
        <v>28</v>
      </c>
      <c r="L618" s="2" t="s">
        <v>43</v>
      </c>
      <c r="M618" s="2" t="s">
        <v>31</v>
      </c>
      <c r="N618" s="2" t="s">
        <v>17</v>
      </c>
    </row>
    <row r="619" spans="1:14" x14ac:dyDescent="0.3">
      <c r="A619" s="3" t="s">
        <v>9407</v>
      </c>
      <c r="B619" s="3" t="s">
        <v>104</v>
      </c>
      <c r="C619" s="3" t="s">
        <v>26</v>
      </c>
      <c r="D619" s="3" t="s">
        <v>254</v>
      </c>
      <c r="E619" s="3" t="s">
        <v>22</v>
      </c>
      <c r="F619" s="3">
        <v>15</v>
      </c>
      <c r="G619" s="3">
        <v>77770.17</v>
      </c>
      <c r="H619" s="3">
        <v>5184.68</v>
      </c>
      <c r="I619" s="3" t="s">
        <v>3803</v>
      </c>
      <c r="J619" s="3">
        <v>141</v>
      </c>
      <c r="K619" s="3" t="s">
        <v>21</v>
      </c>
      <c r="L619" s="3" t="s">
        <v>23</v>
      </c>
      <c r="M619" s="3" t="s">
        <v>24</v>
      </c>
      <c r="N619" s="3" t="s">
        <v>32</v>
      </c>
    </row>
    <row r="620" spans="1:14" x14ac:dyDescent="0.3">
      <c r="A620" s="2" t="s">
        <v>9408</v>
      </c>
      <c r="B620" s="2" t="s">
        <v>1011</v>
      </c>
      <c r="C620" s="2" t="s">
        <v>42</v>
      </c>
      <c r="D620" s="2" t="s">
        <v>148</v>
      </c>
      <c r="E620" s="2" t="s">
        <v>29</v>
      </c>
      <c r="F620" s="2">
        <v>16</v>
      </c>
      <c r="G620" s="2">
        <v>102323.1</v>
      </c>
      <c r="H620" s="2">
        <v>6395.19</v>
      </c>
      <c r="I620" s="2" t="s">
        <v>2666</v>
      </c>
      <c r="J620" s="2">
        <v>195</v>
      </c>
      <c r="K620" s="2" t="s">
        <v>13</v>
      </c>
      <c r="L620" s="2" t="s">
        <v>15</v>
      </c>
      <c r="M620" s="2" t="s">
        <v>16</v>
      </c>
      <c r="N620" s="2" t="s">
        <v>17</v>
      </c>
    </row>
    <row r="621" spans="1:14" x14ac:dyDescent="0.3">
      <c r="A621" s="3" t="s">
        <v>9409</v>
      </c>
      <c r="B621" s="3" t="s">
        <v>980</v>
      </c>
      <c r="C621" s="3" t="s">
        <v>18</v>
      </c>
      <c r="D621" s="3" t="s">
        <v>148</v>
      </c>
      <c r="E621" s="3" t="s">
        <v>29</v>
      </c>
      <c r="F621" s="3">
        <v>18</v>
      </c>
      <c r="G621" s="3">
        <v>101257.45</v>
      </c>
      <c r="H621" s="3">
        <v>5625.41</v>
      </c>
      <c r="I621" s="3" t="s">
        <v>5191</v>
      </c>
      <c r="J621" s="3">
        <v>14</v>
      </c>
      <c r="K621" s="3" t="s">
        <v>21</v>
      </c>
      <c r="L621" s="3" t="s">
        <v>23</v>
      </c>
      <c r="M621" s="3" t="s">
        <v>16</v>
      </c>
      <c r="N621" s="3" t="s">
        <v>25</v>
      </c>
    </row>
    <row r="622" spans="1:14" x14ac:dyDescent="0.3">
      <c r="A622" s="2" t="s">
        <v>9410</v>
      </c>
      <c r="B622" s="2" t="s">
        <v>967</v>
      </c>
      <c r="C622" s="2" t="s">
        <v>33</v>
      </c>
      <c r="D622" s="2" t="s">
        <v>183</v>
      </c>
      <c r="E622" s="2" t="s">
        <v>14</v>
      </c>
      <c r="F622" s="2">
        <v>9</v>
      </c>
      <c r="G622" s="2">
        <v>46403.01</v>
      </c>
      <c r="H622" s="2">
        <v>5155.8900000000003</v>
      </c>
      <c r="I622" s="2" t="s">
        <v>2831</v>
      </c>
      <c r="J622" s="2">
        <v>337</v>
      </c>
      <c r="K622" s="2" t="s">
        <v>21</v>
      </c>
      <c r="L622" s="2" t="s">
        <v>47</v>
      </c>
      <c r="M622" s="2" t="s">
        <v>31</v>
      </c>
      <c r="N622" s="2" t="s">
        <v>17</v>
      </c>
    </row>
    <row r="623" spans="1:14" x14ac:dyDescent="0.3">
      <c r="A623" s="3" t="s">
        <v>9411</v>
      </c>
      <c r="B623" s="3" t="s">
        <v>1350</v>
      </c>
      <c r="C623" s="3" t="s">
        <v>42</v>
      </c>
      <c r="D623" s="3" t="s">
        <v>183</v>
      </c>
      <c r="E623" s="3" t="s">
        <v>14</v>
      </c>
      <c r="F623" s="3">
        <v>23</v>
      </c>
      <c r="G623" s="3">
        <v>110880.73</v>
      </c>
      <c r="H623" s="3">
        <v>4820.8999999999996</v>
      </c>
      <c r="I623" s="3" t="s">
        <v>2712</v>
      </c>
      <c r="J623" s="3">
        <v>104</v>
      </c>
      <c r="K623" s="3" t="s">
        <v>28</v>
      </c>
      <c r="L623" s="3" t="s">
        <v>47</v>
      </c>
      <c r="M623" s="3" t="s">
        <v>16</v>
      </c>
      <c r="N623" s="3" t="s">
        <v>32</v>
      </c>
    </row>
    <row r="624" spans="1:14" x14ac:dyDescent="0.3">
      <c r="A624" s="2" t="s">
        <v>9412</v>
      </c>
      <c r="B624" s="2" t="s">
        <v>3432</v>
      </c>
      <c r="C624" s="2" t="s">
        <v>42</v>
      </c>
      <c r="D624" s="2" t="s">
        <v>314</v>
      </c>
      <c r="E624" s="2" t="s">
        <v>39</v>
      </c>
      <c r="F624" s="2">
        <v>30</v>
      </c>
      <c r="G624" s="2">
        <v>135273.47</v>
      </c>
      <c r="H624" s="2">
        <v>4509.12</v>
      </c>
      <c r="I624" s="2" t="s">
        <v>3539</v>
      </c>
      <c r="J624" s="2">
        <v>86</v>
      </c>
      <c r="K624" s="2" t="s">
        <v>19</v>
      </c>
      <c r="L624" s="2" t="s">
        <v>47</v>
      </c>
      <c r="M624" s="2" t="s">
        <v>16</v>
      </c>
      <c r="N624" s="2" t="s">
        <v>25</v>
      </c>
    </row>
    <row r="625" spans="1:14" x14ac:dyDescent="0.3">
      <c r="A625" s="3" t="s">
        <v>9413</v>
      </c>
      <c r="B625" s="3" t="s">
        <v>1286</v>
      </c>
      <c r="C625" s="3" t="s">
        <v>33</v>
      </c>
      <c r="D625" s="3" t="s">
        <v>171</v>
      </c>
      <c r="E625" s="3" t="s">
        <v>14</v>
      </c>
      <c r="F625" s="3">
        <v>25</v>
      </c>
      <c r="G625" s="3">
        <v>15816.38</v>
      </c>
      <c r="H625" s="3">
        <v>632.66</v>
      </c>
      <c r="I625" s="3" t="s">
        <v>7784</v>
      </c>
      <c r="J625" s="3">
        <v>21</v>
      </c>
      <c r="K625" s="3" t="s">
        <v>19</v>
      </c>
      <c r="L625" s="3" t="s">
        <v>30</v>
      </c>
      <c r="M625" s="3" t="s">
        <v>31</v>
      </c>
      <c r="N625" s="3" t="s">
        <v>25</v>
      </c>
    </row>
    <row r="626" spans="1:14" x14ac:dyDescent="0.3">
      <c r="A626" s="2" t="s">
        <v>9414</v>
      </c>
      <c r="B626" s="2" t="s">
        <v>2067</v>
      </c>
      <c r="C626" s="2" t="s">
        <v>18</v>
      </c>
      <c r="D626" s="2" t="s">
        <v>148</v>
      </c>
      <c r="E626" s="2" t="s">
        <v>29</v>
      </c>
      <c r="F626" s="2">
        <v>20</v>
      </c>
      <c r="G626" s="2">
        <v>65837.89</v>
      </c>
      <c r="H626" s="2">
        <v>3291.89</v>
      </c>
      <c r="I626" s="2" t="s">
        <v>5360</v>
      </c>
      <c r="J626" s="2">
        <v>201</v>
      </c>
      <c r="K626" s="2" t="s">
        <v>21</v>
      </c>
      <c r="L626" s="2" t="s">
        <v>48</v>
      </c>
      <c r="M626" s="2" t="s">
        <v>24</v>
      </c>
      <c r="N626" s="2" t="s">
        <v>17</v>
      </c>
    </row>
    <row r="627" spans="1:14" x14ac:dyDescent="0.3">
      <c r="A627" s="3" t="s">
        <v>9415</v>
      </c>
      <c r="B627" s="3" t="s">
        <v>143</v>
      </c>
      <c r="C627" s="3" t="s">
        <v>42</v>
      </c>
      <c r="D627" s="3" t="s">
        <v>324</v>
      </c>
      <c r="E627" s="3" t="s">
        <v>39</v>
      </c>
      <c r="F627" s="3">
        <v>3</v>
      </c>
      <c r="G627" s="3">
        <v>105484.19</v>
      </c>
      <c r="H627" s="3">
        <v>35161.4</v>
      </c>
      <c r="I627" s="3" t="s">
        <v>280</v>
      </c>
      <c r="J627" s="3">
        <v>350</v>
      </c>
      <c r="K627" s="3" t="s">
        <v>19</v>
      </c>
      <c r="L627" s="3" t="s">
        <v>23</v>
      </c>
      <c r="M627" s="3" t="s">
        <v>16</v>
      </c>
      <c r="N627" s="3" t="s">
        <v>17</v>
      </c>
    </row>
    <row r="628" spans="1:14" x14ac:dyDescent="0.3">
      <c r="A628" s="2" t="s">
        <v>9416</v>
      </c>
      <c r="B628" s="2" t="s">
        <v>5584</v>
      </c>
      <c r="C628" s="2" t="s">
        <v>42</v>
      </c>
      <c r="D628" s="2" t="s">
        <v>314</v>
      </c>
      <c r="E628" s="2" t="s">
        <v>39</v>
      </c>
      <c r="F628" s="2">
        <v>26</v>
      </c>
      <c r="G628" s="2">
        <v>193210.86</v>
      </c>
      <c r="H628" s="2">
        <v>7431.19</v>
      </c>
      <c r="I628" s="2" t="s">
        <v>999</v>
      </c>
      <c r="J628" s="2">
        <v>49</v>
      </c>
      <c r="K628" s="2" t="s">
        <v>19</v>
      </c>
      <c r="L628" s="2" t="s">
        <v>40</v>
      </c>
      <c r="M628" s="2" t="s">
        <v>16</v>
      </c>
      <c r="N628" s="2" t="s">
        <v>25</v>
      </c>
    </row>
    <row r="629" spans="1:14" x14ac:dyDescent="0.3">
      <c r="A629" s="3" t="s">
        <v>9417</v>
      </c>
      <c r="B629" s="3" t="s">
        <v>495</v>
      </c>
      <c r="C629" s="3" t="s">
        <v>18</v>
      </c>
      <c r="D629" s="3" t="s">
        <v>283</v>
      </c>
      <c r="E629" s="3" t="s">
        <v>22</v>
      </c>
      <c r="F629" s="3">
        <v>2</v>
      </c>
      <c r="G629" s="3">
        <v>179755.44</v>
      </c>
      <c r="H629" s="3">
        <v>89877.72</v>
      </c>
      <c r="I629" s="3" t="s">
        <v>7080</v>
      </c>
      <c r="J629" s="3">
        <v>101</v>
      </c>
      <c r="K629" s="3" t="s">
        <v>27</v>
      </c>
      <c r="L629" s="3" t="s">
        <v>48</v>
      </c>
      <c r="M629" s="3" t="s">
        <v>16</v>
      </c>
      <c r="N629" s="3" t="s">
        <v>32</v>
      </c>
    </row>
    <row r="630" spans="1:14" x14ac:dyDescent="0.3">
      <c r="A630" s="2" t="s">
        <v>2004</v>
      </c>
      <c r="B630" s="2" t="s">
        <v>2257</v>
      </c>
      <c r="C630" s="2" t="s">
        <v>18</v>
      </c>
      <c r="D630" s="2" t="s">
        <v>215</v>
      </c>
      <c r="E630" s="2" t="s">
        <v>14</v>
      </c>
      <c r="F630" s="2">
        <v>25</v>
      </c>
      <c r="G630" s="2">
        <v>136406.73000000001</v>
      </c>
      <c r="H630" s="2">
        <v>5456.27</v>
      </c>
      <c r="I630" s="2" t="s">
        <v>1306</v>
      </c>
      <c r="J630" s="2">
        <v>264</v>
      </c>
      <c r="K630" s="2" t="s">
        <v>28</v>
      </c>
      <c r="L630" s="2" t="s">
        <v>23</v>
      </c>
      <c r="M630" s="2" t="s">
        <v>16</v>
      </c>
      <c r="N630" s="2" t="s">
        <v>17</v>
      </c>
    </row>
    <row r="631" spans="1:14" x14ac:dyDescent="0.3">
      <c r="A631" s="3" t="s">
        <v>9418</v>
      </c>
      <c r="B631" s="3" t="s">
        <v>1326</v>
      </c>
      <c r="C631" s="3" t="s">
        <v>33</v>
      </c>
      <c r="D631" s="3" t="s">
        <v>171</v>
      </c>
      <c r="E631" s="3" t="s">
        <v>14</v>
      </c>
      <c r="F631" s="3">
        <v>27</v>
      </c>
      <c r="G631" s="3">
        <v>111915.28</v>
      </c>
      <c r="H631" s="3">
        <v>4145.01</v>
      </c>
      <c r="I631" s="3" t="s">
        <v>1480</v>
      </c>
      <c r="J631" s="3">
        <v>286</v>
      </c>
      <c r="K631" s="3" t="s">
        <v>28</v>
      </c>
      <c r="L631" s="3" t="s">
        <v>23</v>
      </c>
      <c r="M631" s="3" t="s">
        <v>16</v>
      </c>
      <c r="N631" s="3" t="s">
        <v>17</v>
      </c>
    </row>
    <row r="632" spans="1:14" x14ac:dyDescent="0.3">
      <c r="A632" s="2" t="s">
        <v>9419</v>
      </c>
      <c r="B632" s="2" t="s">
        <v>1152</v>
      </c>
      <c r="C632" s="2" t="s">
        <v>18</v>
      </c>
      <c r="D632" s="2" t="s">
        <v>834</v>
      </c>
      <c r="E632" s="2" t="s">
        <v>29</v>
      </c>
      <c r="F632" s="2">
        <v>15</v>
      </c>
      <c r="G632" s="2">
        <v>17226.63</v>
      </c>
      <c r="H632" s="2">
        <v>1148.44</v>
      </c>
      <c r="I632" s="2" t="s">
        <v>2341</v>
      </c>
      <c r="J632" s="2">
        <v>31</v>
      </c>
      <c r="K632" s="2" t="s">
        <v>13</v>
      </c>
      <c r="L632" s="2" t="s">
        <v>48</v>
      </c>
      <c r="M632" s="2" t="s">
        <v>31</v>
      </c>
      <c r="N632" s="2" t="s">
        <v>25</v>
      </c>
    </row>
    <row r="633" spans="1:14" x14ac:dyDescent="0.3">
      <c r="A633" s="3" t="s">
        <v>9420</v>
      </c>
      <c r="B633" s="3" t="s">
        <v>1433</v>
      </c>
      <c r="C633" s="3" t="s">
        <v>33</v>
      </c>
      <c r="D633" s="3" t="s">
        <v>148</v>
      </c>
      <c r="E633" s="3" t="s">
        <v>29</v>
      </c>
      <c r="F633" s="3">
        <v>28</v>
      </c>
      <c r="G633" s="3">
        <v>72396.27</v>
      </c>
      <c r="H633" s="3">
        <v>2585.58</v>
      </c>
      <c r="I633" s="3" t="s">
        <v>1453</v>
      </c>
      <c r="J633" s="3">
        <v>81</v>
      </c>
      <c r="K633" s="3" t="s">
        <v>28</v>
      </c>
      <c r="L633" s="3" t="s">
        <v>15</v>
      </c>
      <c r="M633" s="3" t="s">
        <v>24</v>
      </c>
      <c r="N633" s="3" t="s">
        <v>25</v>
      </c>
    </row>
    <row r="634" spans="1:14" x14ac:dyDescent="0.3">
      <c r="A634" s="2" t="s">
        <v>5144</v>
      </c>
      <c r="B634" s="2" t="s">
        <v>1451</v>
      </c>
      <c r="C634" s="2" t="s">
        <v>18</v>
      </c>
      <c r="D634" s="2" t="s">
        <v>283</v>
      </c>
      <c r="E634" s="2" t="s">
        <v>22</v>
      </c>
      <c r="F634" s="2">
        <v>20</v>
      </c>
      <c r="G634" s="2">
        <v>194319.95</v>
      </c>
      <c r="H634" s="2">
        <v>9716</v>
      </c>
      <c r="I634" s="2" t="s">
        <v>2294</v>
      </c>
      <c r="J634" s="2">
        <v>157</v>
      </c>
      <c r="K634" s="2" t="s">
        <v>19</v>
      </c>
      <c r="L634" s="2" t="s">
        <v>48</v>
      </c>
      <c r="M634" s="2" t="s">
        <v>16</v>
      </c>
      <c r="N634" s="2" t="s">
        <v>32</v>
      </c>
    </row>
    <row r="635" spans="1:14" x14ac:dyDescent="0.3">
      <c r="A635" s="3" t="s">
        <v>9421</v>
      </c>
      <c r="B635" s="3" t="s">
        <v>799</v>
      </c>
      <c r="C635" s="3" t="s">
        <v>26</v>
      </c>
      <c r="D635" s="3" t="s">
        <v>193</v>
      </c>
      <c r="E635" s="3" t="s">
        <v>39</v>
      </c>
      <c r="F635" s="3">
        <v>13</v>
      </c>
      <c r="G635" s="3">
        <v>161053.16</v>
      </c>
      <c r="H635" s="3">
        <v>12388.7</v>
      </c>
      <c r="I635" s="3" t="s">
        <v>1329</v>
      </c>
      <c r="J635" s="3">
        <v>331</v>
      </c>
      <c r="K635" s="3" t="s">
        <v>28</v>
      </c>
      <c r="L635" s="3" t="s">
        <v>30</v>
      </c>
      <c r="M635" s="3" t="s">
        <v>16</v>
      </c>
      <c r="N635" s="3" t="s">
        <v>17</v>
      </c>
    </row>
    <row r="636" spans="1:14" x14ac:dyDescent="0.3">
      <c r="A636" s="2" t="s">
        <v>9422</v>
      </c>
      <c r="B636" s="2" t="s">
        <v>1038</v>
      </c>
      <c r="C636" s="2" t="s">
        <v>26</v>
      </c>
      <c r="D636" s="2" t="s">
        <v>225</v>
      </c>
      <c r="E636" s="2" t="s">
        <v>39</v>
      </c>
      <c r="F636" s="2">
        <v>5</v>
      </c>
      <c r="G636" s="2">
        <v>148230.85</v>
      </c>
      <c r="H636" s="2">
        <v>29646.17</v>
      </c>
      <c r="I636" s="2" t="s">
        <v>1320</v>
      </c>
      <c r="J636" s="2">
        <v>20</v>
      </c>
      <c r="K636" s="2" t="s">
        <v>28</v>
      </c>
      <c r="L636" s="2" t="s">
        <v>43</v>
      </c>
      <c r="M636" s="2" t="s">
        <v>16</v>
      </c>
      <c r="N636" s="2" t="s">
        <v>25</v>
      </c>
    </row>
    <row r="637" spans="1:14" x14ac:dyDescent="0.3">
      <c r="A637" s="3" t="s">
        <v>9423</v>
      </c>
      <c r="B637" s="3" t="s">
        <v>1797</v>
      </c>
      <c r="C637" s="3" t="s">
        <v>33</v>
      </c>
      <c r="D637" s="3" t="s">
        <v>95</v>
      </c>
      <c r="E637" s="3" t="s">
        <v>14</v>
      </c>
      <c r="F637" s="3">
        <v>10</v>
      </c>
      <c r="G637" s="3">
        <v>3864.2</v>
      </c>
      <c r="H637" s="3">
        <v>386.42</v>
      </c>
      <c r="I637" s="3" t="s">
        <v>2899</v>
      </c>
      <c r="J637" s="3">
        <v>277</v>
      </c>
      <c r="K637" s="3" t="s">
        <v>27</v>
      </c>
      <c r="L637" s="3" t="s">
        <v>48</v>
      </c>
      <c r="M637" s="3" t="s">
        <v>41</v>
      </c>
      <c r="N637" s="3" t="s">
        <v>17</v>
      </c>
    </row>
    <row r="638" spans="1:14" x14ac:dyDescent="0.3">
      <c r="A638" s="2" t="s">
        <v>9424</v>
      </c>
      <c r="B638" s="2" t="s">
        <v>178</v>
      </c>
      <c r="C638" s="2" t="s">
        <v>42</v>
      </c>
      <c r="D638" s="2" t="s">
        <v>254</v>
      </c>
      <c r="E638" s="2" t="s">
        <v>22</v>
      </c>
      <c r="F638" s="2">
        <v>27</v>
      </c>
      <c r="G638" s="2">
        <v>62561.55</v>
      </c>
      <c r="H638" s="2">
        <v>2317.09</v>
      </c>
      <c r="I638" s="2" t="s">
        <v>5977</v>
      </c>
      <c r="J638" s="2">
        <v>247</v>
      </c>
      <c r="K638" s="2" t="s">
        <v>19</v>
      </c>
      <c r="L638" s="2" t="s">
        <v>48</v>
      </c>
      <c r="M638" s="2" t="s">
        <v>24</v>
      </c>
      <c r="N638" s="2" t="s">
        <v>17</v>
      </c>
    </row>
    <row r="639" spans="1:14" x14ac:dyDescent="0.3">
      <c r="A639" s="3" t="s">
        <v>2379</v>
      </c>
      <c r="B639" s="3" t="s">
        <v>1505</v>
      </c>
      <c r="C639" s="3" t="s">
        <v>18</v>
      </c>
      <c r="D639" s="3" t="s">
        <v>283</v>
      </c>
      <c r="E639" s="3" t="s">
        <v>22</v>
      </c>
      <c r="F639" s="3">
        <v>19</v>
      </c>
      <c r="G639" s="3">
        <v>6904.56</v>
      </c>
      <c r="H639" s="3">
        <v>363.4</v>
      </c>
      <c r="I639" s="3" t="s">
        <v>2899</v>
      </c>
      <c r="J639" s="3">
        <v>277</v>
      </c>
      <c r="K639" s="3" t="s">
        <v>19</v>
      </c>
      <c r="L639" s="3" t="s">
        <v>15</v>
      </c>
      <c r="M639" s="3" t="s">
        <v>41</v>
      </c>
      <c r="N639" s="3" t="s">
        <v>17</v>
      </c>
    </row>
    <row r="640" spans="1:14" x14ac:dyDescent="0.3">
      <c r="A640" s="2" t="s">
        <v>4664</v>
      </c>
      <c r="B640" s="2" t="s">
        <v>422</v>
      </c>
      <c r="C640" s="2" t="s">
        <v>42</v>
      </c>
      <c r="D640" s="2" t="s">
        <v>171</v>
      </c>
      <c r="E640" s="2" t="s">
        <v>14</v>
      </c>
      <c r="F640" s="2">
        <v>1</v>
      </c>
      <c r="G640" s="2">
        <v>129209.67</v>
      </c>
      <c r="H640" s="2">
        <v>129209.67</v>
      </c>
      <c r="I640" s="2" t="s">
        <v>1079</v>
      </c>
      <c r="J640" s="2">
        <v>223</v>
      </c>
      <c r="K640" s="2" t="s">
        <v>19</v>
      </c>
      <c r="L640" s="2" t="s">
        <v>23</v>
      </c>
      <c r="M640" s="2" t="s">
        <v>16</v>
      </c>
      <c r="N640" s="2" t="s">
        <v>17</v>
      </c>
    </row>
    <row r="641" spans="1:14" x14ac:dyDescent="0.3">
      <c r="A641" s="3" t="s">
        <v>9425</v>
      </c>
      <c r="B641" s="3" t="s">
        <v>117</v>
      </c>
      <c r="C641" s="3" t="s">
        <v>18</v>
      </c>
      <c r="D641" s="3" t="s">
        <v>712</v>
      </c>
      <c r="E641" s="3" t="s">
        <v>14</v>
      </c>
      <c r="F641" s="3">
        <v>27</v>
      </c>
      <c r="G641" s="3">
        <v>79193.89</v>
      </c>
      <c r="H641" s="3">
        <v>2933.11</v>
      </c>
      <c r="I641" s="3" t="s">
        <v>424</v>
      </c>
      <c r="J641" s="3">
        <v>263</v>
      </c>
      <c r="K641" s="3" t="s">
        <v>28</v>
      </c>
      <c r="L641" s="3" t="s">
        <v>48</v>
      </c>
      <c r="M641" s="3" t="s">
        <v>24</v>
      </c>
      <c r="N641" s="3" t="s">
        <v>17</v>
      </c>
    </row>
    <row r="642" spans="1:14" x14ac:dyDescent="0.3">
      <c r="A642" s="2" t="s">
        <v>9426</v>
      </c>
      <c r="B642" s="2" t="s">
        <v>1675</v>
      </c>
      <c r="C642" s="2" t="s">
        <v>33</v>
      </c>
      <c r="D642" s="2" t="s">
        <v>712</v>
      </c>
      <c r="E642" s="2" t="s">
        <v>14</v>
      </c>
      <c r="F642" s="2">
        <v>3</v>
      </c>
      <c r="G642" s="2">
        <v>172336.33</v>
      </c>
      <c r="H642" s="2">
        <v>57445.440000000002</v>
      </c>
      <c r="I642" s="2" t="s">
        <v>2354</v>
      </c>
      <c r="J642" s="2">
        <v>328</v>
      </c>
      <c r="K642" s="2" t="s">
        <v>19</v>
      </c>
      <c r="L642" s="2" t="s">
        <v>48</v>
      </c>
      <c r="M642" s="2" t="s">
        <v>16</v>
      </c>
      <c r="N642" s="2" t="s">
        <v>17</v>
      </c>
    </row>
    <row r="643" spans="1:14" x14ac:dyDescent="0.3">
      <c r="A643" s="3" t="s">
        <v>9427</v>
      </c>
      <c r="B643" s="3" t="s">
        <v>1246</v>
      </c>
      <c r="C643" s="3" t="s">
        <v>33</v>
      </c>
      <c r="D643" s="3" t="s">
        <v>314</v>
      </c>
      <c r="E643" s="3" t="s">
        <v>39</v>
      </c>
      <c r="F643" s="3">
        <v>9</v>
      </c>
      <c r="G643" s="3">
        <v>78542.490000000005</v>
      </c>
      <c r="H643" s="3">
        <v>8726.94</v>
      </c>
      <c r="I643" s="3" t="s">
        <v>1330</v>
      </c>
      <c r="J643" s="3">
        <v>327</v>
      </c>
      <c r="K643" s="3" t="s">
        <v>13</v>
      </c>
      <c r="L643" s="3" t="s">
        <v>40</v>
      </c>
      <c r="M643" s="3" t="s">
        <v>24</v>
      </c>
      <c r="N643" s="3" t="s">
        <v>17</v>
      </c>
    </row>
    <row r="644" spans="1:14" x14ac:dyDescent="0.3">
      <c r="A644" s="2" t="s">
        <v>9428</v>
      </c>
      <c r="B644" s="2" t="s">
        <v>847</v>
      </c>
      <c r="C644" s="2" t="s">
        <v>26</v>
      </c>
      <c r="D644" s="2" t="s">
        <v>160</v>
      </c>
      <c r="E644" s="2" t="s">
        <v>29</v>
      </c>
      <c r="F644" s="2">
        <v>5</v>
      </c>
      <c r="G644" s="2">
        <v>197590.96</v>
      </c>
      <c r="H644" s="2">
        <v>39518.19</v>
      </c>
      <c r="I644" s="2" t="s">
        <v>1192</v>
      </c>
      <c r="J644" s="2">
        <v>55</v>
      </c>
      <c r="K644" s="2" t="s">
        <v>27</v>
      </c>
      <c r="L644" s="2" t="s">
        <v>48</v>
      </c>
      <c r="M644" s="2" t="s">
        <v>16</v>
      </c>
      <c r="N644" s="2" t="s">
        <v>25</v>
      </c>
    </row>
    <row r="645" spans="1:14" x14ac:dyDescent="0.3">
      <c r="A645" s="3" t="s">
        <v>4319</v>
      </c>
      <c r="B645" s="3" t="s">
        <v>1159</v>
      </c>
      <c r="C645" s="3" t="s">
        <v>26</v>
      </c>
      <c r="D645" s="3" t="s">
        <v>183</v>
      </c>
      <c r="E645" s="3" t="s">
        <v>14</v>
      </c>
      <c r="F645" s="3">
        <v>8</v>
      </c>
      <c r="G645" s="3">
        <v>101898.73</v>
      </c>
      <c r="H645" s="3">
        <v>12737.34</v>
      </c>
      <c r="I645" s="3" t="s">
        <v>3675</v>
      </c>
      <c r="J645" s="3">
        <v>237</v>
      </c>
      <c r="K645" s="3" t="s">
        <v>27</v>
      </c>
      <c r="L645" s="3" t="s">
        <v>23</v>
      </c>
      <c r="M645" s="3" t="s">
        <v>16</v>
      </c>
      <c r="N645" s="3" t="s">
        <v>17</v>
      </c>
    </row>
    <row r="646" spans="1:14" x14ac:dyDescent="0.3">
      <c r="A646" s="2" t="s">
        <v>9429</v>
      </c>
      <c r="B646" s="2" t="s">
        <v>791</v>
      </c>
      <c r="C646" s="2" t="s">
        <v>33</v>
      </c>
      <c r="D646" s="2" t="s">
        <v>324</v>
      </c>
      <c r="E646" s="2" t="s">
        <v>39</v>
      </c>
      <c r="F646" s="2">
        <v>8</v>
      </c>
      <c r="G646" s="2">
        <v>95940.55</v>
      </c>
      <c r="H646" s="2">
        <v>11992.57</v>
      </c>
      <c r="I646" s="2" t="s">
        <v>1256</v>
      </c>
      <c r="J646" s="2">
        <v>153</v>
      </c>
      <c r="K646" s="2" t="s">
        <v>13</v>
      </c>
      <c r="L646" s="2" t="s">
        <v>15</v>
      </c>
      <c r="M646" s="2" t="s">
        <v>24</v>
      </c>
      <c r="N646" s="2" t="s">
        <v>32</v>
      </c>
    </row>
    <row r="647" spans="1:14" x14ac:dyDescent="0.3">
      <c r="A647" s="3" t="s">
        <v>8066</v>
      </c>
      <c r="B647" s="3" t="s">
        <v>2136</v>
      </c>
      <c r="C647" s="3" t="s">
        <v>33</v>
      </c>
      <c r="D647" s="3" t="s">
        <v>160</v>
      </c>
      <c r="E647" s="3" t="s">
        <v>29</v>
      </c>
      <c r="F647" s="3">
        <v>7</v>
      </c>
      <c r="G647" s="3">
        <v>178866.03</v>
      </c>
      <c r="H647" s="3">
        <v>25552.29</v>
      </c>
      <c r="I647" s="3" t="s">
        <v>1113</v>
      </c>
      <c r="J647" s="3">
        <v>45</v>
      </c>
      <c r="K647" s="3" t="s">
        <v>19</v>
      </c>
      <c r="L647" s="3" t="s">
        <v>43</v>
      </c>
      <c r="M647" s="3" t="s">
        <v>16</v>
      </c>
      <c r="N647" s="3" t="s">
        <v>25</v>
      </c>
    </row>
    <row r="648" spans="1:14" x14ac:dyDescent="0.3">
      <c r="A648" s="2" t="s">
        <v>7964</v>
      </c>
      <c r="B648" s="2" t="s">
        <v>1792</v>
      </c>
      <c r="C648" s="2" t="s">
        <v>42</v>
      </c>
      <c r="D648" s="2" t="s">
        <v>314</v>
      </c>
      <c r="E648" s="2" t="s">
        <v>39</v>
      </c>
      <c r="F648" s="2">
        <v>9</v>
      </c>
      <c r="G648" s="2">
        <v>174613.66</v>
      </c>
      <c r="H648" s="2">
        <v>19401.52</v>
      </c>
      <c r="I648" s="2" t="s">
        <v>3191</v>
      </c>
      <c r="J648" s="2">
        <v>347</v>
      </c>
      <c r="K648" s="2" t="s">
        <v>27</v>
      </c>
      <c r="L648" s="2" t="s">
        <v>47</v>
      </c>
      <c r="M648" s="2" t="s">
        <v>16</v>
      </c>
      <c r="N648" s="2" t="s">
        <v>17</v>
      </c>
    </row>
    <row r="649" spans="1:14" x14ac:dyDescent="0.3">
      <c r="A649" s="3" t="s">
        <v>9430</v>
      </c>
      <c r="B649" s="3" t="s">
        <v>1517</v>
      </c>
      <c r="C649" s="3" t="s">
        <v>26</v>
      </c>
      <c r="D649" s="3" t="s">
        <v>225</v>
      </c>
      <c r="E649" s="3" t="s">
        <v>39</v>
      </c>
      <c r="F649" s="3">
        <v>29</v>
      </c>
      <c r="G649" s="3">
        <v>61604.3</v>
      </c>
      <c r="H649" s="3">
        <v>2124.29</v>
      </c>
      <c r="I649" s="3" t="s">
        <v>4966</v>
      </c>
      <c r="J649" s="3">
        <v>3</v>
      </c>
      <c r="K649" s="3" t="s">
        <v>13</v>
      </c>
      <c r="L649" s="3" t="s">
        <v>30</v>
      </c>
      <c r="M649" s="3" t="s">
        <v>24</v>
      </c>
      <c r="N649" s="3" t="s">
        <v>25</v>
      </c>
    </row>
    <row r="650" spans="1:14" x14ac:dyDescent="0.3">
      <c r="A650" s="2" t="s">
        <v>9431</v>
      </c>
      <c r="B650" s="2" t="s">
        <v>1019</v>
      </c>
      <c r="C650" s="2" t="s">
        <v>33</v>
      </c>
      <c r="D650" s="2" t="s">
        <v>171</v>
      </c>
      <c r="E650" s="2" t="s">
        <v>14</v>
      </c>
      <c r="F650" s="2">
        <v>15</v>
      </c>
      <c r="G650" s="2">
        <v>199838.25</v>
      </c>
      <c r="H650" s="2">
        <v>13322.55</v>
      </c>
      <c r="I650" s="2" t="s">
        <v>1784</v>
      </c>
      <c r="J650" s="2">
        <v>214</v>
      </c>
      <c r="K650" s="2" t="s">
        <v>28</v>
      </c>
      <c r="L650" s="2" t="s">
        <v>23</v>
      </c>
      <c r="M650" s="2" t="s">
        <v>16</v>
      </c>
      <c r="N650" s="2" t="s">
        <v>17</v>
      </c>
    </row>
    <row r="651" spans="1:14" x14ac:dyDescent="0.3">
      <c r="A651" s="3" t="s">
        <v>9432</v>
      </c>
      <c r="B651" s="3" t="s">
        <v>1792</v>
      </c>
      <c r="C651" s="3" t="s">
        <v>42</v>
      </c>
      <c r="D651" s="3" t="s">
        <v>324</v>
      </c>
      <c r="E651" s="3" t="s">
        <v>39</v>
      </c>
      <c r="F651" s="3">
        <v>18</v>
      </c>
      <c r="G651" s="3">
        <v>51758.23</v>
      </c>
      <c r="H651" s="3">
        <v>2875.46</v>
      </c>
      <c r="I651" s="3" t="s">
        <v>213</v>
      </c>
      <c r="J651" s="3">
        <v>87</v>
      </c>
      <c r="K651" s="3" t="s">
        <v>21</v>
      </c>
      <c r="L651" s="3" t="s">
        <v>48</v>
      </c>
      <c r="M651" s="3" t="s">
        <v>24</v>
      </c>
      <c r="N651" s="3" t="s">
        <v>25</v>
      </c>
    </row>
    <row r="652" spans="1:14" x14ac:dyDescent="0.3">
      <c r="A652" s="2" t="s">
        <v>9433</v>
      </c>
      <c r="B652" s="2" t="s">
        <v>680</v>
      </c>
      <c r="C652" s="2" t="s">
        <v>18</v>
      </c>
      <c r="D652" s="2" t="s">
        <v>215</v>
      </c>
      <c r="E652" s="2" t="s">
        <v>14</v>
      </c>
      <c r="F652" s="2">
        <v>9</v>
      </c>
      <c r="G652" s="2">
        <v>167422.28</v>
      </c>
      <c r="H652" s="2">
        <v>18602.48</v>
      </c>
      <c r="I652" s="2" t="s">
        <v>581</v>
      </c>
      <c r="J652" s="2">
        <v>294</v>
      </c>
      <c r="K652" s="2" t="s">
        <v>27</v>
      </c>
      <c r="L652" s="2" t="s">
        <v>15</v>
      </c>
      <c r="M652" s="2" t="s">
        <v>16</v>
      </c>
      <c r="N652" s="2" t="s">
        <v>17</v>
      </c>
    </row>
    <row r="653" spans="1:14" x14ac:dyDescent="0.3">
      <c r="A653" s="3" t="s">
        <v>9434</v>
      </c>
      <c r="B653" s="3" t="s">
        <v>680</v>
      </c>
      <c r="C653" s="3" t="s">
        <v>26</v>
      </c>
      <c r="D653" s="3" t="s">
        <v>109</v>
      </c>
      <c r="E653" s="3" t="s">
        <v>39</v>
      </c>
      <c r="F653" s="3">
        <v>7</v>
      </c>
      <c r="G653" s="3">
        <v>18396.37</v>
      </c>
      <c r="H653" s="3">
        <v>2628.05</v>
      </c>
      <c r="I653" s="3" t="s">
        <v>998</v>
      </c>
      <c r="J653" s="3">
        <v>52</v>
      </c>
      <c r="K653" s="3" t="s">
        <v>28</v>
      </c>
      <c r="L653" s="3" t="s">
        <v>30</v>
      </c>
      <c r="M653" s="3" t="s">
        <v>31</v>
      </c>
      <c r="N653" s="3" t="s">
        <v>25</v>
      </c>
    </row>
    <row r="654" spans="1:14" x14ac:dyDescent="0.3">
      <c r="A654" s="2" t="s">
        <v>9435</v>
      </c>
      <c r="B654" s="2" t="s">
        <v>4617</v>
      </c>
      <c r="C654" s="2" t="s">
        <v>18</v>
      </c>
      <c r="D654" s="2" t="s">
        <v>443</v>
      </c>
      <c r="E654" s="2" t="s">
        <v>22</v>
      </c>
      <c r="F654" s="2">
        <v>27</v>
      </c>
      <c r="G654" s="2">
        <v>160507.79</v>
      </c>
      <c r="H654" s="2">
        <v>5944.73</v>
      </c>
      <c r="I654" s="2" t="s">
        <v>242</v>
      </c>
      <c r="J654" s="2">
        <v>100</v>
      </c>
      <c r="K654" s="2" t="s">
        <v>27</v>
      </c>
      <c r="L654" s="2" t="s">
        <v>30</v>
      </c>
      <c r="M654" s="2" t="s">
        <v>16</v>
      </c>
      <c r="N654" s="2" t="s">
        <v>32</v>
      </c>
    </row>
    <row r="655" spans="1:14" x14ac:dyDescent="0.3">
      <c r="A655" s="3" t="s">
        <v>9436</v>
      </c>
      <c r="B655" s="3" t="s">
        <v>2136</v>
      </c>
      <c r="C655" s="3" t="s">
        <v>42</v>
      </c>
      <c r="D655" s="3" t="s">
        <v>443</v>
      </c>
      <c r="E655" s="3" t="s">
        <v>22</v>
      </c>
      <c r="F655" s="3">
        <v>17</v>
      </c>
      <c r="G655" s="3">
        <v>180122.81</v>
      </c>
      <c r="H655" s="3">
        <v>10595.46</v>
      </c>
      <c r="I655" s="3" t="s">
        <v>4032</v>
      </c>
      <c r="J655" s="3">
        <v>18</v>
      </c>
      <c r="K655" s="3" t="s">
        <v>28</v>
      </c>
      <c r="L655" s="3" t="s">
        <v>30</v>
      </c>
      <c r="M655" s="3" t="s">
        <v>16</v>
      </c>
      <c r="N655" s="3" t="s">
        <v>25</v>
      </c>
    </row>
    <row r="656" spans="1:14" x14ac:dyDescent="0.3">
      <c r="A656" s="2" t="s">
        <v>9437</v>
      </c>
      <c r="B656" s="2" t="s">
        <v>816</v>
      </c>
      <c r="C656" s="2" t="s">
        <v>33</v>
      </c>
      <c r="D656" s="2" t="s">
        <v>109</v>
      </c>
      <c r="E656" s="2" t="s">
        <v>39</v>
      </c>
      <c r="F656" s="2">
        <v>24</v>
      </c>
      <c r="G656" s="2">
        <v>18338.080000000002</v>
      </c>
      <c r="H656" s="2">
        <v>764.09</v>
      </c>
      <c r="I656" s="2" t="s">
        <v>2022</v>
      </c>
      <c r="J656" s="2">
        <v>99</v>
      </c>
      <c r="K656" s="2" t="s">
        <v>19</v>
      </c>
      <c r="L656" s="2" t="s">
        <v>15</v>
      </c>
      <c r="M656" s="2" t="s">
        <v>31</v>
      </c>
      <c r="N656" s="2" t="s">
        <v>32</v>
      </c>
    </row>
    <row r="657" spans="1:14" x14ac:dyDescent="0.3">
      <c r="A657" s="3" t="s">
        <v>9438</v>
      </c>
      <c r="B657" s="3" t="s">
        <v>210</v>
      </c>
      <c r="C657" s="3" t="s">
        <v>33</v>
      </c>
      <c r="D657" s="3" t="s">
        <v>122</v>
      </c>
      <c r="E657" s="3" t="s">
        <v>22</v>
      </c>
      <c r="F657" s="3">
        <v>14</v>
      </c>
      <c r="G657" s="3">
        <v>185359.45</v>
      </c>
      <c r="H657" s="3">
        <v>13239.96</v>
      </c>
      <c r="I657" s="3" t="s">
        <v>1256</v>
      </c>
      <c r="J657" s="3">
        <v>153</v>
      </c>
      <c r="K657" s="3" t="s">
        <v>21</v>
      </c>
      <c r="L657" s="3" t="s">
        <v>30</v>
      </c>
      <c r="M657" s="3" t="s">
        <v>16</v>
      </c>
      <c r="N657" s="3" t="s">
        <v>32</v>
      </c>
    </row>
    <row r="658" spans="1:14" x14ac:dyDescent="0.3">
      <c r="A658" s="2" t="s">
        <v>9439</v>
      </c>
      <c r="B658" s="2" t="s">
        <v>377</v>
      </c>
      <c r="C658" s="2" t="s">
        <v>42</v>
      </c>
      <c r="D658" s="2" t="s">
        <v>225</v>
      </c>
      <c r="E658" s="2" t="s">
        <v>39</v>
      </c>
      <c r="F658" s="2">
        <v>21</v>
      </c>
      <c r="G658" s="2">
        <v>137700.6</v>
      </c>
      <c r="H658" s="2">
        <v>6557.17</v>
      </c>
      <c r="I658" s="2" t="s">
        <v>4966</v>
      </c>
      <c r="J658" s="2">
        <v>3</v>
      </c>
      <c r="K658" s="2" t="s">
        <v>27</v>
      </c>
      <c r="L658" s="2" t="s">
        <v>23</v>
      </c>
      <c r="M658" s="2" t="s">
        <v>16</v>
      </c>
      <c r="N658" s="2" t="s">
        <v>25</v>
      </c>
    </row>
    <row r="659" spans="1:14" x14ac:dyDescent="0.3">
      <c r="A659" s="3" t="s">
        <v>9440</v>
      </c>
      <c r="B659" s="3" t="s">
        <v>2097</v>
      </c>
      <c r="C659" s="3" t="s">
        <v>26</v>
      </c>
      <c r="D659" s="3" t="s">
        <v>193</v>
      </c>
      <c r="E659" s="3" t="s">
        <v>39</v>
      </c>
      <c r="F659" s="3">
        <v>2</v>
      </c>
      <c r="G659" s="3">
        <v>183104.47</v>
      </c>
      <c r="H659" s="3">
        <v>91552.24</v>
      </c>
      <c r="I659" s="3" t="s">
        <v>2387</v>
      </c>
      <c r="J659" s="3">
        <v>271</v>
      </c>
      <c r="K659" s="3" t="s">
        <v>27</v>
      </c>
      <c r="L659" s="3" t="s">
        <v>43</v>
      </c>
      <c r="M659" s="3" t="s">
        <v>16</v>
      </c>
      <c r="N659" s="3" t="s">
        <v>17</v>
      </c>
    </row>
    <row r="660" spans="1:14" x14ac:dyDescent="0.3">
      <c r="A660" s="2" t="s">
        <v>9441</v>
      </c>
      <c r="B660" s="2" t="s">
        <v>536</v>
      </c>
      <c r="C660" s="2" t="s">
        <v>33</v>
      </c>
      <c r="D660" s="2" t="s">
        <v>122</v>
      </c>
      <c r="E660" s="2" t="s">
        <v>22</v>
      </c>
      <c r="F660" s="2">
        <v>25</v>
      </c>
      <c r="G660" s="2">
        <v>122612.37</v>
      </c>
      <c r="H660" s="2">
        <v>4904.49</v>
      </c>
      <c r="I660" s="2" t="s">
        <v>2376</v>
      </c>
      <c r="J660" s="2">
        <v>93</v>
      </c>
      <c r="K660" s="2" t="s">
        <v>19</v>
      </c>
      <c r="L660" s="2" t="s">
        <v>47</v>
      </c>
      <c r="M660" s="2" t="s">
        <v>16</v>
      </c>
      <c r="N660" s="2" t="s">
        <v>32</v>
      </c>
    </row>
    <row r="661" spans="1:14" x14ac:dyDescent="0.3">
      <c r="A661" s="3" t="s">
        <v>9442</v>
      </c>
      <c r="B661" s="3" t="s">
        <v>1293</v>
      </c>
      <c r="C661" s="3" t="s">
        <v>18</v>
      </c>
      <c r="D661" s="3" t="s">
        <v>712</v>
      </c>
      <c r="E661" s="3" t="s">
        <v>14</v>
      </c>
      <c r="F661" s="3">
        <v>23</v>
      </c>
      <c r="G661" s="3">
        <v>183192.9</v>
      </c>
      <c r="H661" s="3">
        <v>7964.91</v>
      </c>
      <c r="I661" s="3" t="s">
        <v>1906</v>
      </c>
      <c r="J661" s="3">
        <v>47</v>
      </c>
      <c r="K661" s="3" t="s">
        <v>13</v>
      </c>
      <c r="L661" s="3" t="s">
        <v>40</v>
      </c>
      <c r="M661" s="3" t="s">
        <v>16</v>
      </c>
      <c r="N661" s="3" t="s">
        <v>25</v>
      </c>
    </row>
    <row r="662" spans="1:14" x14ac:dyDescent="0.3">
      <c r="A662" s="2" t="s">
        <v>9443</v>
      </c>
      <c r="B662" s="2" t="s">
        <v>1918</v>
      </c>
      <c r="C662" s="2" t="s">
        <v>33</v>
      </c>
      <c r="D662" s="2" t="s">
        <v>283</v>
      </c>
      <c r="E662" s="2" t="s">
        <v>22</v>
      </c>
      <c r="F662" s="2">
        <v>23</v>
      </c>
      <c r="G662" s="2">
        <v>72812.44</v>
      </c>
      <c r="H662" s="2">
        <v>3165.76</v>
      </c>
      <c r="I662" s="2" t="s">
        <v>2752</v>
      </c>
      <c r="J662" s="2">
        <v>255</v>
      </c>
      <c r="K662" s="2" t="s">
        <v>28</v>
      </c>
      <c r="L662" s="2" t="s">
        <v>40</v>
      </c>
      <c r="M662" s="2" t="s">
        <v>24</v>
      </c>
      <c r="N662" s="2" t="s">
        <v>17</v>
      </c>
    </row>
    <row r="663" spans="1:14" x14ac:dyDescent="0.3">
      <c r="A663" s="3" t="s">
        <v>9444</v>
      </c>
      <c r="B663" s="3" t="s">
        <v>4617</v>
      </c>
      <c r="C663" s="3" t="s">
        <v>33</v>
      </c>
      <c r="D663" s="3" t="s">
        <v>109</v>
      </c>
      <c r="E663" s="3" t="s">
        <v>39</v>
      </c>
      <c r="F663" s="3">
        <v>2</v>
      </c>
      <c r="G663" s="3">
        <v>189523.97</v>
      </c>
      <c r="H663" s="3">
        <v>94761.99</v>
      </c>
      <c r="I663" s="3" t="s">
        <v>857</v>
      </c>
      <c r="J663" s="3">
        <v>213</v>
      </c>
      <c r="K663" s="3" t="s">
        <v>21</v>
      </c>
      <c r="L663" s="3" t="s">
        <v>15</v>
      </c>
      <c r="M663" s="3" t="s">
        <v>16</v>
      </c>
      <c r="N663" s="3" t="s">
        <v>17</v>
      </c>
    </row>
    <row r="664" spans="1:14" x14ac:dyDescent="0.3">
      <c r="A664" s="2" t="s">
        <v>9445</v>
      </c>
      <c r="B664" s="2" t="s">
        <v>1885</v>
      </c>
      <c r="C664" s="2" t="s">
        <v>33</v>
      </c>
      <c r="D664" s="2" t="s">
        <v>193</v>
      </c>
      <c r="E664" s="2" t="s">
        <v>39</v>
      </c>
      <c r="F664" s="2">
        <v>20</v>
      </c>
      <c r="G664" s="2">
        <v>10596.45</v>
      </c>
      <c r="H664" s="2">
        <v>529.82000000000005</v>
      </c>
      <c r="I664" s="2" t="s">
        <v>251</v>
      </c>
      <c r="J664" s="2">
        <v>17</v>
      </c>
      <c r="K664" s="2" t="s">
        <v>21</v>
      </c>
      <c r="L664" s="2" t="s">
        <v>47</v>
      </c>
      <c r="M664" s="2" t="s">
        <v>31</v>
      </c>
      <c r="N664" s="2" t="s">
        <v>25</v>
      </c>
    </row>
    <row r="665" spans="1:14" x14ac:dyDescent="0.3">
      <c r="A665" s="3" t="s">
        <v>2179</v>
      </c>
      <c r="B665" s="3" t="s">
        <v>816</v>
      </c>
      <c r="C665" s="3" t="s">
        <v>18</v>
      </c>
      <c r="D665" s="3" t="s">
        <v>95</v>
      </c>
      <c r="E665" s="3" t="s">
        <v>14</v>
      </c>
      <c r="F665" s="3">
        <v>19</v>
      </c>
      <c r="G665" s="3">
        <v>114662.55</v>
      </c>
      <c r="H665" s="3">
        <v>6034.87</v>
      </c>
      <c r="I665" s="3" t="s">
        <v>2132</v>
      </c>
      <c r="J665" s="3">
        <v>177</v>
      </c>
      <c r="K665" s="3" t="s">
        <v>28</v>
      </c>
      <c r="L665" s="3" t="s">
        <v>48</v>
      </c>
      <c r="M665" s="3" t="s">
        <v>16</v>
      </c>
      <c r="N665" s="3" t="s">
        <v>32</v>
      </c>
    </row>
    <row r="666" spans="1:14" x14ac:dyDescent="0.3">
      <c r="A666" s="2" t="s">
        <v>9446</v>
      </c>
      <c r="B666" s="2" t="s">
        <v>512</v>
      </c>
      <c r="C666" s="2" t="s">
        <v>33</v>
      </c>
      <c r="D666" s="2" t="s">
        <v>834</v>
      </c>
      <c r="E666" s="2" t="s">
        <v>29</v>
      </c>
      <c r="F666" s="2">
        <v>2</v>
      </c>
      <c r="G666" s="2">
        <v>167847.41</v>
      </c>
      <c r="H666" s="2">
        <v>83923.71</v>
      </c>
      <c r="I666" s="2" t="s">
        <v>3316</v>
      </c>
      <c r="J666" s="2">
        <v>280</v>
      </c>
      <c r="K666" s="2" t="s">
        <v>19</v>
      </c>
      <c r="L666" s="2" t="s">
        <v>15</v>
      </c>
      <c r="M666" s="2" t="s">
        <v>16</v>
      </c>
      <c r="N666" s="2" t="s">
        <v>17</v>
      </c>
    </row>
    <row r="667" spans="1:14" x14ac:dyDescent="0.3">
      <c r="A667" s="3" t="s">
        <v>9447</v>
      </c>
      <c r="B667" s="3" t="s">
        <v>603</v>
      </c>
      <c r="C667" s="3" t="s">
        <v>42</v>
      </c>
      <c r="D667" s="3" t="s">
        <v>738</v>
      </c>
      <c r="E667" s="3" t="s">
        <v>22</v>
      </c>
      <c r="F667" s="3">
        <v>20</v>
      </c>
      <c r="G667" s="3">
        <v>89960.86</v>
      </c>
      <c r="H667" s="3">
        <v>4498.04</v>
      </c>
      <c r="I667" s="3" t="s">
        <v>2928</v>
      </c>
      <c r="J667" s="3">
        <v>364</v>
      </c>
      <c r="K667" s="3" t="s">
        <v>27</v>
      </c>
      <c r="L667" s="3" t="s">
        <v>15</v>
      </c>
      <c r="M667" s="3" t="s">
        <v>24</v>
      </c>
      <c r="N667" s="3" t="s">
        <v>17</v>
      </c>
    </row>
    <row r="668" spans="1:14" x14ac:dyDescent="0.3">
      <c r="A668" s="2" t="s">
        <v>9448</v>
      </c>
      <c r="B668" s="2" t="s">
        <v>117</v>
      </c>
      <c r="C668" s="2" t="s">
        <v>33</v>
      </c>
      <c r="D668" s="2" t="s">
        <v>122</v>
      </c>
      <c r="E668" s="2" t="s">
        <v>22</v>
      </c>
      <c r="F668" s="2">
        <v>24</v>
      </c>
      <c r="G668" s="2">
        <v>110304.62</v>
      </c>
      <c r="H668" s="2">
        <v>4596.03</v>
      </c>
      <c r="I668" s="2" t="s">
        <v>5669</v>
      </c>
      <c r="J668" s="2">
        <v>241</v>
      </c>
      <c r="K668" s="2" t="s">
        <v>27</v>
      </c>
      <c r="L668" s="2" t="s">
        <v>30</v>
      </c>
      <c r="M668" s="2" t="s">
        <v>16</v>
      </c>
      <c r="N668" s="2" t="s">
        <v>17</v>
      </c>
    </row>
    <row r="669" spans="1:14" x14ac:dyDescent="0.3">
      <c r="A669" s="3" t="s">
        <v>9449</v>
      </c>
      <c r="B669" s="3" t="s">
        <v>521</v>
      </c>
      <c r="C669" s="3" t="s">
        <v>42</v>
      </c>
      <c r="D669" s="3" t="s">
        <v>283</v>
      </c>
      <c r="E669" s="3" t="s">
        <v>22</v>
      </c>
      <c r="F669" s="3">
        <v>1</v>
      </c>
      <c r="G669" s="3">
        <v>40724.589999999997</v>
      </c>
      <c r="H669" s="3">
        <v>40724.589999999997</v>
      </c>
      <c r="I669" s="3" t="s">
        <v>2409</v>
      </c>
      <c r="J669" s="3">
        <v>155</v>
      </c>
      <c r="K669" s="3" t="s">
        <v>19</v>
      </c>
      <c r="L669" s="3" t="s">
        <v>48</v>
      </c>
      <c r="M669" s="3" t="s">
        <v>31</v>
      </c>
      <c r="N669" s="3" t="s">
        <v>32</v>
      </c>
    </row>
    <row r="670" spans="1:14" x14ac:dyDescent="0.3">
      <c r="A670" s="2" t="s">
        <v>5853</v>
      </c>
      <c r="B670" s="2" t="s">
        <v>759</v>
      </c>
      <c r="C670" s="2" t="s">
        <v>18</v>
      </c>
      <c r="D670" s="2" t="s">
        <v>427</v>
      </c>
      <c r="E670" s="2" t="s">
        <v>29</v>
      </c>
      <c r="F670" s="2">
        <v>18</v>
      </c>
      <c r="G670" s="2">
        <v>179822.82</v>
      </c>
      <c r="H670" s="2">
        <v>9990.16</v>
      </c>
      <c r="I670" s="2" t="s">
        <v>2293</v>
      </c>
      <c r="J670" s="2">
        <v>161</v>
      </c>
      <c r="K670" s="2" t="s">
        <v>13</v>
      </c>
      <c r="L670" s="2" t="s">
        <v>23</v>
      </c>
      <c r="M670" s="2" t="s">
        <v>16</v>
      </c>
      <c r="N670" s="2" t="s">
        <v>32</v>
      </c>
    </row>
    <row r="671" spans="1:14" x14ac:dyDescent="0.3">
      <c r="A671" s="3" t="s">
        <v>9450</v>
      </c>
      <c r="B671" s="3" t="s">
        <v>521</v>
      </c>
      <c r="C671" s="3" t="s">
        <v>26</v>
      </c>
      <c r="D671" s="3" t="s">
        <v>427</v>
      </c>
      <c r="E671" s="3" t="s">
        <v>29</v>
      </c>
      <c r="F671" s="3">
        <v>20</v>
      </c>
      <c r="G671" s="3">
        <v>55376.68</v>
      </c>
      <c r="H671" s="3">
        <v>2768.83</v>
      </c>
      <c r="I671" s="3" t="s">
        <v>4858</v>
      </c>
      <c r="J671" s="3">
        <v>285</v>
      </c>
      <c r="K671" s="3" t="s">
        <v>28</v>
      </c>
      <c r="L671" s="3" t="s">
        <v>43</v>
      </c>
      <c r="M671" s="3" t="s">
        <v>24</v>
      </c>
      <c r="N671" s="3" t="s">
        <v>17</v>
      </c>
    </row>
    <row r="672" spans="1:14" x14ac:dyDescent="0.3">
      <c r="A672" s="2" t="s">
        <v>3925</v>
      </c>
      <c r="B672" s="2" t="s">
        <v>1861</v>
      </c>
      <c r="C672" s="2" t="s">
        <v>33</v>
      </c>
      <c r="D672" s="2" t="s">
        <v>254</v>
      </c>
      <c r="E672" s="2" t="s">
        <v>22</v>
      </c>
      <c r="F672" s="2">
        <v>10</v>
      </c>
      <c r="G672" s="2">
        <v>66482.63</v>
      </c>
      <c r="H672" s="2">
        <v>6648.26</v>
      </c>
      <c r="I672" s="2" t="s">
        <v>5977</v>
      </c>
      <c r="J672" s="2">
        <v>247</v>
      </c>
      <c r="K672" s="2" t="s">
        <v>13</v>
      </c>
      <c r="L672" s="2" t="s">
        <v>23</v>
      </c>
      <c r="M672" s="2" t="s">
        <v>24</v>
      </c>
      <c r="N672" s="2" t="s">
        <v>17</v>
      </c>
    </row>
    <row r="673" spans="1:14" x14ac:dyDescent="0.3">
      <c r="A673" s="3" t="s">
        <v>9451</v>
      </c>
      <c r="B673" s="3" t="s">
        <v>912</v>
      </c>
      <c r="C673" s="3" t="s">
        <v>18</v>
      </c>
      <c r="D673" s="3" t="s">
        <v>193</v>
      </c>
      <c r="E673" s="3" t="s">
        <v>39</v>
      </c>
      <c r="F673" s="3">
        <v>25</v>
      </c>
      <c r="G673" s="3">
        <v>122506.48</v>
      </c>
      <c r="H673" s="3">
        <v>4900.26</v>
      </c>
      <c r="I673" s="3" t="s">
        <v>1907</v>
      </c>
      <c r="J673" s="3">
        <v>39</v>
      </c>
      <c r="K673" s="3" t="s">
        <v>28</v>
      </c>
      <c r="L673" s="3" t="s">
        <v>47</v>
      </c>
      <c r="M673" s="3" t="s">
        <v>16</v>
      </c>
      <c r="N673" s="3" t="s">
        <v>25</v>
      </c>
    </row>
    <row r="674" spans="1:14" x14ac:dyDescent="0.3">
      <c r="A674" s="2" t="s">
        <v>9452</v>
      </c>
      <c r="B674" s="2" t="s">
        <v>3436</v>
      </c>
      <c r="C674" s="2" t="s">
        <v>33</v>
      </c>
      <c r="D674" s="2" t="s">
        <v>712</v>
      </c>
      <c r="E674" s="2" t="s">
        <v>14</v>
      </c>
      <c r="F674" s="2">
        <v>4</v>
      </c>
      <c r="G674" s="2">
        <v>107541.14</v>
      </c>
      <c r="H674" s="2">
        <v>26885.279999999999</v>
      </c>
      <c r="I674" s="2" t="s">
        <v>3871</v>
      </c>
      <c r="J674" s="2">
        <v>274</v>
      </c>
      <c r="K674" s="2" t="s">
        <v>19</v>
      </c>
      <c r="L674" s="2" t="s">
        <v>23</v>
      </c>
      <c r="M674" s="2" t="s">
        <v>16</v>
      </c>
      <c r="N674" s="2" t="s">
        <v>17</v>
      </c>
    </row>
    <row r="675" spans="1:14" x14ac:dyDescent="0.3">
      <c r="A675" s="3" t="s">
        <v>9453</v>
      </c>
      <c r="B675" s="3" t="s">
        <v>1782</v>
      </c>
      <c r="C675" s="3" t="s">
        <v>33</v>
      </c>
      <c r="D675" s="3" t="s">
        <v>334</v>
      </c>
      <c r="E675" s="3" t="s">
        <v>29</v>
      </c>
      <c r="F675" s="3">
        <v>20</v>
      </c>
      <c r="G675" s="3">
        <v>69883.009999999995</v>
      </c>
      <c r="H675" s="3">
        <v>3494.15</v>
      </c>
      <c r="I675" s="3" t="s">
        <v>1480</v>
      </c>
      <c r="J675" s="3">
        <v>286</v>
      </c>
      <c r="K675" s="3" t="s">
        <v>13</v>
      </c>
      <c r="L675" s="3" t="s">
        <v>40</v>
      </c>
      <c r="M675" s="3" t="s">
        <v>24</v>
      </c>
      <c r="N675" s="3" t="s">
        <v>17</v>
      </c>
    </row>
    <row r="676" spans="1:14" x14ac:dyDescent="0.3">
      <c r="A676" s="2" t="s">
        <v>9454</v>
      </c>
      <c r="B676" s="2" t="s">
        <v>4171</v>
      </c>
      <c r="C676" s="2" t="s">
        <v>42</v>
      </c>
      <c r="D676" s="2" t="s">
        <v>193</v>
      </c>
      <c r="E676" s="2" t="s">
        <v>39</v>
      </c>
      <c r="F676" s="2">
        <v>22</v>
      </c>
      <c r="G676" s="2">
        <v>121593.89</v>
      </c>
      <c r="H676" s="2">
        <v>5526.99</v>
      </c>
      <c r="I676" s="2" t="s">
        <v>1913</v>
      </c>
      <c r="J676" s="2">
        <v>345</v>
      </c>
      <c r="K676" s="2" t="s">
        <v>13</v>
      </c>
      <c r="L676" s="2" t="s">
        <v>40</v>
      </c>
      <c r="M676" s="2" t="s">
        <v>16</v>
      </c>
      <c r="N676" s="2" t="s">
        <v>17</v>
      </c>
    </row>
    <row r="677" spans="1:14" x14ac:dyDescent="0.3">
      <c r="A677" s="3" t="s">
        <v>4973</v>
      </c>
      <c r="B677" s="3" t="s">
        <v>619</v>
      </c>
      <c r="C677" s="3" t="s">
        <v>18</v>
      </c>
      <c r="D677" s="3" t="s">
        <v>225</v>
      </c>
      <c r="E677" s="3" t="s">
        <v>39</v>
      </c>
      <c r="F677" s="3">
        <v>2</v>
      </c>
      <c r="G677" s="3">
        <v>168987.83</v>
      </c>
      <c r="H677" s="3">
        <v>84493.91</v>
      </c>
      <c r="I677" s="3" t="s">
        <v>2929</v>
      </c>
      <c r="J677" s="3">
        <v>362</v>
      </c>
      <c r="K677" s="3" t="s">
        <v>13</v>
      </c>
      <c r="L677" s="3" t="s">
        <v>23</v>
      </c>
      <c r="M677" s="3" t="s">
        <v>16</v>
      </c>
      <c r="N677" s="3" t="s">
        <v>17</v>
      </c>
    </row>
    <row r="678" spans="1:14" x14ac:dyDescent="0.3">
      <c r="A678" s="2" t="s">
        <v>3477</v>
      </c>
      <c r="B678" s="2" t="s">
        <v>651</v>
      </c>
      <c r="C678" s="2" t="s">
        <v>26</v>
      </c>
      <c r="D678" s="2" t="s">
        <v>324</v>
      </c>
      <c r="E678" s="2" t="s">
        <v>39</v>
      </c>
      <c r="F678" s="2">
        <v>27</v>
      </c>
      <c r="G678" s="2">
        <v>13279.53</v>
      </c>
      <c r="H678" s="2">
        <v>491.83</v>
      </c>
      <c r="I678" s="2" t="s">
        <v>1694</v>
      </c>
      <c r="J678" s="2">
        <v>354</v>
      </c>
      <c r="K678" s="2" t="s">
        <v>19</v>
      </c>
      <c r="L678" s="2" t="s">
        <v>23</v>
      </c>
      <c r="M678" s="2" t="s">
        <v>31</v>
      </c>
      <c r="N678" s="2" t="s">
        <v>17</v>
      </c>
    </row>
    <row r="679" spans="1:14" x14ac:dyDescent="0.3">
      <c r="A679" s="3" t="s">
        <v>9455</v>
      </c>
      <c r="B679" s="3" t="s">
        <v>1011</v>
      </c>
      <c r="C679" s="3" t="s">
        <v>33</v>
      </c>
      <c r="D679" s="3" t="s">
        <v>283</v>
      </c>
      <c r="E679" s="3" t="s">
        <v>22</v>
      </c>
      <c r="F679" s="3">
        <v>29</v>
      </c>
      <c r="G679" s="3">
        <v>67128.84</v>
      </c>
      <c r="H679" s="3">
        <v>2314.79</v>
      </c>
      <c r="I679" s="3" t="s">
        <v>7080</v>
      </c>
      <c r="J679" s="3">
        <v>101</v>
      </c>
      <c r="K679" s="3" t="s">
        <v>28</v>
      </c>
      <c r="L679" s="3" t="s">
        <v>47</v>
      </c>
      <c r="M679" s="3" t="s">
        <v>24</v>
      </c>
      <c r="N679" s="3" t="s">
        <v>32</v>
      </c>
    </row>
    <row r="680" spans="1:14" x14ac:dyDescent="0.3">
      <c r="A680" s="2" t="s">
        <v>9456</v>
      </c>
      <c r="B680" s="2" t="s">
        <v>2651</v>
      </c>
      <c r="C680" s="2" t="s">
        <v>33</v>
      </c>
      <c r="D680" s="2" t="s">
        <v>738</v>
      </c>
      <c r="E680" s="2" t="s">
        <v>22</v>
      </c>
      <c r="F680" s="2">
        <v>3</v>
      </c>
      <c r="G680" s="2">
        <v>82212.05</v>
      </c>
      <c r="H680" s="2">
        <v>27404.02</v>
      </c>
      <c r="I680" s="2" t="s">
        <v>1119</v>
      </c>
      <c r="J680" s="2">
        <v>183</v>
      </c>
      <c r="K680" s="2" t="s">
        <v>27</v>
      </c>
      <c r="L680" s="2" t="s">
        <v>15</v>
      </c>
      <c r="M680" s="2" t="s">
        <v>24</v>
      </c>
      <c r="N680" s="2" t="s">
        <v>17</v>
      </c>
    </row>
    <row r="681" spans="1:14" x14ac:dyDescent="0.3">
      <c r="A681" s="3" t="s">
        <v>9457</v>
      </c>
      <c r="B681" s="3" t="s">
        <v>1426</v>
      </c>
      <c r="C681" s="3" t="s">
        <v>42</v>
      </c>
      <c r="D681" s="3" t="s">
        <v>171</v>
      </c>
      <c r="E681" s="3" t="s">
        <v>14</v>
      </c>
      <c r="F681" s="3">
        <v>10</v>
      </c>
      <c r="G681" s="3">
        <v>69758.69</v>
      </c>
      <c r="H681" s="3">
        <v>6975.87</v>
      </c>
      <c r="I681" s="3" t="s">
        <v>1186</v>
      </c>
      <c r="J681" s="3">
        <v>133</v>
      </c>
      <c r="K681" s="3" t="s">
        <v>19</v>
      </c>
      <c r="L681" s="3" t="s">
        <v>30</v>
      </c>
      <c r="M681" s="3" t="s">
        <v>24</v>
      </c>
      <c r="N681" s="3" t="s">
        <v>32</v>
      </c>
    </row>
    <row r="682" spans="1:14" x14ac:dyDescent="0.3">
      <c r="A682" s="2" t="s">
        <v>9458</v>
      </c>
      <c r="B682" s="2" t="s">
        <v>1637</v>
      </c>
      <c r="C682" s="2" t="s">
        <v>42</v>
      </c>
      <c r="D682" s="2" t="s">
        <v>193</v>
      </c>
      <c r="E682" s="2" t="s">
        <v>39</v>
      </c>
      <c r="F682" s="2">
        <v>21</v>
      </c>
      <c r="G682" s="2">
        <v>128505.36</v>
      </c>
      <c r="H682" s="2">
        <v>6119.3</v>
      </c>
      <c r="I682" s="2" t="s">
        <v>133</v>
      </c>
      <c r="J682" s="2">
        <v>111</v>
      </c>
      <c r="K682" s="2" t="s">
        <v>21</v>
      </c>
      <c r="L682" s="2" t="s">
        <v>47</v>
      </c>
      <c r="M682" s="2" t="s">
        <v>16</v>
      </c>
      <c r="N682" s="2" t="s">
        <v>32</v>
      </c>
    </row>
    <row r="683" spans="1:14" x14ac:dyDescent="0.3">
      <c r="A683" s="3" t="s">
        <v>3687</v>
      </c>
      <c r="B683" s="3" t="s">
        <v>3903</v>
      </c>
      <c r="C683" s="3" t="s">
        <v>26</v>
      </c>
      <c r="D683" s="3" t="s">
        <v>183</v>
      </c>
      <c r="E683" s="3" t="s">
        <v>14</v>
      </c>
      <c r="F683" s="3">
        <v>16</v>
      </c>
      <c r="G683" s="3">
        <v>92128.01</v>
      </c>
      <c r="H683" s="3">
        <v>5758</v>
      </c>
      <c r="I683" s="3" t="s">
        <v>214</v>
      </c>
      <c r="J683" s="3">
        <v>83</v>
      </c>
      <c r="K683" s="3" t="s">
        <v>19</v>
      </c>
      <c r="L683" s="3" t="s">
        <v>48</v>
      </c>
      <c r="M683" s="3" t="s">
        <v>24</v>
      </c>
      <c r="N683" s="3" t="s">
        <v>25</v>
      </c>
    </row>
    <row r="684" spans="1:14" x14ac:dyDescent="0.3">
      <c r="A684" s="2" t="s">
        <v>9459</v>
      </c>
      <c r="B684" s="2" t="s">
        <v>5584</v>
      </c>
      <c r="C684" s="2" t="s">
        <v>18</v>
      </c>
      <c r="D684" s="2" t="s">
        <v>225</v>
      </c>
      <c r="E684" s="2" t="s">
        <v>39</v>
      </c>
      <c r="F684" s="2">
        <v>15</v>
      </c>
      <c r="G684" s="2">
        <v>175722.31</v>
      </c>
      <c r="H684" s="2">
        <v>11714.82</v>
      </c>
      <c r="I684" s="2" t="s">
        <v>7458</v>
      </c>
      <c r="J684" s="2">
        <v>178</v>
      </c>
      <c r="K684" s="2" t="s">
        <v>13</v>
      </c>
      <c r="L684" s="2" t="s">
        <v>40</v>
      </c>
      <c r="M684" s="2" t="s">
        <v>16</v>
      </c>
      <c r="N684" s="2" t="s">
        <v>32</v>
      </c>
    </row>
    <row r="685" spans="1:14" x14ac:dyDescent="0.3">
      <c r="A685" s="3" t="s">
        <v>9460</v>
      </c>
      <c r="B685" s="3" t="s">
        <v>1166</v>
      </c>
      <c r="C685" s="3" t="s">
        <v>42</v>
      </c>
      <c r="D685" s="3" t="s">
        <v>160</v>
      </c>
      <c r="E685" s="3" t="s">
        <v>29</v>
      </c>
      <c r="F685" s="3">
        <v>27</v>
      </c>
      <c r="G685" s="3">
        <v>10952.46</v>
      </c>
      <c r="H685" s="3">
        <v>405.65</v>
      </c>
      <c r="I685" s="3" t="s">
        <v>133</v>
      </c>
      <c r="J685" s="3">
        <v>111</v>
      </c>
      <c r="K685" s="3" t="s">
        <v>21</v>
      </c>
      <c r="L685" s="3" t="s">
        <v>23</v>
      </c>
      <c r="M685" s="3" t="s">
        <v>31</v>
      </c>
      <c r="N685" s="3" t="s">
        <v>32</v>
      </c>
    </row>
    <row r="686" spans="1:14" x14ac:dyDescent="0.3">
      <c r="A686" s="2" t="s">
        <v>9461</v>
      </c>
      <c r="B686" s="2" t="s">
        <v>1011</v>
      </c>
      <c r="C686" s="2" t="s">
        <v>42</v>
      </c>
      <c r="D686" s="2" t="s">
        <v>95</v>
      </c>
      <c r="E686" s="2" t="s">
        <v>14</v>
      </c>
      <c r="F686" s="2">
        <v>30</v>
      </c>
      <c r="G686" s="2">
        <v>115937.43</v>
      </c>
      <c r="H686" s="2">
        <v>3864.58</v>
      </c>
      <c r="I686" s="2" t="s">
        <v>907</v>
      </c>
      <c r="J686" s="2">
        <v>76</v>
      </c>
      <c r="K686" s="2" t="s">
        <v>21</v>
      </c>
      <c r="L686" s="2" t="s">
        <v>15</v>
      </c>
      <c r="M686" s="2" t="s">
        <v>16</v>
      </c>
      <c r="N686" s="2" t="s">
        <v>25</v>
      </c>
    </row>
    <row r="687" spans="1:14" x14ac:dyDescent="0.3">
      <c r="A687" s="3" t="s">
        <v>8280</v>
      </c>
      <c r="B687" s="3" t="s">
        <v>847</v>
      </c>
      <c r="C687" s="3" t="s">
        <v>42</v>
      </c>
      <c r="D687" s="3" t="s">
        <v>160</v>
      </c>
      <c r="E687" s="3" t="s">
        <v>29</v>
      </c>
      <c r="F687" s="3">
        <v>21</v>
      </c>
      <c r="G687" s="3">
        <v>120855.3</v>
      </c>
      <c r="H687" s="3">
        <v>5755.01</v>
      </c>
      <c r="I687" s="3" t="s">
        <v>1264</v>
      </c>
      <c r="J687" s="3">
        <v>248</v>
      </c>
      <c r="K687" s="3" t="s">
        <v>13</v>
      </c>
      <c r="L687" s="3" t="s">
        <v>48</v>
      </c>
      <c r="M687" s="3" t="s">
        <v>16</v>
      </c>
      <c r="N687" s="3" t="s">
        <v>17</v>
      </c>
    </row>
    <row r="688" spans="1:14" x14ac:dyDescent="0.3">
      <c r="A688" s="2" t="s">
        <v>9462</v>
      </c>
      <c r="B688" s="2" t="s">
        <v>918</v>
      </c>
      <c r="C688" s="2" t="s">
        <v>33</v>
      </c>
      <c r="D688" s="2" t="s">
        <v>225</v>
      </c>
      <c r="E688" s="2" t="s">
        <v>39</v>
      </c>
      <c r="F688" s="2">
        <v>15</v>
      </c>
      <c r="G688" s="2">
        <v>144872.03</v>
      </c>
      <c r="H688" s="2">
        <v>9658.14</v>
      </c>
      <c r="I688" s="2" t="s">
        <v>566</v>
      </c>
      <c r="J688" s="2">
        <v>77</v>
      </c>
      <c r="K688" s="2" t="s">
        <v>21</v>
      </c>
      <c r="L688" s="2" t="s">
        <v>30</v>
      </c>
      <c r="M688" s="2" t="s">
        <v>16</v>
      </c>
      <c r="N688" s="2" t="s">
        <v>25</v>
      </c>
    </row>
    <row r="689" spans="1:14" x14ac:dyDescent="0.3">
      <c r="A689" s="3" t="s">
        <v>9463</v>
      </c>
      <c r="B689" s="3" t="s">
        <v>782</v>
      </c>
      <c r="C689" s="3" t="s">
        <v>33</v>
      </c>
      <c r="D689" s="3" t="s">
        <v>225</v>
      </c>
      <c r="E689" s="3" t="s">
        <v>39</v>
      </c>
      <c r="F689" s="3">
        <v>29</v>
      </c>
      <c r="G689" s="3">
        <v>65230.47</v>
      </c>
      <c r="H689" s="3">
        <v>2249.33</v>
      </c>
      <c r="I689" s="3" t="s">
        <v>1926</v>
      </c>
      <c r="J689" s="3">
        <v>317</v>
      </c>
      <c r="K689" s="3" t="s">
        <v>28</v>
      </c>
      <c r="L689" s="3" t="s">
        <v>30</v>
      </c>
      <c r="M689" s="3" t="s">
        <v>24</v>
      </c>
      <c r="N689" s="3" t="s">
        <v>17</v>
      </c>
    </row>
    <row r="690" spans="1:14" x14ac:dyDescent="0.3">
      <c r="A690" s="2" t="s">
        <v>9464</v>
      </c>
      <c r="B690" s="2" t="s">
        <v>1038</v>
      </c>
      <c r="C690" s="2" t="s">
        <v>42</v>
      </c>
      <c r="D690" s="2" t="s">
        <v>334</v>
      </c>
      <c r="E690" s="2" t="s">
        <v>29</v>
      </c>
      <c r="F690" s="2">
        <v>28</v>
      </c>
      <c r="G690" s="2">
        <v>110116.98</v>
      </c>
      <c r="H690" s="2">
        <v>3932.75</v>
      </c>
      <c r="I690" s="2" t="s">
        <v>1213</v>
      </c>
      <c r="J690" s="2">
        <v>119</v>
      </c>
      <c r="K690" s="2" t="s">
        <v>13</v>
      </c>
      <c r="L690" s="2" t="s">
        <v>40</v>
      </c>
      <c r="M690" s="2" t="s">
        <v>16</v>
      </c>
      <c r="N690" s="2" t="s">
        <v>32</v>
      </c>
    </row>
    <row r="691" spans="1:14" x14ac:dyDescent="0.3">
      <c r="A691" s="3" t="s">
        <v>9465</v>
      </c>
      <c r="B691" s="3" t="s">
        <v>1665</v>
      </c>
      <c r="C691" s="3" t="s">
        <v>33</v>
      </c>
      <c r="D691" s="3" t="s">
        <v>225</v>
      </c>
      <c r="E691" s="3" t="s">
        <v>39</v>
      </c>
      <c r="F691" s="3">
        <v>9</v>
      </c>
      <c r="G691" s="3">
        <v>157945.24</v>
      </c>
      <c r="H691" s="3">
        <v>17549.47</v>
      </c>
      <c r="I691" s="3" t="s">
        <v>2069</v>
      </c>
      <c r="J691" s="3">
        <v>138</v>
      </c>
      <c r="K691" s="3" t="s">
        <v>28</v>
      </c>
      <c r="L691" s="3" t="s">
        <v>15</v>
      </c>
      <c r="M691" s="3" t="s">
        <v>16</v>
      </c>
      <c r="N691" s="3" t="s">
        <v>32</v>
      </c>
    </row>
    <row r="692" spans="1:14" x14ac:dyDescent="0.3">
      <c r="A692" s="2" t="s">
        <v>5518</v>
      </c>
      <c r="B692" s="2" t="s">
        <v>1019</v>
      </c>
      <c r="C692" s="2" t="s">
        <v>18</v>
      </c>
      <c r="D692" s="2" t="s">
        <v>95</v>
      </c>
      <c r="E692" s="2" t="s">
        <v>14</v>
      </c>
      <c r="F692" s="2">
        <v>20</v>
      </c>
      <c r="G692" s="2">
        <v>92701.15</v>
      </c>
      <c r="H692" s="2">
        <v>4635.0600000000004</v>
      </c>
      <c r="I692" s="2" t="s">
        <v>2553</v>
      </c>
      <c r="J692" s="2">
        <v>173</v>
      </c>
      <c r="K692" s="2" t="s">
        <v>21</v>
      </c>
      <c r="L692" s="2" t="s">
        <v>15</v>
      </c>
      <c r="M692" s="2" t="s">
        <v>24</v>
      </c>
      <c r="N692" s="2" t="s">
        <v>32</v>
      </c>
    </row>
    <row r="693" spans="1:14" x14ac:dyDescent="0.3">
      <c r="A693" s="3" t="s">
        <v>9466</v>
      </c>
      <c r="B693" s="3" t="s">
        <v>2772</v>
      </c>
      <c r="C693" s="3" t="s">
        <v>26</v>
      </c>
      <c r="D693" s="3" t="s">
        <v>225</v>
      </c>
      <c r="E693" s="3" t="s">
        <v>39</v>
      </c>
      <c r="F693" s="3">
        <v>18</v>
      </c>
      <c r="G693" s="3">
        <v>191425.01</v>
      </c>
      <c r="H693" s="3">
        <v>10634.72</v>
      </c>
      <c r="I693" s="3" t="s">
        <v>1118</v>
      </c>
      <c r="J693" s="3">
        <v>185</v>
      </c>
      <c r="K693" s="3" t="s">
        <v>21</v>
      </c>
      <c r="L693" s="3" t="s">
        <v>15</v>
      </c>
      <c r="M693" s="3" t="s">
        <v>16</v>
      </c>
      <c r="N693" s="3" t="s">
        <v>17</v>
      </c>
    </row>
    <row r="694" spans="1:14" x14ac:dyDescent="0.3">
      <c r="A694" s="2" t="s">
        <v>9467</v>
      </c>
      <c r="B694" s="2" t="s">
        <v>1737</v>
      </c>
      <c r="C694" s="2" t="s">
        <v>18</v>
      </c>
      <c r="D694" s="2" t="s">
        <v>443</v>
      </c>
      <c r="E694" s="2" t="s">
        <v>22</v>
      </c>
      <c r="F694" s="2">
        <v>30</v>
      </c>
      <c r="G694" s="2">
        <v>160379.81</v>
      </c>
      <c r="H694" s="2">
        <v>5345.99</v>
      </c>
      <c r="I694" s="2" t="s">
        <v>2671</v>
      </c>
      <c r="J694" s="2">
        <v>8</v>
      </c>
      <c r="K694" s="2" t="s">
        <v>28</v>
      </c>
      <c r="L694" s="2" t="s">
        <v>48</v>
      </c>
      <c r="M694" s="2" t="s">
        <v>16</v>
      </c>
      <c r="N694" s="2" t="s">
        <v>25</v>
      </c>
    </row>
    <row r="695" spans="1:14" x14ac:dyDescent="0.3">
      <c r="A695" s="3" t="s">
        <v>9468</v>
      </c>
      <c r="B695" s="3" t="s">
        <v>918</v>
      </c>
      <c r="C695" s="3" t="s">
        <v>26</v>
      </c>
      <c r="D695" s="3" t="s">
        <v>314</v>
      </c>
      <c r="E695" s="3" t="s">
        <v>39</v>
      </c>
      <c r="F695" s="3">
        <v>4</v>
      </c>
      <c r="G695" s="3">
        <v>102462.13</v>
      </c>
      <c r="H695" s="3">
        <v>25615.53</v>
      </c>
      <c r="I695" s="3" t="s">
        <v>253</v>
      </c>
      <c r="J695" s="3">
        <v>9</v>
      </c>
      <c r="K695" s="3" t="s">
        <v>21</v>
      </c>
      <c r="L695" s="3" t="s">
        <v>15</v>
      </c>
      <c r="M695" s="3" t="s">
        <v>16</v>
      </c>
      <c r="N695" s="3" t="s">
        <v>25</v>
      </c>
    </row>
    <row r="696" spans="1:14" x14ac:dyDescent="0.3">
      <c r="A696" s="2" t="s">
        <v>9469</v>
      </c>
      <c r="B696" s="2" t="s">
        <v>319</v>
      </c>
      <c r="C696" s="2" t="s">
        <v>33</v>
      </c>
      <c r="D696" s="2" t="s">
        <v>324</v>
      </c>
      <c r="E696" s="2" t="s">
        <v>39</v>
      </c>
      <c r="F696" s="2">
        <v>13</v>
      </c>
      <c r="G696" s="2">
        <v>36227.279999999999</v>
      </c>
      <c r="H696" s="2">
        <v>2786.71</v>
      </c>
      <c r="I696" s="2" t="s">
        <v>4757</v>
      </c>
      <c r="J696" s="2">
        <v>51</v>
      </c>
      <c r="K696" s="2" t="s">
        <v>21</v>
      </c>
      <c r="L696" s="2" t="s">
        <v>30</v>
      </c>
      <c r="M696" s="2" t="s">
        <v>31</v>
      </c>
      <c r="N696" s="2" t="s">
        <v>25</v>
      </c>
    </row>
    <row r="697" spans="1:14" x14ac:dyDescent="0.3">
      <c r="A697" s="3" t="s">
        <v>9470</v>
      </c>
      <c r="B697" s="3" t="s">
        <v>1077</v>
      </c>
      <c r="C697" s="3" t="s">
        <v>42</v>
      </c>
      <c r="D697" s="3" t="s">
        <v>834</v>
      </c>
      <c r="E697" s="3" t="s">
        <v>29</v>
      </c>
      <c r="F697" s="3">
        <v>22</v>
      </c>
      <c r="G697" s="3">
        <v>8720.6200000000008</v>
      </c>
      <c r="H697" s="3">
        <v>396.39</v>
      </c>
      <c r="I697" s="3" t="s">
        <v>720</v>
      </c>
      <c r="J697" s="3">
        <v>130</v>
      </c>
      <c r="K697" s="3" t="s">
        <v>21</v>
      </c>
      <c r="L697" s="3" t="s">
        <v>23</v>
      </c>
      <c r="M697" s="3" t="s">
        <v>41</v>
      </c>
      <c r="N697" s="3" t="s">
        <v>32</v>
      </c>
    </row>
    <row r="698" spans="1:14" x14ac:dyDescent="0.3">
      <c r="A698" s="2" t="s">
        <v>9471</v>
      </c>
      <c r="B698" s="2" t="s">
        <v>393</v>
      </c>
      <c r="C698" s="2" t="s">
        <v>33</v>
      </c>
      <c r="D698" s="2" t="s">
        <v>171</v>
      </c>
      <c r="E698" s="2" t="s">
        <v>14</v>
      </c>
      <c r="F698" s="2">
        <v>5</v>
      </c>
      <c r="G698" s="2">
        <v>64529.23</v>
      </c>
      <c r="H698" s="2">
        <v>12905.85</v>
      </c>
      <c r="I698" s="2" t="s">
        <v>3200</v>
      </c>
      <c r="J698" s="2">
        <v>229</v>
      </c>
      <c r="K698" s="2" t="s">
        <v>21</v>
      </c>
      <c r="L698" s="2" t="s">
        <v>15</v>
      </c>
      <c r="M698" s="2" t="s">
        <v>24</v>
      </c>
      <c r="N698" s="2" t="s">
        <v>17</v>
      </c>
    </row>
    <row r="699" spans="1:14" x14ac:dyDescent="0.3">
      <c r="A699" s="3" t="s">
        <v>9472</v>
      </c>
      <c r="B699" s="3" t="s">
        <v>502</v>
      </c>
      <c r="C699" s="3" t="s">
        <v>42</v>
      </c>
      <c r="D699" s="3" t="s">
        <v>225</v>
      </c>
      <c r="E699" s="3" t="s">
        <v>39</v>
      </c>
      <c r="F699" s="3">
        <v>18</v>
      </c>
      <c r="G699" s="3">
        <v>96269.09</v>
      </c>
      <c r="H699" s="3">
        <v>5348.28</v>
      </c>
      <c r="I699" s="3" t="s">
        <v>1026</v>
      </c>
      <c r="J699" s="3">
        <v>124</v>
      </c>
      <c r="K699" s="3" t="s">
        <v>28</v>
      </c>
      <c r="L699" s="3" t="s">
        <v>40</v>
      </c>
      <c r="M699" s="3" t="s">
        <v>24</v>
      </c>
      <c r="N699" s="3" t="s">
        <v>32</v>
      </c>
    </row>
    <row r="700" spans="1:14" x14ac:dyDescent="0.3">
      <c r="A700" s="2" t="s">
        <v>6421</v>
      </c>
      <c r="B700" s="2" t="s">
        <v>1675</v>
      </c>
      <c r="C700" s="2" t="s">
        <v>26</v>
      </c>
      <c r="D700" s="2" t="s">
        <v>171</v>
      </c>
      <c r="E700" s="2" t="s">
        <v>14</v>
      </c>
      <c r="F700" s="2">
        <v>15</v>
      </c>
      <c r="G700" s="2">
        <v>115241.96</v>
      </c>
      <c r="H700" s="2">
        <v>7682.8</v>
      </c>
      <c r="I700" s="2" t="s">
        <v>565</v>
      </c>
      <c r="J700" s="2">
        <v>80</v>
      </c>
      <c r="K700" s="2" t="s">
        <v>13</v>
      </c>
      <c r="L700" s="2" t="s">
        <v>23</v>
      </c>
      <c r="M700" s="2" t="s">
        <v>16</v>
      </c>
      <c r="N700" s="2" t="s">
        <v>25</v>
      </c>
    </row>
    <row r="701" spans="1:14" x14ac:dyDescent="0.3">
      <c r="A701" s="3" t="s">
        <v>9473</v>
      </c>
      <c r="B701" s="3" t="s">
        <v>1131</v>
      </c>
      <c r="C701" s="3" t="s">
        <v>33</v>
      </c>
      <c r="D701" s="3" t="s">
        <v>712</v>
      </c>
      <c r="E701" s="3" t="s">
        <v>14</v>
      </c>
      <c r="F701" s="3">
        <v>1</v>
      </c>
      <c r="G701" s="3">
        <v>195610.9</v>
      </c>
      <c r="H701" s="3">
        <v>195610.9</v>
      </c>
      <c r="I701" s="3" t="s">
        <v>1079</v>
      </c>
      <c r="J701" s="3">
        <v>223</v>
      </c>
      <c r="K701" s="3" t="s">
        <v>27</v>
      </c>
      <c r="L701" s="3" t="s">
        <v>48</v>
      </c>
      <c r="M701" s="3" t="s">
        <v>16</v>
      </c>
      <c r="N701" s="3" t="s">
        <v>17</v>
      </c>
    </row>
    <row r="702" spans="1:14" x14ac:dyDescent="0.3">
      <c r="A702" s="2" t="s">
        <v>9474</v>
      </c>
      <c r="B702" s="2" t="s">
        <v>1196</v>
      </c>
      <c r="C702" s="2" t="s">
        <v>33</v>
      </c>
      <c r="D702" s="2" t="s">
        <v>160</v>
      </c>
      <c r="E702" s="2" t="s">
        <v>29</v>
      </c>
      <c r="F702" s="2">
        <v>15</v>
      </c>
      <c r="G702" s="2">
        <v>127094</v>
      </c>
      <c r="H702" s="2">
        <v>8472.93</v>
      </c>
      <c r="I702" s="2" t="s">
        <v>1320</v>
      </c>
      <c r="J702" s="2">
        <v>20</v>
      </c>
      <c r="K702" s="2" t="s">
        <v>27</v>
      </c>
      <c r="L702" s="2" t="s">
        <v>40</v>
      </c>
      <c r="M702" s="2" t="s">
        <v>16</v>
      </c>
      <c r="N702" s="2" t="s">
        <v>25</v>
      </c>
    </row>
    <row r="703" spans="1:14" x14ac:dyDescent="0.3">
      <c r="A703" s="3" t="s">
        <v>9475</v>
      </c>
      <c r="B703" s="3" t="s">
        <v>1989</v>
      </c>
      <c r="C703" s="3" t="s">
        <v>18</v>
      </c>
      <c r="D703" s="3" t="s">
        <v>324</v>
      </c>
      <c r="E703" s="3" t="s">
        <v>39</v>
      </c>
      <c r="F703" s="3">
        <v>19</v>
      </c>
      <c r="G703" s="3">
        <v>135265.94</v>
      </c>
      <c r="H703" s="3">
        <v>7119.26</v>
      </c>
      <c r="I703" s="3" t="s">
        <v>2927</v>
      </c>
      <c r="J703" s="3">
        <v>365</v>
      </c>
      <c r="K703" s="3" t="s">
        <v>28</v>
      </c>
      <c r="L703" s="3" t="s">
        <v>40</v>
      </c>
      <c r="M703" s="3" t="s">
        <v>16</v>
      </c>
      <c r="N703" s="3" t="s">
        <v>17</v>
      </c>
    </row>
    <row r="704" spans="1:14" x14ac:dyDescent="0.3">
      <c r="A704" s="2" t="s">
        <v>9476</v>
      </c>
      <c r="B704" s="2" t="s">
        <v>432</v>
      </c>
      <c r="C704" s="2" t="s">
        <v>26</v>
      </c>
      <c r="D704" s="2" t="s">
        <v>122</v>
      </c>
      <c r="E704" s="2" t="s">
        <v>22</v>
      </c>
      <c r="F704" s="2">
        <v>6</v>
      </c>
      <c r="G704" s="2">
        <v>3986.11</v>
      </c>
      <c r="H704" s="2">
        <v>664.35</v>
      </c>
      <c r="I704" s="2" t="s">
        <v>3876</v>
      </c>
      <c r="J704" s="2">
        <v>269</v>
      </c>
      <c r="K704" s="2" t="s">
        <v>28</v>
      </c>
      <c r="L704" s="2" t="s">
        <v>47</v>
      </c>
      <c r="M704" s="2" t="s">
        <v>41</v>
      </c>
      <c r="N704" s="2" t="s">
        <v>17</v>
      </c>
    </row>
    <row r="705" spans="1:14" x14ac:dyDescent="0.3">
      <c r="A705" s="3" t="s">
        <v>9477</v>
      </c>
      <c r="B705" s="3" t="s">
        <v>1606</v>
      </c>
      <c r="C705" s="3" t="s">
        <v>33</v>
      </c>
      <c r="D705" s="3" t="s">
        <v>183</v>
      </c>
      <c r="E705" s="3" t="s">
        <v>14</v>
      </c>
      <c r="F705" s="3">
        <v>25</v>
      </c>
      <c r="G705" s="3">
        <v>140643.73000000001</v>
      </c>
      <c r="H705" s="3">
        <v>5625.75</v>
      </c>
      <c r="I705" s="3" t="s">
        <v>1264</v>
      </c>
      <c r="J705" s="3">
        <v>248</v>
      </c>
      <c r="K705" s="3" t="s">
        <v>28</v>
      </c>
      <c r="L705" s="3" t="s">
        <v>47</v>
      </c>
      <c r="M705" s="3" t="s">
        <v>16</v>
      </c>
      <c r="N705" s="3" t="s">
        <v>17</v>
      </c>
    </row>
    <row r="706" spans="1:14" x14ac:dyDescent="0.3">
      <c r="A706" s="2" t="s">
        <v>2459</v>
      </c>
      <c r="B706" s="2" t="s">
        <v>4332</v>
      </c>
      <c r="C706" s="2" t="s">
        <v>26</v>
      </c>
      <c r="D706" s="2" t="s">
        <v>109</v>
      </c>
      <c r="E706" s="2" t="s">
        <v>39</v>
      </c>
      <c r="F706" s="2">
        <v>29</v>
      </c>
      <c r="G706" s="2">
        <v>148793.85999999999</v>
      </c>
      <c r="H706" s="2">
        <v>5130.82</v>
      </c>
      <c r="I706" s="2" t="s">
        <v>1725</v>
      </c>
      <c r="J706" s="2">
        <v>298</v>
      </c>
      <c r="K706" s="2" t="s">
        <v>13</v>
      </c>
      <c r="L706" s="2" t="s">
        <v>40</v>
      </c>
      <c r="M706" s="2" t="s">
        <v>16</v>
      </c>
      <c r="N706" s="2" t="s">
        <v>17</v>
      </c>
    </row>
    <row r="707" spans="1:14" x14ac:dyDescent="0.3">
      <c r="A707" s="3" t="s">
        <v>5237</v>
      </c>
      <c r="B707" s="3" t="s">
        <v>155</v>
      </c>
      <c r="C707" s="3" t="s">
        <v>42</v>
      </c>
      <c r="D707" s="3" t="s">
        <v>225</v>
      </c>
      <c r="E707" s="3" t="s">
        <v>39</v>
      </c>
      <c r="F707" s="3">
        <v>4</v>
      </c>
      <c r="G707" s="3">
        <v>147118.29</v>
      </c>
      <c r="H707" s="3">
        <v>36779.57</v>
      </c>
      <c r="I707" s="3" t="s">
        <v>2100</v>
      </c>
      <c r="J707" s="3">
        <v>310</v>
      </c>
      <c r="K707" s="3" t="s">
        <v>28</v>
      </c>
      <c r="L707" s="3" t="s">
        <v>43</v>
      </c>
      <c r="M707" s="3" t="s">
        <v>16</v>
      </c>
      <c r="N707" s="3" t="s">
        <v>17</v>
      </c>
    </row>
    <row r="708" spans="1:14" x14ac:dyDescent="0.3">
      <c r="A708" s="2" t="s">
        <v>9478</v>
      </c>
      <c r="B708" s="2" t="s">
        <v>918</v>
      </c>
      <c r="C708" s="2" t="s">
        <v>33</v>
      </c>
      <c r="D708" s="2" t="s">
        <v>215</v>
      </c>
      <c r="E708" s="2" t="s">
        <v>14</v>
      </c>
      <c r="F708" s="2">
        <v>10</v>
      </c>
      <c r="G708" s="2">
        <v>101474.53</v>
      </c>
      <c r="H708" s="2">
        <v>10147.450000000001</v>
      </c>
      <c r="I708" s="2" t="s">
        <v>1696</v>
      </c>
      <c r="J708" s="2">
        <v>351</v>
      </c>
      <c r="K708" s="2" t="s">
        <v>21</v>
      </c>
      <c r="L708" s="2" t="s">
        <v>23</v>
      </c>
      <c r="M708" s="2" t="s">
        <v>16</v>
      </c>
      <c r="N708" s="2" t="s">
        <v>17</v>
      </c>
    </row>
    <row r="709" spans="1:14" x14ac:dyDescent="0.3">
      <c r="A709" s="3" t="s">
        <v>8227</v>
      </c>
      <c r="B709" s="3" t="s">
        <v>221</v>
      </c>
      <c r="C709" s="3" t="s">
        <v>26</v>
      </c>
      <c r="D709" s="3" t="s">
        <v>738</v>
      </c>
      <c r="E709" s="3" t="s">
        <v>22</v>
      </c>
      <c r="F709" s="3">
        <v>22</v>
      </c>
      <c r="G709" s="3">
        <v>71078.55</v>
      </c>
      <c r="H709" s="3">
        <v>3230.84</v>
      </c>
      <c r="I709" s="3" t="s">
        <v>6124</v>
      </c>
      <c r="J709" s="3">
        <v>10</v>
      </c>
      <c r="K709" s="3" t="s">
        <v>28</v>
      </c>
      <c r="L709" s="3" t="s">
        <v>15</v>
      </c>
      <c r="M709" s="3" t="s">
        <v>24</v>
      </c>
      <c r="N709" s="3" t="s">
        <v>25</v>
      </c>
    </row>
    <row r="710" spans="1:14" x14ac:dyDescent="0.3">
      <c r="A710" s="2" t="s">
        <v>9479</v>
      </c>
      <c r="B710" s="2" t="s">
        <v>339</v>
      </c>
      <c r="C710" s="2" t="s">
        <v>42</v>
      </c>
      <c r="D710" s="2" t="s">
        <v>95</v>
      </c>
      <c r="E710" s="2" t="s">
        <v>14</v>
      </c>
      <c r="F710" s="2">
        <v>24</v>
      </c>
      <c r="G710" s="2">
        <v>51792.28</v>
      </c>
      <c r="H710" s="2">
        <v>2158.0100000000002</v>
      </c>
      <c r="I710" s="2" t="s">
        <v>2293</v>
      </c>
      <c r="J710" s="2">
        <v>161</v>
      </c>
      <c r="K710" s="2" t="s">
        <v>21</v>
      </c>
      <c r="L710" s="2" t="s">
        <v>48</v>
      </c>
      <c r="M710" s="2" t="s">
        <v>24</v>
      </c>
      <c r="N710" s="2" t="s">
        <v>32</v>
      </c>
    </row>
    <row r="711" spans="1:14" x14ac:dyDescent="0.3">
      <c r="A711" s="3" t="s">
        <v>9480</v>
      </c>
      <c r="B711" s="3" t="s">
        <v>1293</v>
      </c>
      <c r="C711" s="3" t="s">
        <v>26</v>
      </c>
      <c r="D711" s="3" t="s">
        <v>443</v>
      </c>
      <c r="E711" s="3" t="s">
        <v>22</v>
      </c>
      <c r="F711" s="3">
        <v>20</v>
      </c>
      <c r="G711" s="3">
        <v>78448.149999999994</v>
      </c>
      <c r="H711" s="3">
        <v>3922.41</v>
      </c>
      <c r="I711" s="3" t="s">
        <v>214</v>
      </c>
      <c r="J711" s="3">
        <v>83</v>
      </c>
      <c r="K711" s="3" t="s">
        <v>21</v>
      </c>
      <c r="L711" s="3" t="s">
        <v>47</v>
      </c>
      <c r="M711" s="3" t="s">
        <v>24</v>
      </c>
      <c r="N711" s="3" t="s">
        <v>25</v>
      </c>
    </row>
    <row r="712" spans="1:14" x14ac:dyDescent="0.3">
      <c r="A712" s="2" t="s">
        <v>9481</v>
      </c>
      <c r="B712" s="2" t="s">
        <v>393</v>
      </c>
      <c r="C712" s="2" t="s">
        <v>42</v>
      </c>
      <c r="D712" s="2" t="s">
        <v>427</v>
      </c>
      <c r="E712" s="2" t="s">
        <v>29</v>
      </c>
      <c r="F712" s="2">
        <v>23</v>
      </c>
      <c r="G712" s="2">
        <v>164683.32</v>
      </c>
      <c r="H712" s="2">
        <v>7160.14</v>
      </c>
      <c r="I712" s="2" t="s">
        <v>4633</v>
      </c>
      <c r="J712" s="2">
        <v>224</v>
      </c>
      <c r="K712" s="2" t="s">
        <v>13</v>
      </c>
      <c r="L712" s="2" t="s">
        <v>47</v>
      </c>
      <c r="M712" s="2" t="s">
        <v>16</v>
      </c>
      <c r="N712" s="2" t="s">
        <v>17</v>
      </c>
    </row>
    <row r="713" spans="1:14" x14ac:dyDescent="0.3">
      <c r="A713" s="3" t="s">
        <v>9482</v>
      </c>
      <c r="B713" s="3" t="s">
        <v>1304</v>
      </c>
      <c r="C713" s="3" t="s">
        <v>18</v>
      </c>
      <c r="D713" s="3" t="s">
        <v>148</v>
      </c>
      <c r="E713" s="3" t="s">
        <v>29</v>
      </c>
      <c r="F713" s="3">
        <v>30</v>
      </c>
      <c r="G713" s="3">
        <v>132727.10999999999</v>
      </c>
      <c r="H713" s="3">
        <v>4424.24</v>
      </c>
      <c r="I713" s="3" t="s">
        <v>4498</v>
      </c>
      <c r="J713" s="3">
        <v>147</v>
      </c>
      <c r="K713" s="3" t="s">
        <v>13</v>
      </c>
      <c r="L713" s="3" t="s">
        <v>47</v>
      </c>
      <c r="M713" s="3" t="s">
        <v>16</v>
      </c>
      <c r="N713" s="3" t="s">
        <v>32</v>
      </c>
    </row>
    <row r="714" spans="1:14" x14ac:dyDescent="0.3">
      <c r="A714" s="2" t="s">
        <v>9483</v>
      </c>
      <c r="B714" s="2" t="s">
        <v>2651</v>
      </c>
      <c r="C714" s="2" t="s">
        <v>42</v>
      </c>
      <c r="D714" s="2" t="s">
        <v>254</v>
      </c>
      <c r="E714" s="2" t="s">
        <v>22</v>
      </c>
      <c r="F714" s="2">
        <v>6</v>
      </c>
      <c r="G714" s="2">
        <v>25388.3</v>
      </c>
      <c r="H714" s="2">
        <v>4231.38</v>
      </c>
      <c r="I714" s="2" t="s">
        <v>1322</v>
      </c>
      <c r="J714" s="2">
        <v>16</v>
      </c>
      <c r="K714" s="2" t="s">
        <v>19</v>
      </c>
      <c r="L714" s="2" t="s">
        <v>47</v>
      </c>
      <c r="M714" s="2" t="s">
        <v>31</v>
      </c>
      <c r="N714" s="2" t="s">
        <v>25</v>
      </c>
    </row>
    <row r="715" spans="1:14" x14ac:dyDescent="0.3">
      <c r="A715" s="3" t="s">
        <v>9484</v>
      </c>
      <c r="B715" s="3" t="s">
        <v>178</v>
      </c>
      <c r="C715" s="3" t="s">
        <v>18</v>
      </c>
      <c r="D715" s="3" t="s">
        <v>427</v>
      </c>
      <c r="E715" s="3" t="s">
        <v>29</v>
      </c>
      <c r="F715" s="3">
        <v>8</v>
      </c>
      <c r="G715" s="3">
        <v>155460.54</v>
      </c>
      <c r="H715" s="3">
        <v>19432.57</v>
      </c>
      <c r="I715" s="3" t="s">
        <v>426</v>
      </c>
      <c r="J715" s="3">
        <v>254</v>
      </c>
      <c r="K715" s="3" t="s">
        <v>19</v>
      </c>
      <c r="L715" s="3" t="s">
        <v>30</v>
      </c>
      <c r="M715" s="3" t="s">
        <v>16</v>
      </c>
      <c r="N715" s="3" t="s">
        <v>17</v>
      </c>
    </row>
    <row r="716" spans="1:14" x14ac:dyDescent="0.3">
      <c r="A716" s="2" t="s">
        <v>9485</v>
      </c>
      <c r="B716" s="2" t="s">
        <v>2286</v>
      </c>
      <c r="C716" s="2" t="s">
        <v>42</v>
      </c>
      <c r="D716" s="2" t="s">
        <v>314</v>
      </c>
      <c r="E716" s="2" t="s">
        <v>39</v>
      </c>
      <c r="F716" s="2">
        <v>27</v>
      </c>
      <c r="G716" s="2">
        <v>99957.79</v>
      </c>
      <c r="H716" s="2">
        <v>3702.14</v>
      </c>
      <c r="I716" s="2" t="s">
        <v>2238</v>
      </c>
      <c r="J716" s="2">
        <v>112</v>
      </c>
      <c r="K716" s="2" t="s">
        <v>28</v>
      </c>
      <c r="L716" s="2" t="s">
        <v>40</v>
      </c>
      <c r="M716" s="2" t="s">
        <v>24</v>
      </c>
      <c r="N716" s="2" t="s">
        <v>32</v>
      </c>
    </row>
    <row r="717" spans="1:14" x14ac:dyDescent="0.3">
      <c r="A717" s="3" t="s">
        <v>6534</v>
      </c>
      <c r="B717" s="3" t="s">
        <v>2779</v>
      </c>
      <c r="C717" s="3" t="s">
        <v>33</v>
      </c>
      <c r="D717" s="3" t="s">
        <v>283</v>
      </c>
      <c r="E717" s="3" t="s">
        <v>22</v>
      </c>
      <c r="F717" s="3">
        <v>22</v>
      </c>
      <c r="G717" s="3">
        <v>176517.96</v>
      </c>
      <c r="H717" s="3">
        <v>8023.54</v>
      </c>
      <c r="I717" s="3" t="s">
        <v>1785</v>
      </c>
      <c r="J717" s="3">
        <v>211</v>
      </c>
      <c r="K717" s="3" t="s">
        <v>28</v>
      </c>
      <c r="L717" s="3" t="s">
        <v>30</v>
      </c>
      <c r="M717" s="3" t="s">
        <v>16</v>
      </c>
      <c r="N717" s="3" t="s">
        <v>17</v>
      </c>
    </row>
    <row r="718" spans="1:14" x14ac:dyDescent="0.3">
      <c r="A718" s="2" t="s">
        <v>9486</v>
      </c>
      <c r="B718" s="2" t="s">
        <v>782</v>
      </c>
      <c r="C718" s="2" t="s">
        <v>26</v>
      </c>
      <c r="D718" s="2" t="s">
        <v>215</v>
      </c>
      <c r="E718" s="2" t="s">
        <v>14</v>
      </c>
      <c r="F718" s="2">
        <v>13</v>
      </c>
      <c r="G718" s="2">
        <v>119059.85</v>
      </c>
      <c r="H718" s="2">
        <v>9158.4500000000007</v>
      </c>
      <c r="I718" s="2" t="s">
        <v>3797</v>
      </c>
      <c r="J718" s="2">
        <v>84</v>
      </c>
      <c r="K718" s="2" t="s">
        <v>19</v>
      </c>
      <c r="L718" s="2" t="s">
        <v>23</v>
      </c>
      <c r="M718" s="2" t="s">
        <v>16</v>
      </c>
      <c r="N718" s="2" t="s">
        <v>25</v>
      </c>
    </row>
    <row r="719" spans="1:14" x14ac:dyDescent="0.3">
      <c r="A719" s="3" t="s">
        <v>9487</v>
      </c>
      <c r="B719" s="3" t="s">
        <v>1011</v>
      </c>
      <c r="C719" s="3" t="s">
        <v>18</v>
      </c>
      <c r="D719" s="3" t="s">
        <v>834</v>
      </c>
      <c r="E719" s="3" t="s">
        <v>29</v>
      </c>
      <c r="F719" s="3">
        <v>19</v>
      </c>
      <c r="G719" s="3">
        <v>72555.14</v>
      </c>
      <c r="H719" s="3">
        <v>3818.69</v>
      </c>
      <c r="I719" s="3" t="s">
        <v>3872</v>
      </c>
      <c r="J719" s="3">
        <v>267</v>
      </c>
      <c r="K719" s="3" t="s">
        <v>19</v>
      </c>
      <c r="L719" s="3" t="s">
        <v>23</v>
      </c>
      <c r="M719" s="3" t="s">
        <v>24</v>
      </c>
      <c r="N719" s="3" t="s">
        <v>17</v>
      </c>
    </row>
    <row r="720" spans="1:14" x14ac:dyDescent="0.3">
      <c r="A720" s="2" t="s">
        <v>9488</v>
      </c>
      <c r="B720" s="2" t="s">
        <v>651</v>
      </c>
      <c r="C720" s="2" t="s">
        <v>18</v>
      </c>
      <c r="D720" s="2" t="s">
        <v>160</v>
      </c>
      <c r="E720" s="2" t="s">
        <v>29</v>
      </c>
      <c r="F720" s="2">
        <v>4</v>
      </c>
      <c r="G720" s="2">
        <v>62687.85</v>
      </c>
      <c r="H720" s="2">
        <v>15671.96</v>
      </c>
      <c r="I720" s="2" t="s">
        <v>191</v>
      </c>
      <c r="J720" s="2">
        <v>253</v>
      </c>
      <c r="K720" s="2" t="s">
        <v>13</v>
      </c>
      <c r="L720" s="2" t="s">
        <v>48</v>
      </c>
      <c r="M720" s="2" t="s">
        <v>24</v>
      </c>
      <c r="N720" s="2" t="s">
        <v>17</v>
      </c>
    </row>
    <row r="721" spans="1:14" x14ac:dyDescent="0.3">
      <c r="A721" s="3" t="s">
        <v>9489</v>
      </c>
      <c r="B721" s="3" t="s">
        <v>1166</v>
      </c>
      <c r="C721" s="3" t="s">
        <v>18</v>
      </c>
      <c r="D721" s="3" t="s">
        <v>95</v>
      </c>
      <c r="E721" s="3" t="s">
        <v>14</v>
      </c>
      <c r="F721" s="3">
        <v>15</v>
      </c>
      <c r="G721" s="3">
        <v>96548.47</v>
      </c>
      <c r="H721" s="3">
        <v>6436.56</v>
      </c>
      <c r="I721" s="3" t="s">
        <v>426</v>
      </c>
      <c r="J721" s="3">
        <v>254</v>
      </c>
      <c r="K721" s="3" t="s">
        <v>13</v>
      </c>
      <c r="L721" s="3" t="s">
        <v>40</v>
      </c>
      <c r="M721" s="3" t="s">
        <v>24</v>
      </c>
      <c r="N721" s="3" t="s">
        <v>17</v>
      </c>
    </row>
    <row r="722" spans="1:14" x14ac:dyDescent="0.3">
      <c r="A722" s="2" t="s">
        <v>9490</v>
      </c>
      <c r="B722" s="2" t="s">
        <v>2286</v>
      </c>
      <c r="C722" s="2" t="s">
        <v>26</v>
      </c>
      <c r="D722" s="2" t="s">
        <v>225</v>
      </c>
      <c r="E722" s="2" t="s">
        <v>39</v>
      </c>
      <c r="F722" s="2">
        <v>2</v>
      </c>
      <c r="G722" s="2">
        <v>57624.84</v>
      </c>
      <c r="H722" s="2">
        <v>28812.42</v>
      </c>
      <c r="I722" s="2" t="s">
        <v>1609</v>
      </c>
      <c r="J722" s="2">
        <v>144</v>
      </c>
      <c r="K722" s="2" t="s">
        <v>28</v>
      </c>
      <c r="L722" s="2" t="s">
        <v>23</v>
      </c>
      <c r="M722" s="2" t="s">
        <v>24</v>
      </c>
      <c r="N722" s="2" t="s">
        <v>32</v>
      </c>
    </row>
    <row r="723" spans="1:14" x14ac:dyDescent="0.3">
      <c r="A723" s="3" t="s">
        <v>9491</v>
      </c>
      <c r="B723" s="3" t="s">
        <v>774</v>
      </c>
      <c r="C723" s="3" t="s">
        <v>42</v>
      </c>
      <c r="D723" s="3" t="s">
        <v>160</v>
      </c>
      <c r="E723" s="3" t="s">
        <v>29</v>
      </c>
      <c r="F723" s="3">
        <v>14</v>
      </c>
      <c r="G723" s="3">
        <v>107506.46</v>
      </c>
      <c r="H723" s="3">
        <v>7679.03</v>
      </c>
      <c r="I723" s="3" t="s">
        <v>3539</v>
      </c>
      <c r="J723" s="3">
        <v>86</v>
      </c>
      <c r="K723" s="3" t="s">
        <v>19</v>
      </c>
      <c r="L723" s="3" t="s">
        <v>43</v>
      </c>
      <c r="M723" s="3" t="s">
        <v>16</v>
      </c>
      <c r="N723" s="3" t="s">
        <v>25</v>
      </c>
    </row>
    <row r="724" spans="1:14" x14ac:dyDescent="0.3">
      <c r="A724" s="2" t="s">
        <v>9492</v>
      </c>
      <c r="B724" s="2" t="s">
        <v>166</v>
      </c>
      <c r="C724" s="2" t="s">
        <v>42</v>
      </c>
      <c r="D724" s="2" t="s">
        <v>95</v>
      </c>
      <c r="E724" s="2" t="s">
        <v>14</v>
      </c>
      <c r="F724" s="2">
        <v>21</v>
      </c>
      <c r="G724" s="2">
        <v>97477.95</v>
      </c>
      <c r="H724" s="2">
        <v>4641.8100000000004</v>
      </c>
      <c r="I724" s="2" t="s">
        <v>1402</v>
      </c>
      <c r="J724" s="2">
        <v>139</v>
      </c>
      <c r="K724" s="2" t="s">
        <v>27</v>
      </c>
      <c r="L724" s="2" t="s">
        <v>30</v>
      </c>
      <c r="M724" s="2" t="s">
        <v>24</v>
      </c>
      <c r="N724" s="2" t="s">
        <v>32</v>
      </c>
    </row>
    <row r="725" spans="1:14" x14ac:dyDescent="0.3">
      <c r="A725" s="3" t="s">
        <v>9493</v>
      </c>
      <c r="B725" s="3" t="s">
        <v>2286</v>
      </c>
      <c r="C725" s="3" t="s">
        <v>33</v>
      </c>
      <c r="D725" s="3" t="s">
        <v>324</v>
      </c>
      <c r="E725" s="3" t="s">
        <v>39</v>
      </c>
      <c r="F725" s="3">
        <v>26</v>
      </c>
      <c r="G725" s="3">
        <v>138805.57</v>
      </c>
      <c r="H725" s="3">
        <v>5338.68</v>
      </c>
      <c r="I725" s="3" t="s">
        <v>3191</v>
      </c>
      <c r="J725" s="3">
        <v>347</v>
      </c>
      <c r="K725" s="3" t="s">
        <v>27</v>
      </c>
      <c r="L725" s="3" t="s">
        <v>43</v>
      </c>
      <c r="M725" s="3" t="s">
        <v>16</v>
      </c>
      <c r="N725" s="3" t="s">
        <v>17</v>
      </c>
    </row>
    <row r="726" spans="1:14" x14ac:dyDescent="0.3">
      <c r="A726" s="2" t="s">
        <v>9494</v>
      </c>
      <c r="B726" s="2" t="s">
        <v>2834</v>
      </c>
      <c r="C726" s="2" t="s">
        <v>42</v>
      </c>
      <c r="D726" s="2" t="s">
        <v>122</v>
      </c>
      <c r="E726" s="2" t="s">
        <v>22</v>
      </c>
      <c r="F726" s="2">
        <v>9</v>
      </c>
      <c r="G726" s="2">
        <v>54973.08</v>
      </c>
      <c r="H726" s="2">
        <v>6108.12</v>
      </c>
      <c r="I726" s="2" t="s">
        <v>1599</v>
      </c>
      <c r="J726" s="2">
        <v>171</v>
      </c>
      <c r="K726" s="2" t="s">
        <v>28</v>
      </c>
      <c r="L726" s="2" t="s">
        <v>15</v>
      </c>
      <c r="M726" s="2" t="s">
        <v>24</v>
      </c>
      <c r="N726" s="2" t="s">
        <v>32</v>
      </c>
    </row>
    <row r="727" spans="1:14" x14ac:dyDescent="0.3">
      <c r="A727" s="3" t="s">
        <v>5318</v>
      </c>
      <c r="B727" s="3" t="s">
        <v>290</v>
      </c>
      <c r="C727" s="3" t="s">
        <v>42</v>
      </c>
      <c r="D727" s="3" t="s">
        <v>171</v>
      </c>
      <c r="E727" s="3" t="s">
        <v>14</v>
      </c>
      <c r="F727" s="3">
        <v>2</v>
      </c>
      <c r="G727" s="3">
        <v>51466.44</v>
      </c>
      <c r="H727" s="3">
        <v>25733.22</v>
      </c>
      <c r="I727" s="3" t="s">
        <v>1027</v>
      </c>
      <c r="J727" s="3">
        <v>123</v>
      </c>
      <c r="K727" s="3" t="s">
        <v>19</v>
      </c>
      <c r="L727" s="3" t="s">
        <v>47</v>
      </c>
      <c r="M727" s="3" t="s">
        <v>24</v>
      </c>
      <c r="N727" s="3" t="s">
        <v>32</v>
      </c>
    </row>
    <row r="728" spans="1:14" x14ac:dyDescent="0.3">
      <c r="A728" s="2" t="s">
        <v>9495</v>
      </c>
      <c r="B728" s="2" t="s">
        <v>300</v>
      </c>
      <c r="C728" s="2" t="s">
        <v>42</v>
      </c>
      <c r="D728" s="2" t="s">
        <v>712</v>
      </c>
      <c r="E728" s="2" t="s">
        <v>14</v>
      </c>
      <c r="F728" s="2">
        <v>17</v>
      </c>
      <c r="G728" s="2">
        <v>189770.62</v>
      </c>
      <c r="H728" s="2">
        <v>11162.98</v>
      </c>
      <c r="I728" s="2" t="s">
        <v>4757</v>
      </c>
      <c r="J728" s="2">
        <v>51</v>
      </c>
      <c r="K728" s="2" t="s">
        <v>21</v>
      </c>
      <c r="L728" s="2" t="s">
        <v>43</v>
      </c>
      <c r="M728" s="2" t="s">
        <v>16</v>
      </c>
      <c r="N728" s="2" t="s">
        <v>25</v>
      </c>
    </row>
    <row r="729" spans="1:14" x14ac:dyDescent="0.3">
      <c r="A729" s="3" t="s">
        <v>9496</v>
      </c>
      <c r="B729" s="3" t="s">
        <v>348</v>
      </c>
      <c r="C729" s="3" t="s">
        <v>18</v>
      </c>
      <c r="D729" s="3" t="s">
        <v>148</v>
      </c>
      <c r="E729" s="3" t="s">
        <v>29</v>
      </c>
      <c r="F729" s="3">
        <v>13</v>
      </c>
      <c r="G729" s="3">
        <v>112382.86</v>
      </c>
      <c r="H729" s="3">
        <v>8644.84</v>
      </c>
      <c r="I729" s="3" t="s">
        <v>1749</v>
      </c>
      <c r="J729" s="3">
        <v>28</v>
      </c>
      <c r="K729" s="3" t="s">
        <v>28</v>
      </c>
      <c r="L729" s="3" t="s">
        <v>23</v>
      </c>
      <c r="M729" s="3" t="s">
        <v>16</v>
      </c>
      <c r="N729" s="3" t="s">
        <v>25</v>
      </c>
    </row>
    <row r="730" spans="1:14" x14ac:dyDescent="0.3">
      <c r="A730" s="2" t="s">
        <v>9497</v>
      </c>
      <c r="B730" s="2" t="s">
        <v>1730</v>
      </c>
      <c r="C730" s="2" t="s">
        <v>42</v>
      </c>
      <c r="D730" s="2" t="s">
        <v>283</v>
      </c>
      <c r="E730" s="2" t="s">
        <v>22</v>
      </c>
      <c r="F730" s="2">
        <v>17</v>
      </c>
      <c r="G730" s="2">
        <v>90201.55</v>
      </c>
      <c r="H730" s="2">
        <v>5305.97</v>
      </c>
      <c r="I730" s="2" t="s">
        <v>2099</v>
      </c>
      <c r="J730" s="2">
        <v>312</v>
      </c>
      <c r="K730" s="2" t="s">
        <v>28</v>
      </c>
      <c r="L730" s="2" t="s">
        <v>23</v>
      </c>
      <c r="M730" s="2" t="s">
        <v>24</v>
      </c>
      <c r="N730" s="2" t="s">
        <v>17</v>
      </c>
    </row>
    <row r="731" spans="1:14" x14ac:dyDescent="0.3">
      <c r="A731" s="3" t="s">
        <v>3883</v>
      </c>
      <c r="B731" s="3" t="s">
        <v>3547</v>
      </c>
      <c r="C731" s="3" t="s">
        <v>42</v>
      </c>
      <c r="D731" s="3" t="s">
        <v>712</v>
      </c>
      <c r="E731" s="3" t="s">
        <v>14</v>
      </c>
      <c r="F731" s="3">
        <v>27</v>
      </c>
      <c r="G731" s="3">
        <v>168595.08</v>
      </c>
      <c r="H731" s="3">
        <v>6244.26</v>
      </c>
      <c r="I731" s="3" t="s">
        <v>2328</v>
      </c>
      <c r="J731" s="3">
        <v>105</v>
      </c>
      <c r="K731" s="3" t="s">
        <v>28</v>
      </c>
      <c r="L731" s="3" t="s">
        <v>48</v>
      </c>
      <c r="M731" s="3" t="s">
        <v>16</v>
      </c>
      <c r="N731" s="3" t="s">
        <v>32</v>
      </c>
    </row>
    <row r="732" spans="1:14" x14ac:dyDescent="0.3">
      <c r="A732" s="2" t="s">
        <v>9498</v>
      </c>
      <c r="B732" s="2" t="s">
        <v>478</v>
      </c>
      <c r="C732" s="2" t="s">
        <v>18</v>
      </c>
      <c r="D732" s="2" t="s">
        <v>160</v>
      </c>
      <c r="E732" s="2" t="s">
        <v>29</v>
      </c>
      <c r="F732" s="2">
        <v>8</v>
      </c>
      <c r="G732" s="2">
        <v>56251.99</v>
      </c>
      <c r="H732" s="2">
        <v>7031.5</v>
      </c>
      <c r="I732" s="2" t="s">
        <v>2099</v>
      </c>
      <c r="J732" s="2">
        <v>312</v>
      </c>
      <c r="K732" s="2" t="s">
        <v>21</v>
      </c>
      <c r="L732" s="2" t="s">
        <v>43</v>
      </c>
      <c r="M732" s="2" t="s">
        <v>24</v>
      </c>
      <c r="N732" s="2" t="s">
        <v>17</v>
      </c>
    </row>
    <row r="733" spans="1:14" x14ac:dyDescent="0.3">
      <c r="A733" s="3" t="s">
        <v>9499</v>
      </c>
      <c r="B733" s="3" t="s">
        <v>774</v>
      </c>
      <c r="C733" s="3" t="s">
        <v>26</v>
      </c>
      <c r="D733" s="3" t="s">
        <v>324</v>
      </c>
      <c r="E733" s="3" t="s">
        <v>39</v>
      </c>
      <c r="F733" s="3">
        <v>3</v>
      </c>
      <c r="G733" s="3">
        <v>135206.23000000001</v>
      </c>
      <c r="H733" s="3">
        <v>45068.74</v>
      </c>
      <c r="I733" s="3" t="s">
        <v>1402</v>
      </c>
      <c r="J733" s="3">
        <v>139</v>
      </c>
      <c r="K733" s="3" t="s">
        <v>27</v>
      </c>
      <c r="L733" s="3" t="s">
        <v>48</v>
      </c>
      <c r="M733" s="3" t="s">
        <v>16</v>
      </c>
      <c r="N733" s="3" t="s">
        <v>32</v>
      </c>
    </row>
    <row r="734" spans="1:14" x14ac:dyDescent="0.3">
      <c r="A734" s="2" t="s">
        <v>9500</v>
      </c>
      <c r="B734" s="2" t="s">
        <v>1097</v>
      </c>
      <c r="C734" s="2" t="s">
        <v>18</v>
      </c>
      <c r="D734" s="2" t="s">
        <v>834</v>
      </c>
      <c r="E734" s="2" t="s">
        <v>29</v>
      </c>
      <c r="F734" s="2">
        <v>26</v>
      </c>
      <c r="G734" s="2">
        <v>95441.5</v>
      </c>
      <c r="H734" s="2">
        <v>3670.83</v>
      </c>
      <c r="I734" s="2" t="s">
        <v>947</v>
      </c>
      <c r="J734" s="2">
        <v>79</v>
      </c>
      <c r="K734" s="2" t="s">
        <v>27</v>
      </c>
      <c r="L734" s="2" t="s">
        <v>48</v>
      </c>
      <c r="M734" s="2" t="s">
        <v>24</v>
      </c>
      <c r="N734" s="2" t="s">
        <v>25</v>
      </c>
    </row>
    <row r="735" spans="1:14" x14ac:dyDescent="0.3">
      <c r="A735" s="3" t="s">
        <v>9501</v>
      </c>
      <c r="B735" s="3" t="s">
        <v>1989</v>
      </c>
      <c r="C735" s="3" t="s">
        <v>33</v>
      </c>
      <c r="D735" s="3" t="s">
        <v>109</v>
      </c>
      <c r="E735" s="3" t="s">
        <v>39</v>
      </c>
      <c r="F735" s="3">
        <v>3</v>
      </c>
      <c r="G735" s="3">
        <v>52309.83</v>
      </c>
      <c r="H735" s="3">
        <v>17436.61</v>
      </c>
      <c r="I735" s="3" t="s">
        <v>2929</v>
      </c>
      <c r="J735" s="3">
        <v>362</v>
      </c>
      <c r="K735" s="3" t="s">
        <v>28</v>
      </c>
      <c r="L735" s="3" t="s">
        <v>48</v>
      </c>
      <c r="M735" s="3" t="s">
        <v>24</v>
      </c>
      <c r="N735" s="3" t="s">
        <v>17</v>
      </c>
    </row>
    <row r="736" spans="1:14" x14ac:dyDescent="0.3">
      <c r="A736" s="2" t="s">
        <v>9502</v>
      </c>
      <c r="B736" s="2" t="s">
        <v>1737</v>
      </c>
      <c r="C736" s="2" t="s">
        <v>33</v>
      </c>
      <c r="D736" s="2" t="s">
        <v>193</v>
      </c>
      <c r="E736" s="2" t="s">
        <v>39</v>
      </c>
      <c r="F736" s="2">
        <v>11</v>
      </c>
      <c r="G736" s="2">
        <v>166065.63</v>
      </c>
      <c r="H736" s="2">
        <v>15096.88</v>
      </c>
      <c r="I736" s="2" t="s">
        <v>1026</v>
      </c>
      <c r="J736" s="2">
        <v>124</v>
      </c>
      <c r="K736" s="2" t="s">
        <v>13</v>
      </c>
      <c r="L736" s="2" t="s">
        <v>23</v>
      </c>
      <c r="M736" s="2" t="s">
        <v>16</v>
      </c>
      <c r="N736" s="2" t="s">
        <v>32</v>
      </c>
    </row>
    <row r="737" spans="1:14" x14ac:dyDescent="0.3">
      <c r="A737" s="3" t="s">
        <v>9503</v>
      </c>
      <c r="B737" s="3" t="s">
        <v>1675</v>
      </c>
      <c r="C737" s="3" t="s">
        <v>33</v>
      </c>
      <c r="D737" s="3" t="s">
        <v>314</v>
      </c>
      <c r="E737" s="3" t="s">
        <v>39</v>
      </c>
      <c r="F737" s="3">
        <v>13</v>
      </c>
      <c r="G737" s="3">
        <v>51285.73</v>
      </c>
      <c r="H737" s="3">
        <v>3945.06</v>
      </c>
      <c r="I737" s="3" t="s">
        <v>271</v>
      </c>
      <c r="J737" s="3">
        <v>332</v>
      </c>
      <c r="K737" s="3" t="s">
        <v>27</v>
      </c>
      <c r="L737" s="3" t="s">
        <v>48</v>
      </c>
      <c r="M737" s="3" t="s">
        <v>24</v>
      </c>
      <c r="N737" s="3" t="s">
        <v>17</v>
      </c>
    </row>
    <row r="738" spans="1:14" x14ac:dyDescent="0.3">
      <c r="A738" s="2" t="s">
        <v>8350</v>
      </c>
      <c r="B738" s="2" t="s">
        <v>1505</v>
      </c>
      <c r="C738" s="2" t="s">
        <v>33</v>
      </c>
      <c r="D738" s="2" t="s">
        <v>122</v>
      </c>
      <c r="E738" s="2" t="s">
        <v>22</v>
      </c>
      <c r="F738" s="2">
        <v>2</v>
      </c>
      <c r="G738" s="2">
        <v>167068.07</v>
      </c>
      <c r="H738" s="2">
        <v>83534.039999999994</v>
      </c>
      <c r="I738" s="2" t="s">
        <v>3534</v>
      </c>
      <c r="J738" s="2">
        <v>132</v>
      </c>
      <c r="K738" s="2" t="s">
        <v>13</v>
      </c>
      <c r="L738" s="2" t="s">
        <v>43</v>
      </c>
      <c r="M738" s="2" t="s">
        <v>16</v>
      </c>
      <c r="N738" s="2" t="s">
        <v>32</v>
      </c>
    </row>
    <row r="739" spans="1:14" x14ac:dyDescent="0.3">
      <c r="A739" s="3" t="s">
        <v>9504</v>
      </c>
      <c r="B739" s="3" t="s">
        <v>1665</v>
      </c>
      <c r="C739" s="3" t="s">
        <v>18</v>
      </c>
      <c r="D739" s="3" t="s">
        <v>225</v>
      </c>
      <c r="E739" s="3" t="s">
        <v>39</v>
      </c>
      <c r="F739" s="3">
        <v>30</v>
      </c>
      <c r="G739" s="3">
        <v>133920.39000000001</v>
      </c>
      <c r="H739" s="3">
        <v>4464.01</v>
      </c>
      <c r="I739" s="3" t="s">
        <v>224</v>
      </c>
      <c r="J739" s="3">
        <v>259</v>
      </c>
      <c r="K739" s="3" t="s">
        <v>28</v>
      </c>
      <c r="L739" s="3" t="s">
        <v>43</v>
      </c>
      <c r="M739" s="3" t="s">
        <v>16</v>
      </c>
      <c r="N739" s="3" t="s">
        <v>17</v>
      </c>
    </row>
    <row r="740" spans="1:14" x14ac:dyDescent="0.3">
      <c r="A740" s="2" t="s">
        <v>9505</v>
      </c>
      <c r="B740" s="2" t="s">
        <v>545</v>
      </c>
      <c r="C740" s="2" t="s">
        <v>26</v>
      </c>
      <c r="D740" s="2" t="s">
        <v>171</v>
      </c>
      <c r="E740" s="2" t="s">
        <v>14</v>
      </c>
      <c r="F740" s="2">
        <v>26</v>
      </c>
      <c r="G740" s="2">
        <v>2994.59</v>
      </c>
      <c r="H740" s="2">
        <v>115.18</v>
      </c>
      <c r="I740" s="2" t="s">
        <v>2665</v>
      </c>
      <c r="J740" s="2">
        <v>197</v>
      </c>
      <c r="K740" s="2" t="s">
        <v>28</v>
      </c>
      <c r="L740" s="2" t="s">
        <v>30</v>
      </c>
      <c r="M740" s="2" t="s">
        <v>41</v>
      </c>
      <c r="N740" s="2" t="s">
        <v>17</v>
      </c>
    </row>
    <row r="741" spans="1:14" x14ac:dyDescent="0.3">
      <c r="A741" s="3" t="s">
        <v>9506</v>
      </c>
      <c r="B741" s="3" t="s">
        <v>918</v>
      </c>
      <c r="C741" s="3" t="s">
        <v>33</v>
      </c>
      <c r="D741" s="3" t="s">
        <v>95</v>
      </c>
      <c r="E741" s="3" t="s">
        <v>14</v>
      </c>
      <c r="F741" s="3">
        <v>5</v>
      </c>
      <c r="G741" s="3">
        <v>130751.43</v>
      </c>
      <c r="H741" s="3">
        <v>26150.29</v>
      </c>
      <c r="I741" s="3" t="s">
        <v>170</v>
      </c>
      <c r="J741" s="3">
        <v>322</v>
      </c>
      <c r="K741" s="3" t="s">
        <v>21</v>
      </c>
      <c r="L741" s="3" t="s">
        <v>30</v>
      </c>
      <c r="M741" s="3" t="s">
        <v>16</v>
      </c>
      <c r="N741" s="3" t="s">
        <v>17</v>
      </c>
    </row>
    <row r="742" spans="1:14" x14ac:dyDescent="0.3">
      <c r="A742" s="2" t="s">
        <v>9507</v>
      </c>
      <c r="B742" s="2" t="s">
        <v>2651</v>
      </c>
      <c r="C742" s="2" t="s">
        <v>42</v>
      </c>
      <c r="D742" s="2" t="s">
        <v>314</v>
      </c>
      <c r="E742" s="2" t="s">
        <v>39</v>
      </c>
      <c r="F742" s="2">
        <v>28</v>
      </c>
      <c r="G742" s="2">
        <v>169083.42</v>
      </c>
      <c r="H742" s="2">
        <v>6038.69</v>
      </c>
      <c r="I742" s="2" t="s">
        <v>262</v>
      </c>
      <c r="J742" s="2">
        <v>116</v>
      </c>
      <c r="K742" s="2" t="s">
        <v>19</v>
      </c>
      <c r="L742" s="2" t="s">
        <v>40</v>
      </c>
      <c r="M742" s="2" t="s">
        <v>16</v>
      </c>
      <c r="N742" s="2" t="s">
        <v>32</v>
      </c>
    </row>
    <row r="743" spans="1:14" x14ac:dyDescent="0.3">
      <c r="A743" s="3" t="s">
        <v>2891</v>
      </c>
      <c r="B743" s="3" t="s">
        <v>768</v>
      </c>
      <c r="C743" s="3" t="s">
        <v>42</v>
      </c>
      <c r="D743" s="3" t="s">
        <v>160</v>
      </c>
      <c r="E743" s="3" t="s">
        <v>29</v>
      </c>
      <c r="F743" s="3">
        <v>24</v>
      </c>
      <c r="G743" s="3">
        <v>55301.54</v>
      </c>
      <c r="H743" s="3">
        <v>2304.23</v>
      </c>
      <c r="I743" s="3" t="s">
        <v>5136</v>
      </c>
      <c r="J743" s="3">
        <v>11</v>
      </c>
      <c r="K743" s="3" t="s">
        <v>19</v>
      </c>
      <c r="L743" s="3" t="s">
        <v>48</v>
      </c>
      <c r="M743" s="3" t="s">
        <v>24</v>
      </c>
      <c r="N743" s="3" t="s">
        <v>25</v>
      </c>
    </row>
    <row r="744" spans="1:14" x14ac:dyDescent="0.3">
      <c r="A744" s="2" t="s">
        <v>9508</v>
      </c>
      <c r="B744" s="2" t="s">
        <v>178</v>
      </c>
      <c r="C744" s="2" t="s">
        <v>26</v>
      </c>
      <c r="D744" s="2" t="s">
        <v>314</v>
      </c>
      <c r="E744" s="2" t="s">
        <v>39</v>
      </c>
      <c r="F744" s="2">
        <v>9</v>
      </c>
      <c r="G744" s="2">
        <v>11011.62</v>
      </c>
      <c r="H744" s="2">
        <v>1223.51</v>
      </c>
      <c r="I744" s="2" t="s">
        <v>2518</v>
      </c>
      <c r="J744" s="2">
        <v>57</v>
      </c>
      <c r="K744" s="2" t="s">
        <v>27</v>
      </c>
      <c r="L744" s="2" t="s">
        <v>43</v>
      </c>
      <c r="M744" s="2" t="s">
        <v>31</v>
      </c>
      <c r="N744" s="2" t="s">
        <v>25</v>
      </c>
    </row>
    <row r="745" spans="1:14" x14ac:dyDescent="0.3">
      <c r="A745" s="3" t="s">
        <v>9509</v>
      </c>
      <c r="B745" s="3" t="s">
        <v>1782</v>
      </c>
      <c r="C745" s="3" t="s">
        <v>33</v>
      </c>
      <c r="D745" s="3" t="s">
        <v>225</v>
      </c>
      <c r="E745" s="3" t="s">
        <v>39</v>
      </c>
      <c r="F745" s="3">
        <v>26</v>
      </c>
      <c r="G745" s="3">
        <v>13700.8</v>
      </c>
      <c r="H745" s="3">
        <v>526.95000000000005</v>
      </c>
      <c r="I745" s="3" t="s">
        <v>1726</v>
      </c>
      <c r="J745" s="3">
        <v>291</v>
      </c>
      <c r="K745" s="3" t="s">
        <v>13</v>
      </c>
      <c r="L745" s="3" t="s">
        <v>30</v>
      </c>
      <c r="M745" s="3" t="s">
        <v>31</v>
      </c>
      <c r="N745" s="3" t="s">
        <v>17</v>
      </c>
    </row>
    <row r="746" spans="1:14" x14ac:dyDescent="0.3">
      <c r="A746" s="2" t="s">
        <v>9510</v>
      </c>
      <c r="B746" s="2" t="s">
        <v>104</v>
      </c>
      <c r="C746" s="2" t="s">
        <v>33</v>
      </c>
      <c r="D746" s="2" t="s">
        <v>254</v>
      </c>
      <c r="E746" s="2" t="s">
        <v>22</v>
      </c>
      <c r="F746" s="2">
        <v>17</v>
      </c>
      <c r="G746" s="2">
        <v>118669.74</v>
      </c>
      <c r="H746" s="2">
        <v>6980.57</v>
      </c>
      <c r="I746" s="2" t="s">
        <v>2293</v>
      </c>
      <c r="J746" s="2">
        <v>161</v>
      </c>
      <c r="K746" s="2" t="s">
        <v>19</v>
      </c>
      <c r="L746" s="2" t="s">
        <v>48</v>
      </c>
      <c r="M746" s="2" t="s">
        <v>16</v>
      </c>
      <c r="N746" s="2" t="s">
        <v>32</v>
      </c>
    </row>
    <row r="747" spans="1:14" x14ac:dyDescent="0.3">
      <c r="A747" s="3" t="s">
        <v>9511</v>
      </c>
      <c r="B747" s="3" t="s">
        <v>863</v>
      </c>
      <c r="C747" s="3" t="s">
        <v>33</v>
      </c>
      <c r="D747" s="3" t="s">
        <v>324</v>
      </c>
      <c r="E747" s="3" t="s">
        <v>39</v>
      </c>
      <c r="F747" s="3">
        <v>2</v>
      </c>
      <c r="G747" s="3">
        <v>90028.28</v>
      </c>
      <c r="H747" s="3">
        <v>45014.14</v>
      </c>
      <c r="I747" s="3" t="s">
        <v>3802</v>
      </c>
      <c r="J747" s="3">
        <v>145</v>
      </c>
      <c r="K747" s="3" t="s">
        <v>19</v>
      </c>
      <c r="L747" s="3" t="s">
        <v>48</v>
      </c>
      <c r="M747" s="3" t="s">
        <v>24</v>
      </c>
      <c r="N747" s="3" t="s">
        <v>32</v>
      </c>
    </row>
    <row r="748" spans="1:14" x14ac:dyDescent="0.3">
      <c r="A748" s="2" t="s">
        <v>9512</v>
      </c>
      <c r="B748" s="2" t="s">
        <v>934</v>
      </c>
      <c r="C748" s="2" t="s">
        <v>33</v>
      </c>
      <c r="D748" s="2" t="s">
        <v>283</v>
      </c>
      <c r="E748" s="2" t="s">
        <v>22</v>
      </c>
      <c r="F748" s="2">
        <v>22</v>
      </c>
      <c r="G748" s="2">
        <v>10884.66</v>
      </c>
      <c r="H748" s="2">
        <v>494.76</v>
      </c>
      <c r="I748" s="2" t="s">
        <v>777</v>
      </c>
      <c r="J748" s="2">
        <v>88</v>
      </c>
      <c r="K748" s="2" t="s">
        <v>27</v>
      </c>
      <c r="L748" s="2" t="s">
        <v>43</v>
      </c>
      <c r="M748" s="2" t="s">
        <v>31</v>
      </c>
      <c r="N748" s="2" t="s">
        <v>25</v>
      </c>
    </row>
    <row r="749" spans="1:14" x14ac:dyDescent="0.3">
      <c r="A749" s="3" t="s">
        <v>9513</v>
      </c>
      <c r="B749" s="3" t="s">
        <v>200</v>
      </c>
      <c r="C749" s="3" t="s">
        <v>18</v>
      </c>
      <c r="D749" s="3" t="s">
        <v>193</v>
      </c>
      <c r="E749" s="3" t="s">
        <v>39</v>
      </c>
      <c r="F749" s="3">
        <v>13</v>
      </c>
      <c r="G749" s="3">
        <v>32893.32</v>
      </c>
      <c r="H749" s="3">
        <v>2530.2600000000002</v>
      </c>
      <c r="I749" s="3" t="s">
        <v>770</v>
      </c>
      <c r="J749" s="3">
        <v>107</v>
      </c>
      <c r="K749" s="3" t="s">
        <v>27</v>
      </c>
      <c r="L749" s="3" t="s">
        <v>23</v>
      </c>
      <c r="M749" s="3" t="s">
        <v>31</v>
      </c>
      <c r="N749" s="3" t="s">
        <v>32</v>
      </c>
    </row>
    <row r="750" spans="1:14" x14ac:dyDescent="0.3">
      <c r="A750" s="2" t="s">
        <v>6428</v>
      </c>
      <c r="B750" s="2" t="s">
        <v>1464</v>
      </c>
      <c r="C750" s="2" t="s">
        <v>42</v>
      </c>
      <c r="D750" s="2" t="s">
        <v>443</v>
      </c>
      <c r="E750" s="2" t="s">
        <v>22</v>
      </c>
      <c r="F750" s="2">
        <v>1</v>
      </c>
      <c r="G750" s="2">
        <v>114915.4</v>
      </c>
      <c r="H750" s="2">
        <v>114915.4</v>
      </c>
      <c r="I750" s="2" t="s">
        <v>2294</v>
      </c>
      <c r="J750" s="2">
        <v>157</v>
      </c>
      <c r="K750" s="2" t="s">
        <v>28</v>
      </c>
      <c r="L750" s="2" t="s">
        <v>43</v>
      </c>
      <c r="M750" s="2" t="s">
        <v>16</v>
      </c>
      <c r="N750" s="2" t="s">
        <v>32</v>
      </c>
    </row>
    <row r="751" spans="1:14" x14ac:dyDescent="0.3">
      <c r="A751" s="3" t="s">
        <v>9514</v>
      </c>
      <c r="B751" s="3" t="s">
        <v>1880</v>
      </c>
      <c r="C751" s="3" t="s">
        <v>42</v>
      </c>
      <c r="D751" s="3" t="s">
        <v>738</v>
      </c>
      <c r="E751" s="3" t="s">
        <v>22</v>
      </c>
      <c r="F751" s="3">
        <v>27</v>
      </c>
      <c r="G751" s="3">
        <v>55128.47</v>
      </c>
      <c r="H751" s="3">
        <v>2041.8</v>
      </c>
      <c r="I751" s="3" t="s">
        <v>2582</v>
      </c>
      <c r="J751" s="3">
        <v>58</v>
      </c>
      <c r="K751" s="3" t="s">
        <v>13</v>
      </c>
      <c r="L751" s="3" t="s">
        <v>40</v>
      </c>
      <c r="M751" s="3" t="s">
        <v>24</v>
      </c>
      <c r="N751" s="3" t="s">
        <v>25</v>
      </c>
    </row>
    <row r="752" spans="1:14" x14ac:dyDescent="0.3">
      <c r="A752" s="2" t="s">
        <v>9515</v>
      </c>
      <c r="B752" s="2" t="s">
        <v>104</v>
      </c>
      <c r="C752" s="2" t="s">
        <v>18</v>
      </c>
      <c r="D752" s="2" t="s">
        <v>254</v>
      </c>
      <c r="E752" s="2" t="s">
        <v>22</v>
      </c>
      <c r="F752" s="2">
        <v>4</v>
      </c>
      <c r="G752" s="2">
        <v>197719.98</v>
      </c>
      <c r="H752" s="2">
        <v>49430</v>
      </c>
      <c r="I752" s="2" t="s">
        <v>565</v>
      </c>
      <c r="J752" s="2">
        <v>80</v>
      </c>
      <c r="K752" s="2" t="s">
        <v>27</v>
      </c>
      <c r="L752" s="2" t="s">
        <v>15</v>
      </c>
      <c r="M752" s="2" t="s">
        <v>16</v>
      </c>
      <c r="N752" s="2" t="s">
        <v>25</v>
      </c>
    </row>
    <row r="753" spans="1:14" x14ac:dyDescent="0.3">
      <c r="A753" s="3" t="s">
        <v>9516</v>
      </c>
      <c r="B753" s="3" t="s">
        <v>2298</v>
      </c>
      <c r="C753" s="3" t="s">
        <v>18</v>
      </c>
      <c r="D753" s="3" t="s">
        <v>324</v>
      </c>
      <c r="E753" s="3" t="s">
        <v>39</v>
      </c>
      <c r="F753" s="3">
        <v>2</v>
      </c>
      <c r="G753" s="3">
        <v>61943.02</v>
      </c>
      <c r="H753" s="3">
        <v>30971.51</v>
      </c>
      <c r="I753" s="3" t="s">
        <v>1907</v>
      </c>
      <c r="J753" s="3">
        <v>39</v>
      </c>
      <c r="K753" s="3" t="s">
        <v>13</v>
      </c>
      <c r="L753" s="3" t="s">
        <v>15</v>
      </c>
      <c r="M753" s="3" t="s">
        <v>24</v>
      </c>
      <c r="N753" s="3" t="s">
        <v>25</v>
      </c>
    </row>
    <row r="754" spans="1:14" x14ac:dyDescent="0.3">
      <c r="A754" s="2" t="s">
        <v>9517</v>
      </c>
      <c r="B754" s="2" t="s">
        <v>3250</v>
      </c>
      <c r="C754" s="2" t="s">
        <v>42</v>
      </c>
      <c r="D754" s="2" t="s">
        <v>171</v>
      </c>
      <c r="E754" s="2" t="s">
        <v>14</v>
      </c>
      <c r="F754" s="2">
        <v>1</v>
      </c>
      <c r="G754" s="2">
        <v>108006.93</v>
      </c>
      <c r="H754" s="2">
        <v>108006.93</v>
      </c>
      <c r="I754" s="2" t="s">
        <v>3539</v>
      </c>
      <c r="J754" s="2">
        <v>86</v>
      </c>
      <c r="K754" s="2" t="s">
        <v>13</v>
      </c>
      <c r="L754" s="2" t="s">
        <v>23</v>
      </c>
      <c r="M754" s="2" t="s">
        <v>16</v>
      </c>
      <c r="N754" s="2" t="s">
        <v>25</v>
      </c>
    </row>
    <row r="755" spans="1:14" x14ac:dyDescent="0.3">
      <c r="A755" s="3" t="s">
        <v>1165</v>
      </c>
      <c r="B755" s="3" t="s">
        <v>290</v>
      </c>
      <c r="C755" s="3" t="s">
        <v>18</v>
      </c>
      <c r="D755" s="3" t="s">
        <v>225</v>
      </c>
      <c r="E755" s="3" t="s">
        <v>39</v>
      </c>
      <c r="F755" s="3">
        <v>22</v>
      </c>
      <c r="G755" s="3">
        <v>181709.45</v>
      </c>
      <c r="H755" s="3">
        <v>8259.52</v>
      </c>
      <c r="I755" s="3" t="s">
        <v>7475</v>
      </c>
      <c r="J755" s="3">
        <v>150</v>
      </c>
      <c r="K755" s="3" t="s">
        <v>27</v>
      </c>
      <c r="L755" s="3" t="s">
        <v>15</v>
      </c>
      <c r="M755" s="3" t="s">
        <v>16</v>
      </c>
      <c r="N755" s="3" t="s">
        <v>32</v>
      </c>
    </row>
    <row r="756" spans="1:14" x14ac:dyDescent="0.3">
      <c r="A756" s="2" t="s">
        <v>5019</v>
      </c>
      <c r="B756" s="2" t="s">
        <v>2877</v>
      </c>
      <c r="C756" s="2" t="s">
        <v>33</v>
      </c>
      <c r="D756" s="2" t="s">
        <v>148</v>
      </c>
      <c r="E756" s="2" t="s">
        <v>29</v>
      </c>
      <c r="F756" s="2">
        <v>24</v>
      </c>
      <c r="G756" s="2">
        <v>53335.33</v>
      </c>
      <c r="H756" s="2">
        <v>2222.31</v>
      </c>
      <c r="I756" s="2" t="s">
        <v>244</v>
      </c>
      <c r="J756" s="2">
        <v>95</v>
      </c>
      <c r="K756" s="2" t="s">
        <v>28</v>
      </c>
      <c r="L756" s="2" t="s">
        <v>47</v>
      </c>
      <c r="M756" s="2" t="s">
        <v>24</v>
      </c>
      <c r="N756" s="2" t="s">
        <v>32</v>
      </c>
    </row>
    <row r="757" spans="1:14" x14ac:dyDescent="0.3">
      <c r="A757" s="3" t="s">
        <v>9518</v>
      </c>
      <c r="B757" s="3" t="s">
        <v>1226</v>
      </c>
      <c r="C757" s="3" t="s">
        <v>42</v>
      </c>
      <c r="D757" s="3" t="s">
        <v>171</v>
      </c>
      <c r="E757" s="3" t="s">
        <v>14</v>
      </c>
      <c r="F757" s="3">
        <v>11</v>
      </c>
      <c r="G757" s="3">
        <v>168368.51</v>
      </c>
      <c r="H757" s="3">
        <v>15306.23</v>
      </c>
      <c r="I757" s="3" t="s">
        <v>1186</v>
      </c>
      <c r="J757" s="3">
        <v>133</v>
      </c>
      <c r="K757" s="3" t="s">
        <v>28</v>
      </c>
      <c r="L757" s="3" t="s">
        <v>43</v>
      </c>
      <c r="M757" s="3" t="s">
        <v>16</v>
      </c>
      <c r="N757" s="3" t="s">
        <v>32</v>
      </c>
    </row>
    <row r="758" spans="1:14" x14ac:dyDescent="0.3">
      <c r="A758" s="2" t="s">
        <v>4741</v>
      </c>
      <c r="B758" s="2" t="s">
        <v>1426</v>
      </c>
      <c r="C758" s="2" t="s">
        <v>42</v>
      </c>
      <c r="D758" s="2" t="s">
        <v>712</v>
      </c>
      <c r="E758" s="2" t="s">
        <v>14</v>
      </c>
      <c r="F758" s="2">
        <v>11</v>
      </c>
      <c r="G758" s="2">
        <v>146557.53</v>
      </c>
      <c r="H758" s="2">
        <v>13323.41</v>
      </c>
      <c r="I758" s="2" t="s">
        <v>5900</v>
      </c>
      <c r="J758" s="2">
        <v>65</v>
      </c>
      <c r="K758" s="2" t="s">
        <v>19</v>
      </c>
      <c r="L758" s="2" t="s">
        <v>30</v>
      </c>
      <c r="M758" s="2" t="s">
        <v>16</v>
      </c>
      <c r="N758" s="2" t="s">
        <v>25</v>
      </c>
    </row>
    <row r="759" spans="1:14" x14ac:dyDescent="0.3">
      <c r="A759" s="3" t="s">
        <v>9519</v>
      </c>
      <c r="B759" s="3" t="s">
        <v>1606</v>
      </c>
      <c r="C759" s="3" t="s">
        <v>33</v>
      </c>
      <c r="D759" s="3" t="s">
        <v>738</v>
      </c>
      <c r="E759" s="3" t="s">
        <v>22</v>
      </c>
      <c r="F759" s="3">
        <v>6</v>
      </c>
      <c r="G759" s="3">
        <v>2559.1999999999998</v>
      </c>
      <c r="H759" s="3">
        <v>426.53</v>
      </c>
      <c r="I759" s="3" t="s">
        <v>3539</v>
      </c>
      <c r="J759" s="3">
        <v>86</v>
      </c>
      <c r="K759" s="3" t="s">
        <v>28</v>
      </c>
      <c r="L759" s="3" t="s">
        <v>48</v>
      </c>
      <c r="M759" s="3" t="s">
        <v>41</v>
      </c>
      <c r="N759" s="3" t="s">
        <v>25</v>
      </c>
    </row>
    <row r="760" spans="1:14" x14ac:dyDescent="0.3">
      <c r="A760" s="2" t="s">
        <v>9520</v>
      </c>
      <c r="B760" s="2" t="s">
        <v>1866</v>
      </c>
      <c r="C760" s="2" t="s">
        <v>18</v>
      </c>
      <c r="D760" s="2" t="s">
        <v>834</v>
      </c>
      <c r="E760" s="2" t="s">
        <v>29</v>
      </c>
      <c r="F760" s="2">
        <v>3</v>
      </c>
      <c r="G760" s="2">
        <v>155041.31</v>
      </c>
      <c r="H760" s="2">
        <v>51680.44</v>
      </c>
      <c r="I760" s="2" t="s">
        <v>3315</v>
      </c>
      <c r="J760" s="2">
        <v>281</v>
      </c>
      <c r="K760" s="2" t="s">
        <v>27</v>
      </c>
      <c r="L760" s="2" t="s">
        <v>47</v>
      </c>
      <c r="M760" s="2" t="s">
        <v>16</v>
      </c>
      <c r="N760" s="2" t="s">
        <v>17</v>
      </c>
    </row>
    <row r="761" spans="1:14" x14ac:dyDescent="0.3">
      <c r="A761" s="3" t="s">
        <v>9521</v>
      </c>
      <c r="B761" s="3" t="s">
        <v>1350</v>
      </c>
      <c r="C761" s="3" t="s">
        <v>18</v>
      </c>
      <c r="D761" s="3" t="s">
        <v>193</v>
      </c>
      <c r="E761" s="3" t="s">
        <v>39</v>
      </c>
      <c r="F761" s="3">
        <v>13</v>
      </c>
      <c r="G761" s="3">
        <v>157501.96</v>
      </c>
      <c r="H761" s="3">
        <v>12115.54</v>
      </c>
      <c r="I761" s="3" t="s">
        <v>3201</v>
      </c>
      <c r="J761" s="3">
        <v>226</v>
      </c>
      <c r="K761" s="3" t="s">
        <v>21</v>
      </c>
      <c r="L761" s="3" t="s">
        <v>48</v>
      </c>
      <c r="M761" s="3" t="s">
        <v>16</v>
      </c>
      <c r="N761" s="3" t="s">
        <v>17</v>
      </c>
    </row>
    <row r="762" spans="1:14" x14ac:dyDescent="0.3">
      <c r="A762" s="2" t="s">
        <v>9522</v>
      </c>
      <c r="B762" s="2" t="s">
        <v>847</v>
      </c>
      <c r="C762" s="2" t="s">
        <v>42</v>
      </c>
      <c r="D762" s="2" t="s">
        <v>834</v>
      </c>
      <c r="E762" s="2" t="s">
        <v>29</v>
      </c>
      <c r="F762" s="2">
        <v>9</v>
      </c>
      <c r="G762" s="2">
        <v>186711.44</v>
      </c>
      <c r="H762" s="2">
        <v>20745.72</v>
      </c>
      <c r="I762" s="2" t="s">
        <v>3591</v>
      </c>
      <c r="J762" s="2">
        <v>282</v>
      </c>
      <c r="K762" s="2" t="s">
        <v>19</v>
      </c>
      <c r="L762" s="2" t="s">
        <v>40</v>
      </c>
      <c r="M762" s="2" t="s">
        <v>16</v>
      </c>
      <c r="N762" s="2" t="s">
        <v>17</v>
      </c>
    </row>
    <row r="763" spans="1:14" x14ac:dyDescent="0.3">
      <c r="A763" s="3" t="s">
        <v>9523</v>
      </c>
      <c r="B763" s="3" t="s">
        <v>1665</v>
      </c>
      <c r="C763" s="3" t="s">
        <v>18</v>
      </c>
      <c r="D763" s="3" t="s">
        <v>122</v>
      </c>
      <c r="E763" s="3" t="s">
        <v>22</v>
      </c>
      <c r="F763" s="3">
        <v>7</v>
      </c>
      <c r="G763" s="3">
        <v>139018.10999999999</v>
      </c>
      <c r="H763" s="3">
        <v>19859.73</v>
      </c>
      <c r="I763" s="3" t="s">
        <v>2365</v>
      </c>
      <c r="J763" s="3">
        <v>356</v>
      </c>
      <c r="K763" s="3" t="s">
        <v>13</v>
      </c>
      <c r="L763" s="3" t="s">
        <v>23</v>
      </c>
      <c r="M763" s="3" t="s">
        <v>16</v>
      </c>
      <c r="N763" s="3" t="s">
        <v>17</v>
      </c>
    </row>
    <row r="764" spans="1:14" x14ac:dyDescent="0.3">
      <c r="A764" s="2" t="s">
        <v>9524</v>
      </c>
      <c r="B764" s="2" t="s">
        <v>2339</v>
      </c>
      <c r="C764" s="2" t="s">
        <v>42</v>
      </c>
      <c r="D764" s="2" t="s">
        <v>193</v>
      </c>
      <c r="E764" s="2" t="s">
        <v>39</v>
      </c>
      <c r="F764" s="2">
        <v>19</v>
      </c>
      <c r="G764" s="2">
        <v>140834.31</v>
      </c>
      <c r="H764" s="2">
        <v>7412.33</v>
      </c>
      <c r="I764" s="2" t="s">
        <v>887</v>
      </c>
      <c r="J764" s="2">
        <v>203</v>
      </c>
      <c r="K764" s="2" t="s">
        <v>13</v>
      </c>
      <c r="L764" s="2" t="s">
        <v>23</v>
      </c>
      <c r="M764" s="2" t="s">
        <v>16</v>
      </c>
      <c r="N764" s="2" t="s">
        <v>17</v>
      </c>
    </row>
    <row r="765" spans="1:14" x14ac:dyDescent="0.3">
      <c r="A765" s="3" t="s">
        <v>9525</v>
      </c>
      <c r="B765" s="3" t="s">
        <v>1989</v>
      </c>
      <c r="C765" s="3" t="s">
        <v>33</v>
      </c>
      <c r="D765" s="3" t="s">
        <v>183</v>
      </c>
      <c r="E765" s="3" t="s">
        <v>14</v>
      </c>
      <c r="F765" s="3">
        <v>11</v>
      </c>
      <c r="G765" s="3">
        <v>58026.96</v>
      </c>
      <c r="H765" s="3">
        <v>5275.18</v>
      </c>
      <c r="I765" s="3" t="s">
        <v>637</v>
      </c>
      <c r="J765" s="3">
        <v>335</v>
      </c>
      <c r="K765" s="3" t="s">
        <v>28</v>
      </c>
      <c r="L765" s="3" t="s">
        <v>47</v>
      </c>
      <c r="M765" s="3" t="s">
        <v>24</v>
      </c>
      <c r="N765" s="3" t="s">
        <v>17</v>
      </c>
    </row>
    <row r="766" spans="1:14" x14ac:dyDescent="0.3">
      <c r="A766" s="2" t="s">
        <v>9526</v>
      </c>
      <c r="B766" s="2" t="s">
        <v>1451</v>
      </c>
      <c r="C766" s="2" t="s">
        <v>18</v>
      </c>
      <c r="D766" s="2" t="s">
        <v>193</v>
      </c>
      <c r="E766" s="2" t="s">
        <v>39</v>
      </c>
      <c r="F766" s="2">
        <v>20</v>
      </c>
      <c r="G766" s="2">
        <v>94259.93</v>
      </c>
      <c r="H766" s="2">
        <v>4713</v>
      </c>
      <c r="I766" s="2" t="s">
        <v>5900</v>
      </c>
      <c r="J766" s="2">
        <v>65</v>
      </c>
      <c r="K766" s="2" t="s">
        <v>19</v>
      </c>
      <c r="L766" s="2" t="s">
        <v>23</v>
      </c>
      <c r="M766" s="2" t="s">
        <v>24</v>
      </c>
      <c r="N766" s="2" t="s">
        <v>25</v>
      </c>
    </row>
    <row r="767" spans="1:14" x14ac:dyDescent="0.3">
      <c r="A767" s="3" t="s">
        <v>9527</v>
      </c>
      <c r="B767" s="3" t="s">
        <v>358</v>
      </c>
      <c r="C767" s="3" t="s">
        <v>18</v>
      </c>
      <c r="D767" s="3" t="s">
        <v>215</v>
      </c>
      <c r="E767" s="3" t="s">
        <v>14</v>
      </c>
      <c r="F767" s="3">
        <v>4</v>
      </c>
      <c r="G767" s="3">
        <v>115862.92</v>
      </c>
      <c r="H767" s="3">
        <v>28965.73</v>
      </c>
      <c r="I767" s="3" t="s">
        <v>2364</v>
      </c>
      <c r="J767" s="3">
        <v>359</v>
      </c>
      <c r="K767" s="3" t="s">
        <v>21</v>
      </c>
      <c r="L767" s="3" t="s">
        <v>40</v>
      </c>
      <c r="M767" s="3" t="s">
        <v>16</v>
      </c>
      <c r="N767" s="3" t="s">
        <v>17</v>
      </c>
    </row>
    <row r="768" spans="1:14" x14ac:dyDescent="0.3">
      <c r="A768" s="2" t="s">
        <v>9528</v>
      </c>
      <c r="B768" s="2" t="s">
        <v>469</v>
      </c>
      <c r="C768" s="2" t="s">
        <v>18</v>
      </c>
      <c r="D768" s="2" t="s">
        <v>193</v>
      </c>
      <c r="E768" s="2" t="s">
        <v>39</v>
      </c>
      <c r="F768" s="2">
        <v>26</v>
      </c>
      <c r="G768" s="2">
        <v>41825.54</v>
      </c>
      <c r="H768" s="2">
        <v>1608.67</v>
      </c>
      <c r="I768" s="2" t="s">
        <v>3669</v>
      </c>
      <c r="J768" s="2">
        <v>186</v>
      </c>
      <c r="K768" s="2" t="s">
        <v>28</v>
      </c>
      <c r="L768" s="2" t="s">
        <v>15</v>
      </c>
      <c r="M768" s="2" t="s">
        <v>31</v>
      </c>
      <c r="N768" s="2" t="s">
        <v>17</v>
      </c>
    </row>
    <row r="769" spans="1:14" x14ac:dyDescent="0.3">
      <c r="A769" s="3" t="s">
        <v>9529</v>
      </c>
      <c r="B769" s="3" t="s">
        <v>432</v>
      </c>
      <c r="C769" s="3" t="s">
        <v>26</v>
      </c>
      <c r="D769" s="3" t="s">
        <v>427</v>
      </c>
      <c r="E769" s="3" t="s">
        <v>29</v>
      </c>
      <c r="F769" s="3">
        <v>30</v>
      </c>
      <c r="G769" s="3">
        <v>8866.0300000000007</v>
      </c>
      <c r="H769" s="3">
        <v>295.52999999999997</v>
      </c>
      <c r="I769" s="3" t="s">
        <v>514</v>
      </c>
      <c r="J769" s="3">
        <v>59</v>
      </c>
      <c r="K769" s="3" t="s">
        <v>27</v>
      </c>
      <c r="L769" s="3" t="s">
        <v>40</v>
      </c>
      <c r="M769" s="3" t="s">
        <v>41</v>
      </c>
      <c r="N769" s="3" t="s">
        <v>25</v>
      </c>
    </row>
    <row r="770" spans="1:14" x14ac:dyDescent="0.3">
      <c r="A770" s="2" t="s">
        <v>9530</v>
      </c>
      <c r="B770" s="2" t="s">
        <v>2147</v>
      </c>
      <c r="C770" s="2" t="s">
        <v>42</v>
      </c>
      <c r="D770" s="2" t="s">
        <v>183</v>
      </c>
      <c r="E770" s="2" t="s">
        <v>14</v>
      </c>
      <c r="F770" s="2">
        <v>6</v>
      </c>
      <c r="G770" s="2">
        <v>47205.58</v>
      </c>
      <c r="H770" s="2">
        <v>7867.6</v>
      </c>
      <c r="I770" s="2" t="s">
        <v>1257</v>
      </c>
      <c r="J770" s="2">
        <v>151</v>
      </c>
      <c r="K770" s="2" t="s">
        <v>13</v>
      </c>
      <c r="L770" s="2" t="s">
        <v>23</v>
      </c>
      <c r="M770" s="2" t="s">
        <v>31</v>
      </c>
      <c r="N770" s="2" t="s">
        <v>32</v>
      </c>
    </row>
    <row r="771" spans="1:14" x14ac:dyDescent="0.3">
      <c r="A771" s="3" t="s">
        <v>9531</v>
      </c>
      <c r="B771" s="3" t="s">
        <v>934</v>
      </c>
      <c r="C771" s="3" t="s">
        <v>26</v>
      </c>
      <c r="D771" s="3" t="s">
        <v>109</v>
      </c>
      <c r="E771" s="3" t="s">
        <v>39</v>
      </c>
      <c r="F771" s="3">
        <v>11</v>
      </c>
      <c r="G771" s="3">
        <v>190368.76</v>
      </c>
      <c r="H771" s="3">
        <v>17306.25</v>
      </c>
      <c r="I771" s="3" t="s">
        <v>1186</v>
      </c>
      <c r="J771" s="3">
        <v>133</v>
      </c>
      <c r="K771" s="3" t="s">
        <v>27</v>
      </c>
      <c r="L771" s="3" t="s">
        <v>43</v>
      </c>
      <c r="M771" s="3" t="s">
        <v>16</v>
      </c>
      <c r="N771" s="3" t="s">
        <v>32</v>
      </c>
    </row>
    <row r="772" spans="1:14" x14ac:dyDescent="0.3">
      <c r="A772" s="2" t="s">
        <v>5068</v>
      </c>
      <c r="B772" s="2" t="s">
        <v>2345</v>
      </c>
      <c r="C772" s="2" t="s">
        <v>18</v>
      </c>
      <c r="D772" s="2" t="s">
        <v>148</v>
      </c>
      <c r="E772" s="2" t="s">
        <v>29</v>
      </c>
      <c r="F772" s="2">
        <v>16</v>
      </c>
      <c r="G772" s="2">
        <v>28484.07</v>
      </c>
      <c r="H772" s="2">
        <v>1780.25</v>
      </c>
      <c r="I772" s="2" t="s">
        <v>2934</v>
      </c>
      <c r="J772" s="2">
        <v>166</v>
      </c>
      <c r="K772" s="2" t="s">
        <v>27</v>
      </c>
      <c r="L772" s="2" t="s">
        <v>15</v>
      </c>
      <c r="M772" s="2" t="s">
        <v>31</v>
      </c>
      <c r="N772" s="2" t="s">
        <v>32</v>
      </c>
    </row>
    <row r="773" spans="1:14" x14ac:dyDescent="0.3">
      <c r="A773" s="3" t="s">
        <v>9532</v>
      </c>
      <c r="B773" s="3" t="s">
        <v>1426</v>
      </c>
      <c r="C773" s="3" t="s">
        <v>33</v>
      </c>
      <c r="D773" s="3" t="s">
        <v>148</v>
      </c>
      <c r="E773" s="3" t="s">
        <v>29</v>
      </c>
      <c r="F773" s="3">
        <v>7</v>
      </c>
      <c r="G773" s="3">
        <v>134829.26</v>
      </c>
      <c r="H773" s="3">
        <v>19261.32</v>
      </c>
      <c r="I773" s="3" t="s">
        <v>2354</v>
      </c>
      <c r="J773" s="3">
        <v>328</v>
      </c>
      <c r="K773" s="3" t="s">
        <v>28</v>
      </c>
      <c r="L773" s="3" t="s">
        <v>47</v>
      </c>
      <c r="M773" s="3" t="s">
        <v>16</v>
      </c>
      <c r="N773" s="3" t="s">
        <v>17</v>
      </c>
    </row>
    <row r="774" spans="1:14" x14ac:dyDescent="0.3">
      <c r="A774" s="2" t="s">
        <v>9533</v>
      </c>
      <c r="B774" s="2" t="s">
        <v>1544</v>
      </c>
      <c r="C774" s="2" t="s">
        <v>33</v>
      </c>
      <c r="D774" s="2" t="s">
        <v>712</v>
      </c>
      <c r="E774" s="2" t="s">
        <v>14</v>
      </c>
      <c r="F774" s="2">
        <v>13</v>
      </c>
      <c r="G774" s="2">
        <v>120212.04</v>
      </c>
      <c r="H774" s="2">
        <v>9247.08</v>
      </c>
      <c r="I774" s="2" t="s">
        <v>5668</v>
      </c>
      <c r="J774" s="2">
        <v>244</v>
      </c>
      <c r="K774" s="2" t="s">
        <v>27</v>
      </c>
      <c r="L774" s="2" t="s">
        <v>23</v>
      </c>
      <c r="M774" s="2" t="s">
        <v>16</v>
      </c>
      <c r="N774" s="2" t="s">
        <v>17</v>
      </c>
    </row>
    <row r="775" spans="1:14" x14ac:dyDescent="0.3">
      <c r="A775" s="3" t="s">
        <v>9534</v>
      </c>
      <c r="B775" s="3" t="s">
        <v>707</v>
      </c>
      <c r="C775" s="3" t="s">
        <v>26</v>
      </c>
      <c r="D775" s="3" t="s">
        <v>738</v>
      </c>
      <c r="E775" s="3" t="s">
        <v>22</v>
      </c>
      <c r="F775" s="3">
        <v>29</v>
      </c>
      <c r="G775" s="3">
        <v>57238.76</v>
      </c>
      <c r="H775" s="3">
        <v>1973.75</v>
      </c>
      <c r="I775" s="3" t="s">
        <v>2519</v>
      </c>
      <c r="J775" s="3">
        <v>54</v>
      </c>
      <c r="K775" s="3" t="s">
        <v>13</v>
      </c>
      <c r="L775" s="3" t="s">
        <v>43</v>
      </c>
      <c r="M775" s="3" t="s">
        <v>24</v>
      </c>
      <c r="N775" s="3" t="s">
        <v>25</v>
      </c>
    </row>
    <row r="776" spans="1:14" x14ac:dyDescent="0.3">
      <c r="A776" s="2" t="s">
        <v>9535</v>
      </c>
      <c r="B776" s="2" t="s">
        <v>2305</v>
      </c>
      <c r="C776" s="2" t="s">
        <v>18</v>
      </c>
      <c r="D776" s="2" t="s">
        <v>148</v>
      </c>
      <c r="E776" s="2" t="s">
        <v>29</v>
      </c>
      <c r="F776" s="2">
        <v>2</v>
      </c>
      <c r="G776" s="2">
        <v>46223.79</v>
      </c>
      <c r="H776" s="2">
        <v>23111.9</v>
      </c>
      <c r="I776" s="2" t="s">
        <v>442</v>
      </c>
      <c r="J776" s="2">
        <v>349</v>
      </c>
      <c r="K776" s="2" t="s">
        <v>19</v>
      </c>
      <c r="L776" s="2" t="s">
        <v>30</v>
      </c>
      <c r="M776" s="2" t="s">
        <v>31</v>
      </c>
      <c r="N776" s="2" t="s">
        <v>17</v>
      </c>
    </row>
    <row r="777" spans="1:14" x14ac:dyDescent="0.3">
      <c r="A777" s="3" t="s">
        <v>9536</v>
      </c>
      <c r="B777" s="3" t="s">
        <v>695</v>
      </c>
      <c r="C777" s="3" t="s">
        <v>42</v>
      </c>
      <c r="D777" s="3" t="s">
        <v>95</v>
      </c>
      <c r="E777" s="3" t="s">
        <v>14</v>
      </c>
      <c r="F777" s="3">
        <v>8</v>
      </c>
      <c r="G777" s="3">
        <v>197032.78</v>
      </c>
      <c r="H777" s="3">
        <v>24629.1</v>
      </c>
      <c r="I777" s="3" t="s">
        <v>214</v>
      </c>
      <c r="J777" s="3">
        <v>83</v>
      </c>
      <c r="K777" s="3" t="s">
        <v>21</v>
      </c>
      <c r="L777" s="3" t="s">
        <v>23</v>
      </c>
      <c r="M777" s="3" t="s">
        <v>16</v>
      </c>
      <c r="N777" s="3" t="s">
        <v>25</v>
      </c>
    </row>
    <row r="778" spans="1:14" x14ac:dyDescent="0.3">
      <c r="A778" s="2" t="s">
        <v>9537</v>
      </c>
      <c r="B778" s="2" t="s">
        <v>1091</v>
      </c>
      <c r="C778" s="2" t="s">
        <v>42</v>
      </c>
      <c r="D778" s="2" t="s">
        <v>215</v>
      </c>
      <c r="E778" s="2" t="s">
        <v>14</v>
      </c>
      <c r="F778" s="2">
        <v>16</v>
      </c>
      <c r="G778" s="2">
        <v>96863.14</v>
      </c>
      <c r="H778" s="2">
        <v>6053.95</v>
      </c>
      <c r="I778" s="2" t="s">
        <v>2238</v>
      </c>
      <c r="J778" s="2">
        <v>112</v>
      </c>
      <c r="K778" s="2" t="s">
        <v>28</v>
      </c>
      <c r="L778" s="2" t="s">
        <v>30</v>
      </c>
      <c r="M778" s="2" t="s">
        <v>24</v>
      </c>
      <c r="N778" s="2" t="s">
        <v>32</v>
      </c>
    </row>
    <row r="779" spans="1:14" x14ac:dyDescent="0.3">
      <c r="A779" s="3" t="s">
        <v>8623</v>
      </c>
      <c r="B779" s="3" t="s">
        <v>368</v>
      </c>
      <c r="C779" s="3" t="s">
        <v>26</v>
      </c>
      <c r="D779" s="3" t="s">
        <v>183</v>
      </c>
      <c r="E779" s="3" t="s">
        <v>14</v>
      </c>
      <c r="F779" s="3">
        <v>27</v>
      </c>
      <c r="G779" s="3">
        <v>147592.41</v>
      </c>
      <c r="H779" s="3">
        <v>5466.39</v>
      </c>
      <c r="I779" s="3" t="s">
        <v>2364</v>
      </c>
      <c r="J779" s="3">
        <v>359</v>
      </c>
      <c r="K779" s="3" t="s">
        <v>28</v>
      </c>
      <c r="L779" s="3" t="s">
        <v>30</v>
      </c>
      <c r="M779" s="3" t="s">
        <v>16</v>
      </c>
      <c r="N779" s="3" t="s">
        <v>17</v>
      </c>
    </row>
    <row r="780" spans="1:14" x14ac:dyDescent="0.3">
      <c r="A780" s="2" t="s">
        <v>9538</v>
      </c>
      <c r="B780" s="2" t="s">
        <v>695</v>
      </c>
      <c r="C780" s="2" t="s">
        <v>26</v>
      </c>
      <c r="D780" s="2" t="s">
        <v>738</v>
      </c>
      <c r="E780" s="2" t="s">
        <v>22</v>
      </c>
      <c r="F780" s="2">
        <v>29</v>
      </c>
      <c r="G780" s="2">
        <v>59366.85</v>
      </c>
      <c r="H780" s="2">
        <v>2047.13</v>
      </c>
      <c r="I780" s="2" t="s">
        <v>1486</v>
      </c>
      <c r="J780" s="2">
        <v>32</v>
      </c>
      <c r="K780" s="2" t="s">
        <v>13</v>
      </c>
      <c r="L780" s="2" t="s">
        <v>47</v>
      </c>
      <c r="M780" s="2" t="s">
        <v>24</v>
      </c>
      <c r="N780" s="2" t="s">
        <v>25</v>
      </c>
    </row>
    <row r="781" spans="1:14" x14ac:dyDescent="0.3">
      <c r="A781" s="3" t="s">
        <v>9539</v>
      </c>
      <c r="B781" s="3" t="s">
        <v>459</v>
      </c>
      <c r="C781" s="3" t="s">
        <v>18</v>
      </c>
      <c r="D781" s="3" t="s">
        <v>95</v>
      </c>
      <c r="E781" s="3" t="s">
        <v>14</v>
      </c>
      <c r="F781" s="3">
        <v>6</v>
      </c>
      <c r="G781" s="3">
        <v>8378.61</v>
      </c>
      <c r="H781" s="3">
        <v>1396.44</v>
      </c>
      <c r="I781" s="3" t="s">
        <v>997</v>
      </c>
      <c r="J781" s="3">
        <v>53</v>
      </c>
      <c r="K781" s="3" t="s">
        <v>13</v>
      </c>
      <c r="L781" s="3" t="s">
        <v>23</v>
      </c>
      <c r="M781" s="3" t="s">
        <v>41</v>
      </c>
      <c r="N781" s="3" t="s">
        <v>25</v>
      </c>
    </row>
    <row r="782" spans="1:14" x14ac:dyDescent="0.3">
      <c r="A782" s="2" t="s">
        <v>3054</v>
      </c>
      <c r="B782" s="2" t="s">
        <v>3903</v>
      </c>
      <c r="C782" s="2" t="s">
        <v>26</v>
      </c>
      <c r="D782" s="2" t="s">
        <v>122</v>
      </c>
      <c r="E782" s="2" t="s">
        <v>22</v>
      </c>
      <c r="F782" s="2">
        <v>12</v>
      </c>
      <c r="G782" s="2">
        <v>59218.3</v>
      </c>
      <c r="H782" s="2">
        <v>4934.8599999999997</v>
      </c>
      <c r="I782" s="2" t="s">
        <v>1338</v>
      </c>
      <c r="J782" s="2">
        <v>242</v>
      </c>
      <c r="K782" s="2" t="s">
        <v>27</v>
      </c>
      <c r="L782" s="2" t="s">
        <v>43</v>
      </c>
      <c r="M782" s="2" t="s">
        <v>24</v>
      </c>
      <c r="N782" s="2" t="s">
        <v>17</v>
      </c>
    </row>
    <row r="783" spans="1:14" x14ac:dyDescent="0.3">
      <c r="A783" s="3" t="s">
        <v>9540</v>
      </c>
      <c r="B783" s="3" t="s">
        <v>791</v>
      </c>
      <c r="C783" s="3" t="s">
        <v>33</v>
      </c>
      <c r="D783" s="3" t="s">
        <v>215</v>
      </c>
      <c r="E783" s="3" t="s">
        <v>14</v>
      </c>
      <c r="F783" s="3">
        <v>10</v>
      </c>
      <c r="G783" s="3">
        <v>157128.32999999999</v>
      </c>
      <c r="H783" s="3">
        <v>15712.83</v>
      </c>
      <c r="I783" s="3" t="s">
        <v>5475</v>
      </c>
      <c r="J783" s="3">
        <v>94</v>
      </c>
      <c r="K783" s="3" t="s">
        <v>19</v>
      </c>
      <c r="L783" s="3" t="s">
        <v>48</v>
      </c>
      <c r="M783" s="3" t="s">
        <v>16</v>
      </c>
      <c r="N783" s="3" t="s">
        <v>32</v>
      </c>
    </row>
    <row r="784" spans="1:14" x14ac:dyDescent="0.3">
      <c r="A784" s="2" t="s">
        <v>9541</v>
      </c>
      <c r="B784" s="2" t="s">
        <v>1737</v>
      </c>
      <c r="C784" s="2" t="s">
        <v>42</v>
      </c>
      <c r="D784" s="2" t="s">
        <v>712</v>
      </c>
      <c r="E784" s="2" t="s">
        <v>14</v>
      </c>
      <c r="F784" s="2">
        <v>23</v>
      </c>
      <c r="G784" s="2">
        <v>134651.25</v>
      </c>
      <c r="H784" s="2">
        <v>5854.4</v>
      </c>
      <c r="I784" s="2" t="s">
        <v>1906</v>
      </c>
      <c r="J784" s="2">
        <v>47</v>
      </c>
      <c r="K784" s="2" t="s">
        <v>27</v>
      </c>
      <c r="L784" s="2" t="s">
        <v>47</v>
      </c>
      <c r="M784" s="2" t="s">
        <v>16</v>
      </c>
      <c r="N784" s="2" t="s">
        <v>25</v>
      </c>
    </row>
    <row r="785" spans="1:14" x14ac:dyDescent="0.3">
      <c r="A785" s="3" t="s">
        <v>9542</v>
      </c>
      <c r="B785" s="3" t="s">
        <v>2572</v>
      </c>
      <c r="C785" s="3" t="s">
        <v>18</v>
      </c>
      <c r="D785" s="3" t="s">
        <v>443</v>
      </c>
      <c r="E785" s="3" t="s">
        <v>22</v>
      </c>
      <c r="F785" s="3">
        <v>25</v>
      </c>
      <c r="G785" s="3">
        <v>180728.25</v>
      </c>
      <c r="H785" s="3">
        <v>7229.13</v>
      </c>
      <c r="I785" s="3" t="s">
        <v>1080</v>
      </c>
      <c r="J785" s="3">
        <v>221</v>
      </c>
      <c r="K785" s="3" t="s">
        <v>21</v>
      </c>
      <c r="L785" s="3" t="s">
        <v>48</v>
      </c>
      <c r="M785" s="3" t="s">
        <v>16</v>
      </c>
      <c r="N785" s="3" t="s">
        <v>17</v>
      </c>
    </row>
    <row r="786" spans="1:14" x14ac:dyDescent="0.3">
      <c r="A786" s="2" t="s">
        <v>9543</v>
      </c>
      <c r="B786" s="2" t="s">
        <v>1861</v>
      </c>
      <c r="C786" s="2" t="s">
        <v>18</v>
      </c>
      <c r="D786" s="2" t="s">
        <v>427</v>
      </c>
      <c r="E786" s="2" t="s">
        <v>29</v>
      </c>
      <c r="F786" s="2">
        <v>25</v>
      </c>
      <c r="G786" s="2">
        <v>10123.450000000001</v>
      </c>
      <c r="H786" s="2">
        <v>404.94</v>
      </c>
      <c r="I786" s="2" t="s">
        <v>2414</v>
      </c>
      <c r="J786" s="2">
        <v>228</v>
      </c>
      <c r="K786" s="2" t="s">
        <v>19</v>
      </c>
      <c r="L786" s="2" t="s">
        <v>47</v>
      </c>
      <c r="M786" s="2" t="s">
        <v>31</v>
      </c>
      <c r="N786" s="2" t="s">
        <v>17</v>
      </c>
    </row>
    <row r="787" spans="1:14" x14ac:dyDescent="0.3">
      <c r="A787" s="3" t="s">
        <v>9544</v>
      </c>
      <c r="B787" s="3" t="s">
        <v>1261</v>
      </c>
      <c r="C787" s="3" t="s">
        <v>33</v>
      </c>
      <c r="D787" s="3" t="s">
        <v>254</v>
      </c>
      <c r="E787" s="3" t="s">
        <v>22</v>
      </c>
      <c r="F787" s="3">
        <v>26</v>
      </c>
      <c r="G787" s="3">
        <v>111166.88</v>
      </c>
      <c r="H787" s="3">
        <v>4275.6499999999996</v>
      </c>
      <c r="I787" s="3" t="s">
        <v>7023</v>
      </c>
      <c r="J787" s="3">
        <v>142</v>
      </c>
      <c r="K787" s="3" t="s">
        <v>13</v>
      </c>
      <c r="L787" s="3" t="s">
        <v>48</v>
      </c>
      <c r="M787" s="3" t="s">
        <v>16</v>
      </c>
      <c r="N787" s="3" t="s">
        <v>32</v>
      </c>
    </row>
    <row r="788" spans="1:14" x14ac:dyDescent="0.3">
      <c r="A788" s="2" t="s">
        <v>9545</v>
      </c>
      <c r="B788" s="2" t="s">
        <v>1597</v>
      </c>
      <c r="C788" s="2" t="s">
        <v>42</v>
      </c>
      <c r="D788" s="2" t="s">
        <v>738</v>
      </c>
      <c r="E788" s="2" t="s">
        <v>22</v>
      </c>
      <c r="F788" s="2">
        <v>13</v>
      </c>
      <c r="G788" s="2">
        <v>111771.66</v>
      </c>
      <c r="H788" s="2">
        <v>8597.82</v>
      </c>
      <c r="I788" s="2" t="s">
        <v>1242</v>
      </c>
      <c r="J788" s="2">
        <v>296</v>
      </c>
      <c r="K788" s="2" t="s">
        <v>21</v>
      </c>
      <c r="L788" s="2" t="s">
        <v>47</v>
      </c>
      <c r="M788" s="2" t="s">
        <v>16</v>
      </c>
      <c r="N788" s="2" t="s">
        <v>17</v>
      </c>
    </row>
    <row r="789" spans="1:14" x14ac:dyDescent="0.3">
      <c r="A789" s="3" t="s">
        <v>5172</v>
      </c>
      <c r="B789" s="3" t="s">
        <v>3325</v>
      </c>
      <c r="C789" s="3" t="s">
        <v>33</v>
      </c>
      <c r="D789" s="3" t="s">
        <v>95</v>
      </c>
      <c r="E789" s="3" t="s">
        <v>14</v>
      </c>
      <c r="F789" s="3">
        <v>19</v>
      </c>
      <c r="G789" s="3">
        <v>102221.01</v>
      </c>
      <c r="H789" s="3">
        <v>5380.05</v>
      </c>
      <c r="I789" s="3" t="s">
        <v>3561</v>
      </c>
      <c r="J789" s="3">
        <v>131</v>
      </c>
      <c r="K789" s="3" t="s">
        <v>13</v>
      </c>
      <c r="L789" s="3" t="s">
        <v>23</v>
      </c>
      <c r="M789" s="3" t="s">
        <v>16</v>
      </c>
      <c r="N789" s="3" t="s">
        <v>32</v>
      </c>
    </row>
    <row r="790" spans="1:14" x14ac:dyDescent="0.3">
      <c r="A790" s="2" t="s">
        <v>9546</v>
      </c>
      <c r="B790" s="2" t="s">
        <v>2877</v>
      </c>
      <c r="C790" s="2" t="s">
        <v>18</v>
      </c>
      <c r="D790" s="2" t="s">
        <v>148</v>
      </c>
      <c r="E790" s="2" t="s">
        <v>29</v>
      </c>
      <c r="F790" s="2">
        <v>6</v>
      </c>
      <c r="G790" s="2">
        <v>62223.839999999997</v>
      </c>
      <c r="H790" s="2">
        <v>10370.64</v>
      </c>
      <c r="I790" s="2" t="s">
        <v>1995</v>
      </c>
      <c r="J790" s="2">
        <v>272</v>
      </c>
      <c r="K790" s="2" t="s">
        <v>27</v>
      </c>
      <c r="L790" s="2" t="s">
        <v>23</v>
      </c>
      <c r="M790" s="2" t="s">
        <v>24</v>
      </c>
      <c r="N790" s="2" t="s">
        <v>17</v>
      </c>
    </row>
    <row r="791" spans="1:14" x14ac:dyDescent="0.3">
      <c r="A791" s="3" t="s">
        <v>9547</v>
      </c>
      <c r="B791" s="3" t="s">
        <v>1419</v>
      </c>
      <c r="C791" s="3" t="s">
        <v>26</v>
      </c>
      <c r="D791" s="3" t="s">
        <v>183</v>
      </c>
      <c r="E791" s="3" t="s">
        <v>14</v>
      </c>
      <c r="F791" s="3">
        <v>25</v>
      </c>
      <c r="G791" s="3">
        <v>27541.09</v>
      </c>
      <c r="H791" s="3">
        <v>1101.6400000000001</v>
      </c>
      <c r="I791" s="3" t="s">
        <v>770</v>
      </c>
      <c r="J791" s="3">
        <v>107</v>
      </c>
      <c r="K791" s="3" t="s">
        <v>28</v>
      </c>
      <c r="L791" s="3" t="s">
        <v>30</v>
      </c>
      <c r="M791" s="3" t="s">
        <v>31</v>
      </c>
      <c r="N791" s="3" t="s">
        <v>32</v>
      </c>
    </row>
    <row r="792" spans="1:14" x14ac:dyDescent="0.3">
      <c r="A792" s="2" t="s">
        <v>9548</v>
      </c>
      <c r="B792" s="2" t="s">
        <v>1792</v>
      </c>
      <c r="C792" s="2" t="s">
        <v>33</v>
      </c>
      <c r="D792" s="2" t="s">
        <v>215</v>
      </c>
      <c r="E792" s="2" t="s">
        <v>14</v>
      </c>
      <c r="F792" s="2">
        <v>13</v>
      </c>
      <c r="G792" s="2">
        <v>36979.129999999997</v>
      </c>
      <c r="H792" s="2">
        <v>2844.55</v>
      </c>
      <c r="I792" s="2" t="s">
        <v>1263</v>
      </c>
      <c r="J792" s="2">
        <v>249</v>
      </c>
      <c r="K792" s="2" t="s">
        <v>21</v>
      </c>
      <c r="L792" s="2" t="s">
        <v>43</v>
      </c>
      <c r="M792" s="2" t="s">
        <v>31</v>
      </c>
      <c r="N792" s="2" t="s">
        <v>17</v>
      </c>
    </row>
    <row r="793" spans="1:14" x14ac:dyDescent="0.3">
      <c r="A793" s="3" t="s">
        <v>9549</v>
      </c>
      <c r="B793" s="3" t="s">
        <v>1809</v>
      </c>
      <c r="C793" s="3" t="s">
        <v>18</v>
      </c>
      <c r="D793" s="3" t="s">
        <v>443</v>
      </c>
      <c r="E793" s="3" t="s">
        <v>22</v>
      </c>
      <c r="F793" s="3">
        <v>4</v>
      </c>
      <c r="G793" s="3">
        <v>49842.39</v>
      </c>
      <c r="H793" s="3">
        <v>12460.6</v>
      </c>
      <c r="I793" s="3" t="s">
        <v>1563</v>
      </c>
      <c r="J793" s="3">
        <v>204</v>
      </c>
      <c r="K793" s="3" t="s">
        <v>27</v>
      </c>
      <c r="L793" s="3" t="s">
        <v>47</v>
      </c>
      <c r="M793" s="3" t="s">
        <v>31</v>
      </c>
      <c r="N793" s="3" t="s">
        <v>17</v>
      </c>
    </row>
    <row r="794" spans="1:14" x14ac:dyDescent="0.3">
      <c r="A794" s="2" t="s">
        <v>9550</v>
      </c>
      <c r="B794" s="2" t="s">
        <v>210</v>
      </c>
      <c r="C794" s="2" t="s">
        <v>42</v>
      </c>
      <c r="D794" s="2" t="s">
        <v>225</v>
      </c>
      <c r="E794" s="2" t="s">
        <v>39</v>
      </c>
      <c r="F794" s="2">
        <v>30</v>
      </c>
      <c r="G794" s="2">
        <v>133426.85999999999</v>
      </c>
      <c r="H794" s="2">
        <v>4447.5600000000004</v>
      </c>
      <c r="I794" s="2" t="s">
        <v>2518</v>
      </c>
      <c r="J794" s="2">
        <v>57</v>
      </c>
      <c r="K794" s="2" t="s">
        <v>19</v>
      </c>
      <c r="L794" s="2" t="s">
        <v>40</v>
      </c>
      <c r="M794" s="2" t="s">
        <v>16</v>
      </c>
      <c r="N794" s="2" t="s">
        <v>25</v>
      </c>
    </row>
    <row r="795" spans="1:14" x14ac:dyDescent="0.3">
      <c r="A795" s="3" t="s">
        <v>9551</v>
      </c>
      <c r="B795" s="3" t="s">
        <v>1683</v>
      </c>
      <c r="C795" s="3" t="s">
        <v>26</v>
      </c>
      <c r="D795" s="3" t="s">
        <v>443</v>
      </c>
      <c r="E795" s="3" t="s">
        <v>22</v>
      </c>
      <c r="F795" s="3">
        <v>4</v>
      </c>
      <c r="G795" s="3">
        <v>66745.5</v>
      </c>
      <c r="H795" s="3">
        <v>16686.38</v>
      </c>
      <c r="I795" s="3" t="s">
        <v>858</v>
      </c>
      <c r="J795" s="3">
        <v>210</v>
      </c>
      <c r="K795" s="3" t="s">
        <v>28</v>
      </c>
      <c r="L795" s="3" t="s">
        <v>15</v>
      </c>
      <c r="M795" s="3" t="s">
        <v>24</v>
      </c>
      <c r="N795" s="3" t="s">
        <v>17</v>
      </c>
    </row>
    <row r="796" spans="1:14" x14ac:dyDescent="0.3">
      <c r="A796" s="2" t="s">
        <v>9552</v>
      </c>
      <c r="B796" s="2" t="s">
        <v>2202</v>
      </c>
      <c r="C796" s="2" t="s">
        <v>26</v>
      </c>
      <c r="D796" s="2" t="s">
        <v>834</v>
      </c>
      <c r="E796" s="2" t="s">
        <v>29</v>
      </c>
      <c r="F796" s="2">
        <v>22</v>
      </c>
      <c r="G796" s="2">
        <v>89138.46</v>
      </c>
      <c r="H796" s="2">
        <v>4051.75</v>
      </c>
      <c r="I796" s="2" t="s">
        <v>776</v>
      </c>
      <c r="J796" s="2">
        <v>90</v>
      </c>
      <c r="K796" s="2" t="s">
        <v>27</v>
      </c>
      <c r="L796" s="2" t="s">
        <v>30</v>
      </c>
      <c r="M796" s="2" t="s">
        <v>24</v>
      </c>
      <c r="N796" s="2" t="s">
        <v>25</v>
      </c>
    </row>
    <row r="797" spans="1:14" x14ac:dyDescent="0.3">
      <c r="A797" s="3" t="s">
        <v>7026</v>
      </c>
      <c r="B797" s="3" t="s">
        <v>545</v>
      </c>
      <c r="C797" s="3" t="s">
        <v>26</v>
      </c>
      <c r="D797" s="3" t="s">
        <v>160</v>
      </c>
      <c r="E797" s="3" t="s">
        <v>29</v>
      </c>
      <c r="F797" s="3">
        <v>21</v>
      </c>
      <c r="G797" s="3">
        <v>155793.68</v>
      </c>
      <c r="H797" s="3">
        <v>7418.75</v>
      </c>
      <c r="I797" s="3" t="s">
        <v>2253</v>
      </c>
      <c r="J797" s="3">
        <v>358</v>
      </c>
      <c r="K797" s="3" t="s">
        <v>21</v>
      </c>
      <c r="L797" s="3" t="s">
        <v>15</v>
      </c>
      <c r="M797" s="3" t="s">
        <v>16</v>
      </c>
      <c r="N797" s="3" t="s">
        <v>17</v>
      </c>
    </row>
    <row r="798" spans="1:14" x14ac:dyDescent="0.3">
      <c r="A798" s="2" t="s">
        <v>5964</v>
      </c>
      <c r="B798" s="2" t="s">
        <v>2305</v>
      </c>
      <c r="C798" s="2" t="s">
        <v>33</v>
      </c>
      <c r="D798" s="2" t="s">
        <v>160</v>
      </c>
      <c r="E798" s="2" t="s">
        <v>29</v>
      </c>
      <c r="F798" s="2">
        <v>11</v>
      </c>
      <c r="G798" s="2">
        <v>20602.61</v>
      </c>
      <c r="H798" s="2">
        <v>1872.96</v>
      </c>
      <c r="I798" s="2" t="s">
        <v>778</v>
      </c>
      <c r="J798" s="2">
        <v>82</v>
      </c>
      <c r="K798" s="2" t="s">
        <v>13</v>
      </c>
      <c r="L798" s="2" t="s">
        <v>23</v>
      </c>
      <c r="M798" s="2" t="s">
        <v>31</v>
      </c>
      <c r="N798" s="2" t="s">
        <v>25</v>
      </c>
    </row>
    <row r="799" spans="1:14" x14ac:dyDescent="0.3">
      <c r="A799" s="3" t="s">
        <v>9553</v>
      </c>
      <c r="B799" s="3" t="s">
        <v>1273</v>
      </c>
      <c r="C799" s="3" t="s">
        <v>26</v>
      </c>
      <c r="D799" s="3" t="s">
        <v>738</v>
      </c>
      <c r="E799" s="3" t="s">
        <v>22</v>
      </c>
      <c r="F799" s="3">
        <v>12</v>
      </c>
      <c r="G799" s="3">
        <v>135285.48000000001</v>
      </c>
      <c r="H799" s="3">
        <v>11273.79</v>
      </c>
      <c r="I799" s="3" t="s">
        <v>1108</v>
      </c>
      <c r="J799" s="3">
        <v>311</v>
      </c>
      <c r="K799" s="3" t="s">
        <v>13</v>
      </c>
      <c r="L799" s="3" t="s">
        <v>47</v>
      </c>
      <c r="M799" s="3" t="s">
        <v>16</v>
      </c>
      <c r="N799" s="3" t="s">
        <v>17</v>
      </c>
    </row>
    <row r="800" spans="1:14" x14ac:dyDescent="0.3">
      <c r="A800" s="2" t="s">
        <v>9554</v>
      </c>
      <c r="B800" s="2" t="s">
        <v>143</v>
      </c>
      <c r="C800" s="2" t="s">
        <v>42</v>
      </c>
      <c r="D800" s="2" t="s">
        <v>324</v>
      </c>
      <c r="E800" s="2" t="s">
        <v>39</v>
      </c>
      <c r="F800" s="2">
        <v>16</v>
      </c>
      <c r="G800" s="2">
        <v>19673.02</v>
      </c>
      <c r="H800" s="2">
        <v>1229.56</v>
      </c>
      <c r="I800" s="2" t="s">
        <v>1373</v>
      </c>
      <c r="J800" s="2">
        <v>70</v>
      </c>
      <c r="K800" s="2" t="s">
        <v>13</v>
      </c>
      <c r="L800" s="2" t="s">
        <v>40</v>
      </c>
      <c r="M800" s="2" t="s">
        <v>31</v>
      </c>
      <c r="N800" s="2" t="s">
        <v>25</v>
      </c>
    </row>
    <row r="801" spans="1:14" x14ac:dyDescent="0.3">
      <c r="A801" s="3" t="s">
        <v>9555</v>
      </c>
      <c r="B801" s="3" t="s">
        <v>1665</v>
      </c>
      <c r="C801" s="3" t="s">
        <v>18</v>
      </c>
      <c r="D801" s="3" t="s">
        <v>834</v>
      </c>
      <c r="E801" s="3" t="s">
        <v>29</v>
      </c>
      <c r="F801" s="3">
        <v>19</v>
      </c>
      <c r="G801" s="3">
        <v>188434.8</v>
      </c>
      <c r="H801" s="3">
        <v>9917.6200000000008</v>
      </c>
      <c r="I801" s="3" t="s">
        <v>6188</v>
      </c>
      <c r="J801" s="3">
        <v>168</v>
      </c>
      <c r="K801" s="3" t="s">
        <v>28</v>
      </c>
      <c r="L801" s="3" t="s">
        <v>48</v>
      </c>
      <c r="M801" s="3" t="s">
        <v>16</v>
      </c>
      <c r="N801" s="3" t="s">
        <v>32</v>
      </c>
    </row>
    <row r="802" spans="1:14" x14ac:dyDescent="0.3">
      <c r="A802" s="2" t="s">
        <v>7427</v>
      </c>
      <c r="B802" s="2" t="s">
        <v>1097</v>
      </c>
      <c r="C802" s="2" t="s">
        <v>26</v>
      </c>
      <c r="D802" s="2" t="s">
        <v>443</v>
      </c>
      <c r="E802" s="2" t="s">
        <v>22</v>
      </c>
      <c r="F802" s="2">
        <v>19</v>
      </c>
      <c r="G802" s="2">
        <v>15933.66</v>
      </c>
      <c r="H802" s="2">
        <v>838.61</v>
      </c>
      <c r="I802" s="2" t="s">
        <v>718</v>
      </c>
      <c r="J802" s="2">
        <v>136</v>
      </c>
      <c r="K802" s="2" t="s">
        <v>27</v>
      </c>
      <c r="L802" s="2" t="s">
        <v>15</v>
      </c>
      <c r="M802" s="2" t="s">
        <v>31</v>
      </c>
      <c r="N802" s="2" t="s">
        <v>32</v>
      </c>
    </row>
    <row r="803" spans="1:14" x14ac:dyDescent="0.3">
      <c r="A803" s="3" t="s">
        <v>9556</v>
      </c>
      <c r="B803" s="3" t="s">
        <v>1091</v>
      </c>
      <c r="C803" s="3" t="s">
        <v>26</v>
      </c>
      <c r="D803" s="3" t="s">
        <v>283</v>
      </c>
      <c r="E803" s="3" t="s">
        <v>22</v>
      </c>
      <c r="F803" s="3">
        <v>25</v>
      </c>
      <c r="G803" s="3">
        <v>197020.56</v>
      </c>
      <c r="H803" s="3">
        <v>7880.82</v>
      </c>
      <c r="I803" s="3" t="s">
        <v>719</v>
      </c>
      <c r="J803" s="3">
        <v>135</v>
      </c>
      <c r="K803" s="3" t="s">
        <v>13</v>
      </c>
      <c r="L803" s="3" t="s">
        <v>43</v>
      </c>
      <c r="M803" s="3" t="s">
        <v>16</v>
      </c>
      <c r="N803" s="3" t="s">
        <v>32</v>
      </c>
    </row>
    <row r="804" spans="1:14" x14ac:dyDescent="0.3">
      <c r="A804" s="2" t="s">
        <v>9557</v>
      </c>
      <c r="B804" s="2" t="s">
        <v>1085</v>
      </c>
      <c r="C804" s="2" t="s">
        <v>18</v>
      </c>
      <c r="D804" s="2" t="s">
        <v>109</v>
      </c>
      <c r="E804" s="2" t="s">
        <v>39</v>
      </c>
      <c r="F804" s="2">
        <v>8</v>
      </c>
      <c r="G804" s="2">
        <v>104390.6</v>
      </c>
      <c r="H804" s="2">
        <v>13048.83</v>
      </c>
      <c r="I804" s="2" t="s">
        <v>907</v>
      </c>
      <c r="J804" s="2">
        <v>76</v>
      </c>
      <c r="K804" s="2" t="s">
        <v>19</v>
      </c>
      <c r="L804" s="2" t="s">
        <v>40</v>
      </c>
      <c r="M804" s="2" t="s">
        <v>16</v>
      </c>
      <c r="N804" s="2" t="s">
        <v>25</v>
      </c>
    </row>
    <row r="805" spans="1:14" x14ac:dyDescent="0.3">
      <c r="A805" s="3" t="s">
        <v>3086</v>
      </c>
      <c r="B805" s="3" t="s">
        <v>3547</v>
      </c>
      <c r="C805" s="3" t="s">
        <v>18</v>
      </c>
      <c r="D805" s="3" t="s">
        <v>109</v>
      </c>
      <c r="E805" s="3" t="s">
        <v>39</v>
      </c>
      <c r="F805" s="3">
        <v>17</v>
      </c>
      <c r="G805" s="3">
        <v>195085.73</v>
      </c>
      <c r="H805" s="3">
        <v>11475.63</v>
      </c>
      <c r="I805" s="3" t="s">
        <v>3919</v>
      </c>
      <c r="J805" s="3">
        <v>320</v>
      </c>
      <c r="K805" s="3" t="s">
        <v>19</v>
      </c>
      <c r="L805" s="3" t="s">
        <v>47</v>
      </c>
      <c r="M805" s="3" t="s">
        <v>16</v>
      </c>
      <c r="N805" s="3" t="s">
        <v>17</v>
      </c>
    </row>
    <row r="806" spans="1:14" x14ac:dyDescent="0.3">
      <c r="A806" s="2" t="s">
        <v>9558</v>
      </c>
      <c r="B806" s="2" t="s">
        <v>1606</v>
      </c>
      <c r="C806" s="2" t="s">
        <v>18</v>
      </c>
      <c r="D806" s="2" t="s">
        <v>443</v>
      </c>
      <c r="E806" s="2" t="s">
        <v>22</v>
      </c>
      <c r="F806" s="2">
        <v>23</v>
      </c>
      <c r="G806" s="2">
        <v>53314.400000000001</v>
      </c>
      <c r="H806" s="2">
        <v>2318.02</v>
      </c>
      <c r="I806" s="2" t="s">
        <v>515</v>
      </c>
      <c r="J806" s="2">
        <v>56</v>
      </c>
      <c r="K806" s="2" t="s">
        <v>28</v>
      </c>
      <c r="L806" s="2" t="s">
        <v>48</v>
      </c>
      <c r="M806" s="2" t="s">
        <v>24</v>
      </c>
      <c r="N806" s="2" t="s">
        <v>25</v>
      </c>
    </row>
    <row r="807" spans="1:14" x14ac:dyDescent="0.3">
      <c r="A807" s="3" t="s">
        <v>9559</v>
      </c>
      <c r="B807" s="3" t="s">
        <v>799</v>
      </c>
      <c r="C807" s="3" t="s">
        <v>42</v>
      </c>
      <c r="D807" s="3" t="s">
        <v>148</v>
      </c>
      <c r="E807" s="3" t="s">
        <v>29</v>
      </c>
      <c r="F807" s="3">
        <v>22</v>
      </c>
      <c r="G807" s="3">
        <v>98826.8</v>
      </c>
      <c r="H807" s="3">
        <v>4492.13</v>
      </c>
      <c r="I807" s="3" t="s">
        <v>1048</v>
      </c>
      <c r="J807" s="3">
        <v>43</v>
      </c>
      <c r="K807" s="3" t="s">
        <v>21</v>
      </c>
      <c r="L807" s="3" t="s">
        <v>15</v>
      </c>
      <c r="M807" s="3" t="s">
        <v>24</v>
      </c>
      <c r="N807" s="3" t="s">
        <v>25</v>
      </c>
    </row>
    <row r="808" spans="1:14" x14ac:dyDescent="0.3">
      <c r="A808" s="2" t="s">
        <v>9560</v>
      </c>
      <c r="B808" s="2" t="s">
        <v>554</v>
      </c>
      <c r="C808" s="2" t="s">
        <v>33</v>
      </c>
      <c r="D808" s="2" t="s">
        <v>109</v>
      </c>
      <c r="E808" s="2" t="s">
        <v>39</v>
      </c>
      <c r="F808" s="2">
        <v>13</v>
      </c>
      <c r="G808" s="2">
        <v>187331.5</v>
      </c>
      <c r="H808" s="2">
        <v>14410.12</v>
      </c>
      <c r="I808" s="2" t="s">
        <v>2106</v>
      </c>
      <c r="J808" s="2">
        <v>125</v>
      </c>
      <c r="K808" s="2" t="s">
        <v>28</v>
      </c>
      <c r="L808" s="2" t="s">
        <v>40</v>
      </c>
      <c r="M808" s="2" t="s">
        <v>16</v>
      </c>
      <c r="N808" s="2" t="s">
        <v>32</v>
      </c>
    </row>
    <row r="809" spans="1:14" x14ac:dyDescent="0.3">
      <c r="A809" s="3" t="s">
        <v>9561</v>
      </c>
      <c r="B809" s="3" t="s">
        <v>1544</v>
      </c>
      <c r="C809" s="3" t="s">
        <v>18</v>
      </c>
      <c r="D809" s="3" t="s">
        <v>738</v>
      </c>
      <c r="E809" s="3" t="s">
        <v>22</v>
      </c>
      <c r="F809" s="3">
        <v>30</v>
      </c>
      <c r="G809" s="3">
        <v>188256.7</v>
      </c>
      <c r="H809" s="3">
        <v>6275.22</v>
      </c>
      <c r="I809" s="3" t="s">
        <v>5977</v>
      </c>
      <c r="J809" s="3">
        <v>247</v>
      </c>
      <c r="K809" s="3" t="s">
        <v>21</v>
      </c>
      <c r="L809" s="3" t="s">
        <v>48</v>
      </c>
      <c r="M809" s="3" t="s">
        <v>16</v>
      </c>
      <c r="N809" s="3" t="s">
        <v>17</v>
      </c>
    </row>
    <row r="810" spans="1:14" x14ac:dyDescent="0.3">
      <c r="A810" s="2" t="s">
        <v>9562</v>
      </c>
      <c r="B810" s="2" t="s">
        <v>2339</v>
      </c>
      <c r="C810" s="2" t="s">
        <v>18</v>
      </c>
      <c r="D810" s="2" t="s">
        <v>834</v>
      </c>
      <c r="E810" s="2" t="s">
        <v>29</v>
      </c>
      <c r="F810" s="2">
        <v>29</v>
      </c>
      <c r="G810" s="2">
        <v>71627.5</v>
      </c>
      <c r="H810" s="2">
        <v>2469.91</v>
      </c>
      <c r="I810" s="2" t="s">
        <v>1997</v>
      </c>
      <c r="J810" s="2">
        <v>266</v>
      </c>
      <c r="K810" s="2" t="s">
        <v>27</v>
      </c>
      <c r="L810" s="2" t="s">
        <v>23</v>
      </c>
      <c r="M810" s="2" t="s">
        <v>24</v>
      </c>
      <c r="N810" s="2" t="s">
        <v>17</v>
      </c>
    </row>
    <row r="811" spans="1:14" x14ac:dyDescent="0.3">
      <c r="A811" s="3" t="s">
        <v>9563</v>
      </c>
      <c r="B811" s="3" t="s">
        <v>1809</v>
      </c>
      <c r="C811" s="3" t="s">
        <v>42</v>
      </c>
      <c r="D811" s="3" t="s">
        <v>148</v>
      </c>
      <c r="E811" s="3" t="s">
        <v>29</v>
      </c>
      <c r="F811" s="3">
        <v>27</v>
      </c>
      <c r="G811" s="3">
        <v>100563.85</v>
      </c>
      <c r="H811" s="3">
        <v>3724.59</v>
      </c>
      <c r="I811" s="3" t="s">
        <v>2172</v>
      </c>
      <c r="J811" s="3">
        <v>26</v>
      </c>
      <c r="K811" s="3" t="s">
        <v>28</v>
      </c>
      <c r="L811" s="3" t="s">
        <v>30</v>
      </c>
      <c r="M811" s="3" t="s">
        <v>16</v>
      </c>
      <c r="N811" s="3" t="s">
        <v>25</v>
      </c>
    </row>
    <row r="812" spans="1:14" x14ac:dyDescent="0.3">
      <c r="A812" s="2" t="s">
        <v>9564</v>
      </c>
      <c r="B812" s="2" t="s">
        <v>870</v>
      </c>
      <c r="C812" s="2" t="s">
        <v>18</v>
      </c>
      <c r="D812" s="2" t="s">
        <v>215</v>
      </c>
      <c r="E812" s="2" t="s">
        <v>14</v>
      </c>
      <c r="F812" s="2">
        <v>13</v>
      </c>
      <c r="G812" s="2">
        <v>48437.09</v>
      </c>
      <c r="H812" s="2">
        <v>3725.93</v>
      </c>
      <c r="I812" s="2" t="s">
        <v>2409</v>
      </c>
      <c r="J812" s="2">
        <v>155</v>
      </c>
      <c r="K812" s="2" t="s">
        <v>28</v>
      </c>
      <c r="L812" s="2" t="s">
        <v>43</v>
      </c>
      <c r="M812" s="2" t="s">
        <v>31</v>
      </c>
      <c r="N812" s="2" t="s">
        <v>32</v>
      </c>
    </row>
    <row r="813" spans="1:14" x14ac:dyDescent="0.3">
      <c r="A813" s="3" t="s">
        <v>9565</v>
      </c>
      <c r="B813" s="3" t="s">
        <v>4171</v>
      </c>
      <c r="C813" s="3" t="s">
        <v>42</v>
      </c>
      <c r="D813" s="3" t="s">
        <v>148</v>
      </c>
      <c r="E813" s="3" t="s">
        <v>29</v>
      </c>
      <c r="F813" s="3">
        <v>1</v>
      </c>
      <c r="G813" s="3">
        <v>41771.040000000001</v>
      </c>
      <c r="H813" s="3">
        <v>41771.040000000001</v>
      </c>
      <c r="I813" s="3" t="s">
        <v>2524</v>
      </c>
      <c r="J813" s="3">
        <v>307</v>
      </c>
      <c r="K813" s="3" t="s">
        <v>21</v>
      </c>
      <c r="L813" s="3" t="s">
        <v>40</v>
      </c>
      <c r="M813" s="3" t="s">
        <v>31</v>
      </c>
      <c r="N813" s="3" t="s">
        <v>17</v>
      </c>
    </row>
    <row r="814" spans="1:14" x14ac:dyDescent="0.3">
      <c r="A814" s="2" t="s">
        <v>9566</v>
      </c>
      <c r="B814" s="2" t="s">
        <v>980</v>
      </c>
      <c r="C814" s="2" t="s">
        <v>42</v>
      </c>
      <c r="D814" s="2" t="s">
        <v>122</v>
      </c>
      <c r="E814" s="2" t="s">
        <v>22</v>
      </c>
      <c r="F814" s="2">
        <v>21</v>
      </c>
      <c r="G814" s="2">
        <v>22911.599999999999</v>
      </c>
      <c r="H814" s="2">
        <v>1091.03</v>
      </c>
      <c r="I814" s="2" t="s">
        <v>3128</v>
      </c>
      <c r="J814" s="2">
        <v>167</v>
      </c>
      <c r="K814" s="2" t="s">
        <v>13</v>
      </c>
      <c r="L814" s="2" t="s">
        <v>43</v>
      </c>
      <c r="M814" s="2" t="s">
        <v>31</v>
      </c>
      <c r="N814" s="2" t="s">
        <v>32</v>
      </c>
    </row>
    <row r="815" spans="1:14" x14ac:dyDescent="0.3">
      <c r="A815" s="3" t="s">
        <v>9567</v>
      </c>
      <c r="B815" s="3" t="s">
        <v>870</v>
      </c>
      <c r="C815" s="3" t="s">
        <v>33</v>
      </c>
      <c r="D815" s="3" t="s">
        <v>712</v>
      </c>
      <c r="E815" s="3" t="s">
        <v>14</v>
      </c>
      <c r="F815" s="3">
        <v>29</v>
      </c>
      <c r="G815" s="3">
        <v>28907.88</v>
      </c>
      <c r="H815" s="3">
        <v>996.82</v>
      </c>
      <c r="I815" s="3" t="s">
        <v>3134</v>
      </c>
      <c r="J815" s="3">
        <v>199</v>
      </c>
      <c r="K815" s="3" t="s">
        <v>19</v>
      </c>
      <c r="L815" s="3" t="s">
        <v>15</v>
      </c>
      <c r="M815" s="3" t="s">
        <v>31</v>
      </c>
      <c r="N815" s="3" t="s">
        <v>17</v>
      </c>
    </row>
    <row r="816" spans="1:14" x14ac:dyDescent="0.3">
      <c r="A816" s="2" t="s">
        <v>9568</v>
      </c>
      <c r="B816" s="2" t="s">
        <v>1665</v>
      </c>
      <c r="C816" s="2" t="s">
        <v>33</v>
      </c>
      <c r="D816" s="2" t="s">
        <v>122</v>
      </c>
      <c r="E816" s="2" t="s">
        <v>22</v>
      </c>
      <c r="F816" s="2">
        <v>2</v>
      </c>
      <c r="G816" s="2">
        <v>53798.85</v>
      </c>
      <c r="H816" s="2">
        <v>26899.42</v>
      </c>
      <c r="I816" s="2" t="s">
        <v>311</v>
      </c>
      <c r="J816" s="2">
        <v>75</v>
      </c>
      <c r="K816" s="2" t="s">
        <v>27</v>
      </c>
      <c r="L816" s="2" t="s">
        <v>30</v>
      </c>
      <c r="M816" s="2" t="s">
        <v>24</v>
      </c>
      <c r="N816" s="2" t="s">
        <v>25</v>
      </c>
    </row>
    <row r="817" spans="1:14" x14ac:dyDescent="0.3">
      <c r="A817" s="3" t="s">
        <v>9569</v>
      </c>
      <c r="B817" s="3" t="s">
        <v>863</v>
      </c>
      <c r="C817" s="3" t="s">
        <v>42</v>
      </c>
      <c r="D817" s="3" t="s">
        <v>171</v>
      </c>
      <c r="E817" s="3" t="s">
        <v>14</v>
      </c>
      <c r="F817" s="3">
        <v>29</v>
      </c>
      <c r="G817" s="3">
        <v>49224.35</v>
      </c>
      <c r="H817" s="3">
        <v>1697.39</v>
      </c>
      <c r="I817" s="3" t="s">
        <v>1026</v>
      </c>
      <c r="J817" s="3">
        <v>124</v>
      </c>
      <c r="K817" s="3" t="s">
        <v>19</v>
      </c>
      <c r="L817" s="3" t="s">
        <v>47</v>
      </c>
      <c r="M817" s="3" t="s">
        <v>31</v>
      </c>
      <c r="N817" s="3" t="s">
        <v>32</v>
      </c>
    </row>
    <row r="818" spans="1:14" x14ac:dyDescent="0.3">
      <c r="A818" s="2" t="s">
        <v>9570</v>
      </c>
      <c r="B818" s="2" t="s">
        <v>1364</v>
      </c>
      <c r="C818" s="2" t="s">
        <v>18</v>
      </c>
      <c r="D818" s="2" t="s">
        <v>183</v>
      </c>
      <c r="E818" s="2" t="s">
        <v>14</v>
      </c>
      <c r="F818" s="2">
        <v>17</v>
      </c>
      <c r="G818" s="2">
        <v>166439.57</v>
      </c>
      <c r="H818" s="2">
        <v>9790.56</v>
      </c>
      <c r="I818" s="2" t="s">
        <v>4132</v>
      </c>
      <c r="J818" s="2">
        <v>222</v>
      </c>
      <c r="K818" s="2" t="s">
        <v>19</v>
      </c>
      <c r="L818" s="2" t="s">
        <v>23</v>
      </c>
      <c r="M818" s="2" t="s">
        <v>16</v>
      </c>
      <c r="N818" s="2" t="s">
        <v>17</v>
      </c>
    </row>
    <row r="819" spans="1:14" x14ac:dyDescent="0.3">
      <c r="A819" s="3" t="s">
        <v>9571</v>
      </c>
      <c r="B819" s="3" t="s">
        <v>450</v>
      </c>
      <c r="C819" s="3" t="s">
        <v>33</v>
      </c>
      <c r="D819" s="3" t="s">
        <v>215</v>
      </c>
      <c r="E819" s="3" t="s">
        <v>14</v>
      </c>
      <c r="F819" s="3">
        <v>27</v>
      </c>
      <c r="G819" s="3">
        <v>118754.18</v>
      </c>
      <c r="H819" s="3">
        <v>4398.3</v>
      </c>
      <c r="I819" s="3" t="s">
        <v>5884</v>
      </c>
      <c r="J819" s="3">
        <v>287</v>
      </c>
      <c r="K819" s="3" t="s">
        <v>27</v>
      </c>
      <c r="L819" s="3" t="s">
        <v>43</v>
      </c>
      <c r="M819" s="3" t="s">
        <v>16</v>
      </c>
      <c r="N819" s="3" t="s">
        <v>17</v>
      </c>
    </row>
    <row r="820" spans="1:14" x14ac:dyDescent="0.3">
      <c r="A820" s="2" t="s">
        <v>9572</v>
      </c>
      <c r="B820" s="2" t="s">
        <v>2291</v>
      </c>
      <c r="C820" s="2" t="s">
        <v>33</v>
      </c>
      <c r="D820" s="2" t="s">
        <v>334</v>
      </c>
      <c r="E820" s="2" t="s">
        <v>29</v>
      </c>
      <c r="F820" s="2">
        <v>14</v>
      </c>
      <c r="G820" s="2">
        <v>159659.92000000001</v>
      </c>
      <c r="H820" s="2">
        <v>11404.28</v>
      </c>
      <c r="I820" s="2" t="s">
        <v>1027</v>
      </c>
      <c r="J820" s="2">
        <v>123</v>
      </c>
      <c r="K820" s="2" t="s">
        <v>13</v>
      </c>
      <c r="L820" s="2" t="s">
        <v>30</v>
      </c>
      <c r="M820" s="2" t="s">
        <v>16</v>
      </c>
      <c r="N820" s="2" t="s">
        <v>32</v>
      </c>
    </row>
    <row r="821" spans="1:14" x14ac:dyDescent="0.3">
      <c r="A821" s="3" t="s">
        <v>9573</v>
      </c>
      <c r="B821" s="3" t="s">
        <v>1451</v>
      </c>
      <c r="C821" s="3" t="s">
        <v>18</v>
      </c>
      <c r="D821" s="3" t="s">
        <v>109</v>
      </c>
      <c r="E821" s="3" t="s">
        <v>39</v>
      </c>
      <c r="F821" s="3">
        <v>11</v>
      </c>
      <c r="G821" s="3">
        <v>101146.37</v>
      </c>
      <c r="H821" s="3">
        <v>9195.1200000000008</v>
      </c>
      <c r="I821" s="3" t="s">
        <v>214</v>
      </c>
      <c r="J821" s="3">
        <v>83</v>
      </c>
      <c r="K821" s="3" t="s">
        <v>27</v>
      </c>
      <c r="L821" s="3" t="s">
        <v>47</v>
      </c>
      <c r="M821" s="3" t="s">
        <v>16</v>
      </c>
      <c r="N821" s="3" t="s">
        <v>25</v>
      </c>
    </row>
    <row r="822" spans="1:14" x14ac:dyDescent="0.3">
      <c r="A822" s="2" t="s">
        <v>9574</v>
      </c>
      <c r="B822" s="2" t="s">
        <v>3436</v>
      </c>
      <c r="C822" s="2" t="s">
        <v>26</v>
      </c>
      <c r="D822" s="2" t="s">
        <v>443</v>
      </c>
      <c r="E822" s="2" t="s">
        <v>22</v>
      </c>
      <c r="F822" s="2">
        <v>20</v>
      </c>
      <c r="G822" s="2">
        <v>78420.28</v>
      </c>
      <c r="H822" s="2">
        <v>3921.01</v>
      </c>
      <c r="I822" s="2" t="s">
        <v>442</v>
      </c>
      <c r="J822" s="2">
        <v>349</v>
      </c>
      <c r="K822" s="2" t="s">
        <v>21</v>
      </c>
      <c r="L822" s="2" t="s">
        <v>15</v>
      </c>
      <c r="M822" s="2" t="s">
        <v>24</v>
      </c>
      <c r="N822" s="2" t="s">
        <v>17</v>
      </c>
    </row>
    <row r="823" spans="1:14" x14ac:dyDescent="0.3">
      <c r="A823" s="3" t="s">
        <v>7083</v>
      </c>
      <c r="B823" s="3" t="s">
        <v>155</v>
      </c>
      <c r="C823" s="3" t="s">
        <v>33</v>
      </c>
      <c r="D823" s="3" t="s">
        <v>215</v>
      </c>
      <c r="E823" s="3" t="s">
        <v>14</v>
      </c>
      <c r="F823" s="3">
        <v>25</v>
      </c>
      <c r="G823" s="3">
        <v>158748.42000000001</v>
      </c>
      <c r="H823" s="3">
        <v>6349.94</v>
      </c>
      <c r="I823" s="3" t="s">
        <v>3191</v>
      </c>
      <c r="J823" s="3">
        <v>347</v>
      </c>
      <c r="K823" s="3" t="s">
        <v>13</v>
      </c>
      <c r="L823" s="3" t="s">
        <v>15</v>
      </c>
      <c r="M823" s="3" t="s">
        <v>16</v>
      </c>
      <c r="N823" s="3" t="s">
        <v>17</v>
      </c>
    </row>
    <row r="824" spans="1:14" x14ac:dyDescent="0.3">
      <c r="A824" s="2" t="s">
        <v>6611</v>
      </c>
      <c r="B824" s="2" t="s">
        <v>1233</v>
      </c>
      <c r="C824" s="2" t="s">
        <v>18</v>
      </c>
      <c r="D824" s="2" t="s">
        <v>324</v>
      </c>
      <c r="E824" s="2" t="s">
        <v>39</v>
      </c>
      <c r="F824" s="2">
        <v>3</v>
      </c>
      <c r="G824" s="2">
        <v>190655.02</v>
      </c>
      <c r="H824" s="2">
        <v>63551.67</v>
      </c>
      <c r="I824" s="2" t="s">
        <v>243</v>
      </c>
      <c r="J824" s="2">
        <v>98</v>
      </c>
      <c r="K824" s="2" t="s">
        <v>28</v>
      </c>
      <c r="L824" s="2" t="s">
        <v>47</v>
      </c>
      <c r="M824" s="2" t="s">
        <v>16</v>
      </c>
      <c r="N824" s="2" t="s">
        <v>32</v>
      </c>
    </row>
    <row r="825" spans="1:14" x14ac:dyDescent="0.3">
      <c r="A825" s="3" t="s">
        <v>9575</v>
      </c>
      <c r="B825" s="3" t="s">
        <v>980</v>
      </c>
      <c r="C825" s="3" t="s">
        <v>18</v>
      </c>
      <c r="D825" s="3" t="s">
        <v>427</v>
      </c>
      <c r="E825" s="3" t="s">
        <v>29</v>
      </c>
      <c r="F825" s="3">
        <v>29</v>
      </c>
      <c r="G825" s="3">
        <v>69852.94</v>
      </c>
      <c r="H825" s="3">
        <v>2408.7199999999998</v>
      </c>
      <c r="I825" s="3" t="s">
        <v>5900</v>
      </c>
      <c r="J825" s="3">
        <v>65</v>
      </c>
      <c r="K825" s="3" t="s">
        <v>28</v>
      </c>
      <c r="L825" s="3" t="s">
        <v>30</v>
      </c>
      <c r="M825" s="3" t="s">
        <v>24</v>
      </c>
      <c r="N825" s="3" t="s">
        <v>25</v>
      </c>
    </row>
    <row r="826" spans="1:14" x14ac:dyDescent="0.3">
      <c r="A826" s="2" t="s">
        <v>9576</v>
      </c>
      <c r="B826" s="2" t="s">
        <v>1885</v>
      </c>
      <c r="C826" s="2" t="s">
        <v>33</v>
      </c>
      <c r="D826" s="2" t="s">
        <v>109</v>
      </c>
      <c r="E826" s="2" t="s">
        <v>39</v>
      </c>
      <c r="F826" s="2">
        <v>11</v>
      </c>
      <c r="G826" s="2">
        <v>174129.98</v>
      </c>
      <c r="H826" s="2">
        <v>15830</v>
      </c>
      <c r="I826" s="2" t="s">
        <v>2253</v>
      </c>
      <c r="J826" s="2">
        <v>358</v>
      </c>
      <c r="K826" s="2" t="s">
        <v>28</v>
      </c>
      <c r="L826" s="2" t="s">
        <v>48</v>
      </c>
      <c r="M826" s="2" t="s">
        <v>16</v>
      </c>
      <c r="N826" s="2" t="s">
        <v>17</v>
      </c>
    </row>
    <row r="827" spans="1:14" x14ac:dyDescent="0.3">
      <c r="A827" s="3" t="s">
        <v>9577</v>
      </c>
      <c r="B827" s="3" t="s">
        <v>1019</v>
      </c>
      <c r="C827" s="3" t="s">
        <v>33</v>
      </c>
      <c r="D827" s="3" t="s">
        <v>193</v>
      </c>
      <c r="E827" s="3" t="s">
        <v>39</v>
      </c>
      <c r="F827" s="3">
        <v>21</v>
      </c>
      <c r="G827" s="3">
        <v>136259.48000000001</v>
      </c>
      <c r="H827" s="3">
        <v>6488.55</v>
      </c>
      <c r="I827" s="3" t="s">
        <v>5884</v>
      </c>
      <c r="J827" s="3">
        <v>287</v>
      </c>
      <c r="K827" s="3" t="s">
        <v>21</v>
      </c>
      <c r="L827" s="3" t="s">
        <v>30</v>
      </c>
      <c r="M827" s="3" t="s">
        <v>16</v>
      </c>
      <c r="N827" s="3" t="s">
        <v>17</v>
      </c>
    </row>
    <row r="828" spans="1:14" x14ac:dyDescent="0.3">
      <c r="A828" s="2" t="s">
        <v>4207</v>
      </c>
      <c r="B828" s="2" t="s">
        <v>2339</v>
      </c>
      <c r="C828" s="2" t="s">
        <v>33</v>
      </c>
      <c r="D828" s="2" t="s">
        <v>95</v>
      </c>
      <c r="E828" s="2" t="s">
        <v>14</v>
      </c>
      <c r="F828" s="2">
        <v>17</v>
      </c>
      <c r="G828" s="2">
        <v>8769.93</v>
      </c>
      <c r="H828" s="2">
        <v>515.88</v>
      </c>
      <c r="I828" s="2" t="s">
        <v>8938</v>
      </c>
      <c r="J828" s="2">
        <v>67</v>
      </c>
      <c r="K828" s="2" t="s">
        <v>28</v>
      </c>
      <c r="L828" s="2" t="s">
        <v>43</v>
      </c>
      <c r="M828" s="2" t="s">
        <v>41</v>
      </c>
      <c r="N828" s="2" t="s">
        <v>25</v>
      </c>
    </row>
    <row r="829" spans="1:14" x14ac:dyDescent="0.3">
      <c r="A829" s="3" t="s">
        <v>3207</v>
      </c>
      <c r="B829" s="3" t="s">
        <v>1246</v>
      </c>
      <c r="C829" s="3" t="s">
        <v>18</v>
      </c>
      <c r="D829" s="3" t="s">
        <v>215</v>
      </c>
      <c r="E829" s="3" t="s">
        <v>14</v>
      </c>
      <c r="F829" s="3">
        <v>2</v>
      </c>
      <c r="G829" s="3">
        <v>154686.19</v>
      </c>
      <c r="H829" s="3">
        <v>77343.100000000006</v>
      </c>
      <c r="I829" s="3" t="s">
        <v>1040</v>
      </c>
      <c r="J829" s="3">
        <v>96</v>
      </c>
      <c r="K829" s="3" t="s">
        <v>21</v>
      </c>
      <c r="L829" s="3" t="s">
        <v>30</v>
      </c>
      <c r="M829" s="3" t="s">
        <v>16</v>
      </c>
      <c r="N829" s="3" t="s">
        <v>32</v>
      </c>
    </row>
    <row r="830" spans="1:14" x14ac:dyDescent="0.3">
      <c r="A830" s="2" t="s">
        <v>9578</v>
      </c>
      <c r="B830" s="2" t="s">
        <v>3250</v>
      </c>
      <c r="C830" s="2" t="s">
        <v>26</v>
      </c>
      <c r="D830" s="2" t="s">
        <v>283</v>
      </c>
      <c r="E830" s="2" t="s">
        <v>22</v>
      </c>
      <c r="F830" s="2">
        <v>20</v>
      </c>
      <c r="G830" s="2">
        <v>93255.679999999993</v>
      </c>
      <c r="H830" s="2">
        <v>4662.78</v>
      </c>
      <c r="I830" s="2" t="s">
        <v>1488</v>
      </c>
      <c r="J830" s="2">
        <v>24</v>
      </c>
      <c r="K830" s="2" t="s">
        <v>27</v>
      </c>
      <c r="L830" s="2" t="s">
        <v>23</v>
      </c>
      <c r="M830" s="2" t="s">
        <v>24</v>
      </c>
      <c r="N830" s="2" t="s">
        <v>25</v>
      </c>
    </row>
    <row r="831" spans="1:14" x14ac:dyDescent="0.3">
      <c r="A831" s="3" t="s">
        <v>9579</v>
      </c>
      <c r="B831" s="3" t="s">
        <v>1364</v>
      </c>
      <c r="C831" s="3" t="s">
        <v>26</v>
      </c>
      <c r="D831" s="3" t="s">
        <v>171</v>
      </c>
      <c r="E831" s="3" t="s">
        <v>14</v>
      </c>
      <c r="F831" s="3">
        <v>23</v>
      </c>
      <c r="G831" s="3">
        <v>58795.25</v>
      </c>
      <c r="H831" s="3">
        <v>2556.3200000000002</v>
      </c>
      <c r="I831" s="3" t="s">
        <v>975</v>
      </c>
      <c r="J831" s="3">
        <v>69</v>
      </c>
      <c r="K831" s="3" t="s">
        <v>27</v>
      </c>
      <c r="L831" s="3" t="s">
        <v>23</v>
      </c>
      <c r="M831" s="3" t="s">
        <v>24</v>
      </c>
      <c r="N831" s="3" t="s">
        <v>25</v>
      </c>
    </row>
    <row r="832" spans="1:14" x14ac:dyDescent="0.3">
      <c r="A832" s="2" t="s">
        <v>9580</v>
      </c>
      <c r="B832" s="2" t="s">
        <v>1261</v>
      </c>
      <c r="C832" s="2" t="s">
        <v>26</v>
      </c>
      <c r="D832" s="2" t="s">
        <v>109</v>
      </c>
      <c r="E832" s="2" t="s">
        <v>39</v>
      </c>
      <c r="F832" s="2">
        <v>18</v>
      </c>
      <c r="G832" s="2">
        <v>164401.35</v>
      </c>
      <c r="H832" s="2">
        <v>9133.41</v>
      </c>
      <c r="I832" s="2" t="s">
        <v>2450</v>
      </c>
      <c r="J832" s="2">
        <v>361</v>
      </c>
      <c r="K832" s="2" t="s">
        <v>28</v>
      </c>
      <c r="L832" s="2" t="s">
        <v>47</v>
      </c>
      <c r="M832" s="2" t="s">
        <v>16</v>
      </c>
      <c r="N832" s="2" t="s">
        <v>17</v>
      </c>
    </row>
    <row r="833" spans="1:14" x14ac:dyDescent="0.3">
      <c r="A833" s="3" t="s">
        <v>9581</v>
      </c>
      <c r="B833" s="3" t="s">
        <v>586</v>
      </c>
      <c r="C833" s="3" t="s">
        <v>42</v>
      </c>
      <c r="D833" s="3" t="s">
        <v>148</v>
      </c>
      <c r="E833" s="3" t="s">
        <v>29</v>
      </c>
      <c r="F833" s="3">
        <v>18</v>
      </c>
      <c r="G833" s="3">
        <v>74067.53</v>
      </c>
      <c r="H833" s="3">
        <v>4114.8599999999997</v>
      </c>
      <c r="I833" s="3" t="s">
        <v>4032</v>
      </c>
      <c r="J833" s="3">
        <v>18</v>
      </c>
      <c r="K833" s="3" t="s">
        <v>27</v>
      </c>
      <c r="L833" s="3" t="s">
        <v>30</v>
      </c>
      <c r="M833" s="3" t="s">
        <v>24</v>
      </c>
      <c r="N833" s="3" t="s">
        <v>25</v>
      </c>
    </row>
    <row r="834" spans="1:14" x14ac:dyDescent="0.3">
      <c r="A834" s="2" t="s">
        <v>9582</v>
      </c>
      <c r="B834" s="2" t="s">
        <v>512</v>
      </c>
      <c r="C834" s="2" t="s">
        <v>26</v>
      </c>
      <c r="D834" s="2" t="s">
        <v>324</v>
      </c>
      <c r="E834" s="2" t="s">
        <v>39</v>
      </c>
      <c r="F834" s="2">
        <v>2</v>
      </c>
      <c r="G834" s="2">
        <v>26298.54</v>
      </c>
      <c r="H834" s="2">
        <v>13149.27</v>
      </c>
      <c r="I834" s="2" t="s">
        <v>1487</v>
      </c>
      <c r="J834" s="2">
        <v>30</v>
      </c>
      <c r="K834" s="2" t="s">
        <v>27</v>
      </c>
      <c r="L834" s="2" t="s">
        <v>40</v>
      </c>
      <c r="M834" s="2" t="s">
        <v>31</v>
      </c>
      <c r="N834" s="2" t="s">
        <v>25</v>
      </c>
    </row>
    <row r="835" spans="1:14" x14ac:dyDescent="0.3">
      <c r="A835" s="3" t="s">
        <v>9583</v>
      </c>
      <c r="B835" s="3" t="s">
        <v>2202</v>
      </c>
      <c r="C835" s="3" t="s">
        <v>18</v>
      </c>
      <c r="D835" s="3" t="s">
        <v>215</v>
      </c>
      <c r="E835" s="3" t="s">
        <v>14</v>
      </c>
      <c r="F835" s="3">
        <v>2</v>
      </c>
      <c r="G835" s="3">
        <v>2903.3</v>
      </c>
      <c r="H835" s="3">
        <v>1451.65</v>
      </c>
      <c r="I835" s="3" t="s">
        <v>2270</v>
      </c>
      <c r="J835" s="3">
        <v>38</v>
      </c>
      <c r="K835" s="3" t="s">
        <v>27</v>
      </c>
      <c r="L835" s="3" t="s">
        <v>15</v>
      </c>
      <c r="M835" s="3" t="s">
        <v>41</v>
      </c>
      <c r="N835" s="3" t="s">
        <v>25</v>
      </c>
    </row>
    <row r="836" spans="1:14" x14ac:dyDescent="0.3">
      <c r="A836" s="2" t="s">
        <v>9584</v>
      </c>
      <c r="B836" s="2" t="s">
        <v>1717</v>
      </c>
      <c r="C836" s="2" t="s">
        <v>18</v>
      </c>
      <c r="D836" s="2" t="s">
        <v>171</v>
      </c>
      <c r="E836" s="2" t="s">
        <v>14</v>
      </c>
      <c r="F836" s="2">
        <v>14</v>
      </c>
      <c r="G836" s="2">
        <v>69748.55</v>
      </c>
      <c r="H836" s="2">
        <v>4982.04</v>
      </c>
      <c r="I836" s="2" t="s">
        <v>4268</v>
      </c>
      <c r="J836" s="2">
        <v>33</v>
      </c>
      <c r="K836" s="2" t="s">
        <v>27</v>
      </c>
      <c r="L836" s="2" t="s">
        <v>40</v>
      </c>
      <c r="M836" s="2" t="s">
        <v>24</v>
      </c>
      <c r="N836" s="2" t="s">
        <v>25</v>
      </c>
    </row>
    <row r="837" spans="1:14" x14ac:dyDescent="0.3">
      <c r="A837" s="3" t="s">
        <v>9585</v>
      </c>
      <c r="B837" s="3" t="s">
        <v>2090</v>
      </c>
      <c r="C837" s="3" t="s">
        <v>42</v>
      </c>
      <c r="D837" s="3" t="s">
        <v>334</v>
      </c>
      <c r="E837" s="3" t="s">
        <v>29</v>
      </c>
      <c r="F837" s="3">
        <v>19</v>
      </c>
      <c r="G837" s="3">
        <v>93043.6</v>
      </c>
      <c r="H837" s="3">
        <v>4897.03</v>
      </c>
      <c r="I837" s="3" t="s">
        <v>1219</v>
      </c>
      <c r="J837" s="3">
        <v>251</v>
      </c>
      <c r="K837" s="3" t="s">
        <v>28</v>
      </c>
      <c r="L837" s="3" t="s">
        <v>15</v>
      </c>
      <c r="M837" s="3" t="s">
        <v>24</v>
      </c>
      <c r="N837" s="3" t="s">
        <v>17</v>
      </c>
    </row>
    <row r="838" spans="1:14" x14ac:dyDescent="0.3">
      <c r="A838" s="2" t="s">
        <v>9586</v>
      </c>
      <c r="B838" s="2" t="s">
        <v>269</v>
      </c>
      <c r="C838" s="2" t="s">
        <v>33</v>
      </c>
      <c r="D838" s="2" t="s">
        <v>314</v>
      </c>
      <c r="E838" s="2" t="s">
        <v>39</v>
      </c>
      <c r="F838" s="2">
        <v>15</v>
      </c>
      <c r="G838" s="2">
        <v>138661.07999999999</v>
      </c>
      <c r="H838" s="2">
        <v>9244.07</v>
      </c>
      <c r="I838" s="2" t="s">
        <v>857</v>
      </c>
      <c r="J838" s="2">
        <v>213</v>
      </c>
      <c r="K838" s="2" t="s">
        <v>21</v>
      </c>
      <c r="L838" s="2" t="s">
        <v>15</v>
      </c>
      <c r="M838" s="2" t="s">
        <v>16</v>
      </c>
      <c r="N838" s="2" t="s">
        <v>17</v>
      </c>
    </row>
    <row r="839" spans="1:14" x14ac:dyDescent="0.3">
      <c r="A839" s="3" t="s">
        <v>9587</v>
      </c>
      <c r="B839" s="3" t="s">
        <v>1335</v>
      </c>
      <c r="C839" s="3" t="s">
        <v>33</v>
      </c>
      <c r="D839" s="3" t="s">
        <v>95</v>
      </c>
      <c r="E839" s="3" t="s">
        <v>14</v>
      </c>
      <c r="F839" s="3">
        <v>19</v>
      </c>
      <c r="G839" s="3">
        <v>11062.55</v>
      </c>
      <c r="H839" s="3">
        <v>582.24</v>
      </c>
      <c r="I839" s="3" t="s">
        <v>1695</v>
      </c>
      <c r="J839" s="3">
        <v>353</v>
      </c>
      <c r="K839" s="3" t="s">
        <v>27</v>
      </c>
      <c r="L839" s="3" t="s">
        <v>15</v>
      </c>
      <c r="M839" s="3" t="s">
        <v>31</v>
      </c>
      <c r="N839" s="3" t="s">
        <v>17</v>
      </c>
    </row>
    <row r="840" spans="1:14" x14ac:dyDescent="0.3">
      <c r="A840" s="2" t="s">
        <v>9588</v>
      </c>
      <c r="B840" s="2" t="s">
        <v>642</v>
      </c>
      <c r="C840" s="2" t="s">
        <v>33</v>
      </c>
      <c r="D840" s="2" t="s">
        <v>215</v>
      </c>
      <c r="E840" s="2" t="s">
        <v>14</v>
      </c>
      <c r="F840" s="2">
        <v>16</v>
      </c>
      <c r="G840" s="2">
        <v>61369.07</v>
      </c>
      <c r="H840" s="2">
        <v>3835.57</v>
      </c>
      <c r="I840" s="2" t="s">
        <v>2270</v>
      </c>
      <c r="J840" s="2">
        <v>38</v>
      </c>
      <c r="K840" s="2" t="s">
        <v>13</v>
      </c>
      <c r="L840" s="2" t="s">
        <v>48</v>
      </c>
      <c r="M840" s="2" t="s">
        <v>24</v>
      </c>
      <c r="N840" s="2" t="s">
        <v>25</v>
      </c>
    </row>
    <row r="841" spans="1:14" x14ac:dyDescent="0.3">
      <c r="A841" s="3" t="s">
        <v>9589</v>
      </c>
      <c r="B841" s="3" t="s">
        <v>4171</v>
      </c>
      <c r="C841" s="3" t="s">
        <v>33</v>
      </c>
      <c r="D841" s="3" t="s">
        <v>324</v>
      </c>
      <c r="E841" s="3" t="s">
        <v>39</v>
      </c>
      <c r="F841" s="3">
        <v>13</v>
      </c>
      <c r="G841" s="3">
        <v>73123.63</v>
      </c>
      <c r="H841" s="3">
        <v>5624.89</v>
      </c>
      <c r="I841" s="3" t="s">
        <v>2552</v>
      </c>
      <c r="J841" s="3">
        <v>175</v>
      </c>
      <c r="K841" s="3" t="s">
        <v>13</v>
      </c>
      <c r="L841" s="3" t="s">
        <v>23</v>
      </c>
      <c r="M841" s="3" t="s">
        <v>24</v>
      </c>
      <c r="N841" s="3" t="s">
        <v>32</v>
      </c>
    </row>
    <row r="842" spans="1:14" x14ac:dyDescent="0.3">
      <c r="A842" s="2" t="s">
        <v>9590</v>
      </c>
      <c r="B842" s="2" t="s">
        <v>1326</v>
      </c>
      <c r="C842" s="2" t="s">
        <v>33</v>
      </c>
      <c r="D842" s="2" t="s">
        <v>215</v>
      </c>
      <c r="E842" s="2" t="s">
        <v>14</v>
      </c>
      <c r="F842" s="2">
        <v>6</v>
      </c>
      <c r="G842" s="2">
        <v>3165.06</v>
      </c>
      <c r="H842" s="2">
        <v>527.51</v>
      </c>
      <c r="I842" s="2" t="s">
        <v>2099</v>
      </c>
      <c r="J842" s="2">
        <v>312</v>
      </c>
      <c r="K842" s="2" t="s">
        <v>28</v>
      </c>
      <c r="L842" s="2" t="s">
        <v>23</v>
      </c>
      <c r="M842" s="2" t="s">
        <v>41</v>
      </c>
      <c r="N842" s="2" t="s">
        <v>17</v>
      </c>
    </row>
    <row r="843" spans="1:14" x14ac:dyDescent="0.3">
      <c r="A843" s="3" t="s">
        <v>4365</v>
      </c>
      <c r="B843" s="3" t="s">
        <v>3403</v>
      </c>
      <c r="C843" s="3" t="s">
        <v>26</v>
      </c>
      <c r="D843" s="3" t="s">
        <v>834</v>
      </c>
      <c r="E843" s="3" t="s">
        <v>29</v>
      </c>
      <c r="F843" s="3">
        <v>14</v>
      </c>
      <c r="G843" s="3">
        <v>44015.21</v>
      </c>
      <c r="H843" s="3">
        <v>3143.94</v>
      </c>
      <c r="I843" s="3" t="s">
        <v>2327</v>
      </c>
      <c r="J843" s="3">
        <v>110</v>
      </c>
      <c r="K843" s="3" t="s">
        <v>28</v>
      </c>
      <c r="L843" s="3" t="s">
        <v>48</v>
      </c>
      <c r="M843" s="3" t="s">
        <v>31</v>
      </c>
      <c r="N843" s="3" t="s">
        <v>32</v>
      </c>
    </row>
    <row r="844" spans="1:14" x14ac:dyDescent="0.3">
      <c r="A844" s="2" t="s">
        <v>6575</v>
      </c>
      <c r="B844" s="2" t="s">
        <v>478</v>
      </c>
      <c r="C844" s="2" t="s">
        <v>18</v>
      </c>
      <c r="D844" s="2" t="s">
        <v>324</v>
      </c>
      <c r="E844" s="2" t="s">
        <v>39</v>
      </c>
      <c r="F844" s="2">
        <v>11</v>
      </c>
      <c r="G844" s="2">
        <v>46798.89</v>
      </c>
      <c r="H844" s="2">
        <v>4254.4399999999996</v>
      </c>
      <c r="I844" s="2" t="s">
        <v>514</v>
      </c>
      <c r="J844" s="2">
        <v>59</v>
      </c>
      <c r="K844" s="2" t="s">
        <v>21</v>
      </c>
      <c r="L844" s="2" t="s">
        <v>47</v>
      </c>
      <c r="M844" s="2" t="s">
        <v>31</v>
      </c>
      <c r="N844" s="2" t="s">
        <v>25</v>
      </c>
    </row>
    <row r="845" spans="1:14" x14ac:dyDescent="0.3">
      <c r="A845" s="3" t="s">
        <v>9591</v>
      </c>
      <c r="B845" s="3" t="s">
        <v>536</v>
      </c>
      <c r="C845" s="3" t="s">
        <v>42</v>
      </c>
      <c r="D845" s="3" t="s">
        <v>109</v>
      </c>
      <c r="E845" s="3" t="s">
        <v>39</v>
      </c>
      <c r="F845" s="3">
        <v>15</v>
      </c>
      <c r="G845" s="3">
        <v>109060.15</v>
      </c>
      <c r="H845" s="3">
        <v>7270.68</v>
      </c>
      <c r="I845" s="3" t="s">
        <v>381</v>
      </c>
      <c r="J845" s="3">
        <v>182</v>
      </c>
      <c r="K845" s="3" t="s">
        <v>13</v>
      </c>
      <c r="L845" s="3" t="s">
        <v>15</v>
      </c>
      <c r="M845" s="3" t="s">
        <v>16</v>
      </c>
      <c r="N845" s="3" t="s">
        <v>17</v>
      </c>
    </row>
    <row r="846" spans="1:14" x14ac:dyDescent="0.3">
      <c r="A846" s="2" t="s">
        <v>9592</v>
      </c>
      <c r="B846" s="2" t="s">
        <v>2136</v>
      </c>
      <c r="C846" s="2" t="s">
        <v>26</v>
      </c>
      <c r="D846" s="2" t="s">
        <v>148</v>
      </c>
      <c r="E846" s="2" t="s">
        <v>29</v>
      </c>
      <c r="F846" s="2">
        <v>11</v>
      </c>
      <c r="G846" s="2">
        <v>95153.23</v>
      </c>
      <c r="H846" s="2">
        <v>8650.2900000000009</v>
      </c>
      <c r="I846" s="2" t="s">
        <v>2414</v>
      </c>
      <c r="J846" s="2">
        <v>228</v>
      </c>
      <c r="K846" s="2" t="s">
        <v>21</v>
      </c>
      <c r="L846" s="2" t="s">
        <v>40</v>
      </c>
      <c r="M846" s="2" t="s">
        <v>24</v>
      </c>
      <c r="N846" s="2" t="s">
        <v>17</v>
      </c>
    </row>
    <row r="847" spans="1:14" x14ac:dyDescent="0.3">
      <c r="A847" s="3" t="s">
        <v>9593</v>
      </c>
      <c r="B847" s="3" t="s">
        <v>782</v>
      </c>
      <c r="C847" s="3" t="s">
        <v>18</v>
      </c>
      <c r="D847" s="3" t="s">
        <v>225</v>
      </c>
      <c r="E847" s="3" t="s">
        <v>39</v>
      </c>
      <c r="F847" s="3">
        <v>15</v>
      </c>
      <c r="G847" s="3">
        <v>107332.52</v>
      </c>
      <c r="H847" s="3">
        <v>7155.5</v>
      </c>
      <c r="I847" s="3" t="s">
        <v>1601</v>
      </c>
      <c r="J847" s="3">
        <v>162</v>
      </c>
      <c r="K847" s="3" t="s">
        <v>13</v>
      </c>
      <c r="L847" s="3" t="s">
        <v>23</v>
      </c>
      <c r="M847" s="3" t="s">
        <v>16</v>
      </c>
      <c r="N847" s="3" t="s">
        <v>32</v>
      </c>
    </row>
    <row r="848" spans="1:14" x14ac:dyDescent="0.3">
      <c r="A848" s="2" t="s">
        <v>9594</v>
      </c>
      <c r="B848" s="2" t="s">
        <v>1880</v>
      </c>
      <c r="C848" s="2" t="s">
        <v>18</v>
      </c>
      <c r="D848" s="2" t="s">
        <v>254</v>
      </c>
      <c r="E848" s="2" t="s">
        <v>22</v>
      </c>
      <c r="F848" s="2">
        <v>10</v>
      </c>
      <c r="G848" s="2">
        <v>141593.57</v>
      </c>
      <c r="H848" s="2">
        <v>14159.36</v>
      </c>
      <c r="I848" s="2" t="s">
        <v>1221</v>
      </c>
      <c r="J848" s="2">
        <v>245</v>
      </c>
      <c r="K848" s="2" t="s">
        <v>28</v>
      </c>
      <c r="L848" s="2" t="s">
        <v>48</v>
      </c>
      <c r="M848" s="2" t="s">
        <v>16</v>
      </c>
      <c r="N848" s="2" t="s">
        <v>17</v>
      </c>
    </row>
    <row r="849" spans="1:14" x14ac:dyDescent="0.3">
      <c r="A849" s="3" t="s">
        <v>9595</v>
      </c>
      <c r="B849" s="3" t="s">
        <v>1196</v>
      </c>
      <c r="C849" s="3" t="s">
        <v>33</v>
      </c>
      <c r="D849" s="3" t="s">
        <v>171</v>
      </c>
      <c r="E849" s="3" t="s">
        <v>14</v>
      </c>
      <c r="F849" s="3">
        <v>10</v>
      </c>
      <c r="G849" s="3">
        <v>155160.14000000001</v>
      </c>
      <c r="H849" s="3">
        <v>15516.01</v>
      </c>
      <c r="I849" s="3" t="s">
        <v>1337</v>
      </c>
      <c r="J849" s="3">
        <v>252</v>
      </c>
      <c r="K849" s="3" t="s">
        <v>28</v>
      </c>
      <c r="L849" s="3" t="s">
        <v>40</v>
      </c>
      <c r="M849" s="3" t="s">
        <v>16</v>
      </c>
      <c r="N849" s="3" t="s">
        <v>17</v>
      </c>
    </row>
    <row r="850" spans="1:14" x14ac:dyDescent="0.3">
      <c r="A850" s="2" t="s">
        <v>6060</v>
      </c>
      <c r="B850" s="2" t="s">
        <v>4049</v>
      </c>
      <c r="C850" s="2" t="s">
        <v>33</v>
      </c>
      <c r="D850" s="2" t="s">
        <v>109</v>
      </c>
      <c r="E850" s="2" t="s">
        <v>39</v>
      </c>
      <c r="F850" s="2">
        <v>9</v>
      </c>
      <c r="G850" s="2">
        <v>81524.25</v>
      </c>
      <c r="H850" s="2">
        <v>9058.25</v>
      </c>
      <c r="I850" s="2" t="s">
        <v>2376</v>
      </c>
      <c r="J850" s="2">
        <v>93</v>
      </c>
      <c r="K850" s="2" t="s">
        <v>28</v>
      </c>
      <c r="L850" s="2" t="s">
        <v>23</v>
      </c>
      <c r="M850" s="2" t="s">
        <v>24</v>
      </c>
      <c r="N850" s="2" t="s">
        <v>32</v>
      </c>
    </row>
    <row r="851" spans="1:14" x14ac:dyDescent="0.3">
      <c r="A851" s="3" t="s">
        <v>6977</v>
      </c>
      <c r="B851" s="3" t="s">
        <v>2124</v>
      </c>
      <c r="C851" s="3" t="s">
        <v>18</v>
      </c>
      <c r="D851" s="3" t="s">
        <v>193</v>
      </c>
      <c r="E851" s="3" t="s">
        <v>39</v>
      </c>
      <c r="F851" s="3">
        <v>17</v>
      </c>
      <c r="G851" s="3">
        <v>149313.23000000001</v>
      </c>
      <c r="H851" s="3">
        <v>8783.1299999999992</v>
      </c>
      <c r="I851" s="3" t="s">
        <v>253</v>
      </c>
      <c r="J851" s="3">
        <v>9</v>
      </c>
      <c r="K851" s="3" t="s">
        <v>21</v>
      </c>
      <c r="L851" s="3" t="s">
        <v>43</v>
      </c>
      <c r="M851" s="3" t="s">
        <v>16</v>
      </c>
      <c r="N851" s="3" t="s">
        <v>25</v>
      </c>
    </row>
    <row r="852" spans="1:14" x14ac:dyDescent="0.3">
      <c r="A852" s="2" t="s">
        <v>9596</v>
      </c>
      <c r="B852" s="2" t="s">
        <v>716</v>
      </c>
      <c r="C852" s="2" t="s">
        <v>18</v>
      </c>
      <c r="D852" s="2" t="s">
        <v>109</v>
      </c>
      <c r="E852" s="2" t="s">
        <v>39</v>
      </c>
      <c r="F852" s="2">
        <v>14</v>
      </c>
      <c r="G852" s="2">
        <v>56303.68</v>
      </c>
      <c r="H852" s="2">
        <v>4021.69</v>
      </c>
      <c r="I852" s="2" t="s">
        <v>1600</v>
      </c>
      <c r="J852" s="2">
        <v>170</v>
      </c>
      <c r="K852" s="2" t="s">
        <v>19</v>
      </c>
      <c r="L852" s="2" t="s">
        <v>30</v>
      </c>
      <c r="M852" s="2" t="s">
        <v>24</v>
      </c>
      <c r="N852" s="2" t="s">
        <v>32</v>
      </c>
    </row>
    <row r="853" spans="1:14" x14ac:dyDescent="0.3">
      <c r="A853" s="3" t="s">
        <v>9597</v>
      </c>
      <c r="B853" s="3" t="s">
        <v>1419</v>
      </c>
      <c r="C853" s="3" t="s">
        <v>42</v>
      </c>
      <c r="D853" s="3" t="s">
        <v>324</v>
      </c>
      <c r="E853" s="3" t="s">
        <v>39</v>
      </c>
      <c r="F853" s="3">
        <v>26</v>
      </c>
      <c r="G853" s="3">
        <v>14780.12</v>
      </c>
      <c r="H853" s="3">
        <v>568.47</v>
      </c>
      <c r="I853" s="3" t="s">
        <v>2915</v>
      </c>
      <c r="J853" s="3">
        <v>308</v>
      </c>
      <c r="K853" s="3" t="s">
        <v>28</v>
      </c>
      <c r="L853" s="3" t="s">
        <v>23</v>
      </c>
      <c r="M853" s="3" t="s">
        <v>31</v>
      </c>
      <c r="N853" s="3" t="s">
        <v>17</v>
      </c>
    </row>
    <row r="854" spans="1:14" x14ac:dyDescent="0.3">
      <c r="A854" s="2" t="s">
        <v>9598</v>
      </c>
      <c r="B854" s="2" t="s">
        <v>3547</v>
      </c>
      <c r="C854" s="2" t="s">
        <v>42</v>
      </c>
      <c r="D854" s="2" t="s">
        <v>334</v>
      </c>
      <c r="E854" s="2" t="s">
        <v>29</v>
      </c>
      <c r="F854" s="2">
        <v>23</v>
      </c>
      <c r="G854" s="2">
        <v>81725.63</v>
      </c>
      <c r="H854" s="2">
        <v>3553.29</v>
      </c>
      <c r="I854" s="2" t="s">
        <v>203</v>
      </c>
      <c r="J854" s="2">
        <v>106</v>
      </c>
      <c r="K854" s="2" t="s">
        <v>13</v>
      </c>
      <c r="L854" s="2" t="s">
        <v>30</v>
      </c>
      <c r="M854" s="2" t="s">
        <v>24</v>
      </c>
      <c r="N854" s="2" t="s">
        <v>32</v>
      </c>
    </row>
    <row r="855" spans="1:14" x14ac:dyDescent="0.3">
      <c r="A855" s="3" t="s">
        <v>9599</v>
      </c>
      <c r="B855" s="3" t="s">
        <v>536</v>
      </c>
      <c r="C855" s="3" t="s">
        <v>42</v>
      </c>
      <c r="D855" s="3" t="s">
        <v>171</v>
      </c>
      <c r="E855" s="3" t="s">
        <v>14</v>
      </c>
      <c r="F855" s="3">
        <v>17</v>
      </c>
      <c r="G855" s="3">
        <v>196616.31</v>
      </c>
      <c r="H855" s="3">
        <v>11565.67</v>
      </c>
      <c r="I855" s="3" t="s">
        <v>718</v>
      </c>
      <c r="J855" s="3">
        <v>136</v>
      </c>
      <c r="K855" s="3" t="s">
        <v>19</v>
      </c>
      <c r="L855" s="3" t="s">
        <v>15</v>
      </c>
      <c r="M855" s="3" t="s">
        <v>16</v>
      </c>
      <c r="N855" s="3" t="s">
        <v>32</v>
      </c>
    </row>
    <row r="856" spans="1:14" x14ac:dyDescent="0.3">
      <c r="A856" s="2" t="s">
        <v>9600</v>
      </c>
      <c r="B856" s="2" t="s">
        <v>487</v>
      </c>
      <c r="C856" s="2" t="s">
        <v>42</v>
      </c>
      <c r="D856" s="2" t="s">
        <v>712</v>
      </c>
      <c r="E856" s="2" t="s">
        <v>14</v>
      </c>
      <c r="F856" s="2">
        <v>15</v>
      </c>
      <c r="G856" s="2">
        <v>141959.91</v>
      </c>
      <c r="H856" s="2">
        <v>9463.99</v>
      </c>
      <c r="I856" s="2" t="s">
        <v>1321</v>
      </c>
      <c r="J856" s="2">
        <v>19</v>
      </c>
      <c r="K856" s="2" t="s">
        <v>28</v>
      </c>
      <c r="L856" s="2" t="s">
        <v>30</v>
      </c>
      <c r="M856" s="2" t="s">
        <v>16</v>
      </c>
      <c r="N856" s="2" t="s">
        <v>25</v>
      </c>
    </row>
    <row r="857" spans="1:14" x14ac:dyDescent="0.3">
      <c r="A857" s="3" t="s">
        <v>9601</v>
      </c>
      <c r="B857" s="3" t="s">
        <v>2097</v>
      </c>
      <c r="C857" s="3" t="s">
        <v>18</v>
      </c>
      <c r="D857" s="3" t="s">
        <v>834</v>
      </c>
      <c r="E857" s="3" t="s">
        <v>29</v>
      </c>
      <c r="F857" s="3">
        <v>30</v>
      </c>
      <c r="G857" s="3">
        <v>69326.27</v>
      </c>
      <c r="H857" s="3">
        <v>2310.88</v>
      </c>
      <c r="I857" s="3" t="s">
        <v>2712</v>
      </c>
      <c r="J857" s="3">
        <v>104</v>
      </c>
      <c r="K857" s="3" t="s">
        <v>13</v>
      </c>
      <c r="L857" s="3" t="s">
        <v>23</v>
      </c>
      <c r="M857" s="3" t="s">
        <v>24</v>
      </c>
      <c r="N857" s="3" t="s">
        <v>32</v>
      </c>
    </row>
    <row r="858" spans="1:14" x14ac:dyDescent="0.3">
      <c r="A858" s="2" t="s">
        <v>6739</v>
      </c>
      <c r="B858" s="2" t="s">
        <v>210</v>
      </c>
      <c r="C858" s="2" t="s">
        <v>33</v>
      </c>
      <c r="D858" s="2" t="s">
        <v>834</v>
      </c>
      <c r="E858" s="2" t="s">
        <v>29</v>
      </c>
      <c r="F858" s="2">
        <v>11</v>
      </c>
      <c r="G858" s="2">
        <v>99379.59</v>
      </c>
      <c r="H858" s="2">
        <v>9034.51</v>
      </c>
      <c r="I858" s="2" t="s">
        <v>1192</v>
      </c>
      <c r="J858" s="2">
        <v>55</v>
      </c>
      <c r="K858" s="2" t="s">
        <v>28</v>
      </c>
      <c r="L858" s="2" t="s">
        <v>40</v>
      </c>
      <c r="M858" s="2" t="s">
        <v>24</v>
      </c>
      <c r="N858" s="2" t="s">
        <v>25</v>
      </c>
    </row>
    <row r="859" spans="1:14" x14ac:dyDescent="0.3">
      <c r="A859" s="3" t="s">
        <v>6984</v>
      </c>
      <c r="B859" s="3" t="s">
        <v>2529</v>
      </c>
      <c r="C859" s="3" t="s">
        <v>26</v>
      </c>
      <c r="D859" s="3" t="s">
        <v>314</v>
      </c>
      <c r="E859" s="3" t="s">
        <v>39</v>
      </c>
      <c r="F859" s="3">
        <v>20</v>
      </c>
      <c r="G859" s="3">
        <v>89021.92</v>
      </c>
      <c r="H859" s="3">
        <v>4451.1000000000004</v>
      </c>
      <c r="I859" s="3" t="s">
        <v>3119</v>
      </c>
      <c r="J859" s="3">
        <v>344</v>
      </c>
      <c r="K859" s="3" t="s">
        <v>19</v>
      </c>
      <c r="L859" s="3" t="s">
        <v>40</v>
      </c>
      <c r="M859" s="3" t="s">
        <v>24</v>
      </c>
      <c r="N859" s="3" t="s">
        <v>17</v>
      </c>
    </row>
    <row r="860" spans="1:14" x14ac:dyDescent="0.3">
      <c r="A860" s="2" t="s">
        <v>9602</v>
      </c>
      <c r="B860" s="2" t="s">
        <v>2097</v>
      </c>
      <c r="C860" s="2" t="s">
        <v>18</v>
      </c>
      <c r="D860" s="2" t="s">
        <v>834</v>
      </c>
      <c r="E860" s="2" t="s">
        <v>29</v>
      </c>
      <c r="F860" s="2">
        <v>9</v>
      </c>
      <c r="G860" s="2">
        <v>156918.54999999999</v>
      </c>
      <c r="H860" s="2">
        <v>17435.39</v>
      </c>
      <c r="I860" s="2" t="s">
        <v>1750</v>
      </c>
      <c r="J860" s="2">
        <v>27</v>
      </c>
      <c r="K860" s="2" t="s">
        <v>19</v>
      </c>
      <c r="L860" s="2" t="s">
        <v>43</v>
      </c>
      <c r="M860" s="2" t="s">
        <v>16</v>
      </c>
      <c r="N860" s="2" t="s">
        <v>25</v>
      </c>
    </row>
    <row r="861" spans="1:14" x14ac:dyDescent="0.3">
      <c r="A861" s="3" t="s">
        <v>9603</v>
      </c>
      <c r="B861" s="3" t="s">
        <v>358</v>
      </c>
      <c r="C861" s="3" t="s">
        <v>26</v>
      </c>
      <c r="D861" s="3" t="s">
        <v>109</v>
      </c>
      <c r="E861" s="3" t="s">
        <v>39</v>
      </c>
      <c r="F861" s="3">
        <v>23</v>
      </c>
      <c r="G861" s="3">
        <v>180167.32</v>
      </c>
      <c r="H861" s="3">
        <v>7833.36</v>
      </c>
      <c r="I861" s="3" t="s">
        <v>3200</v>
      </c>
      <c r="J861" s="3">
        <v>229</v>
      </c>
      <c r="K861" s="3" t="s">
        <v>13</v>
      </c>
      <c r="L861" s="3" t="s">
        <v>43</v>
      </c>
      <c r="M861" s="3" t="s">
        <v>16</v>
      </c>
      <c r="N861" s="3" t="s">
        <v>17</v>
      </c>
    </row>
    <row r="862" spans="1:14" x14ac:dyDescent="0.3">
      <c r="A862" s="2" t="s">
        <v>9604</v>
      </c>
      <c r="B862" s="2" t="s">
        <v>231</v>
      </c>
      <c r="C862" s="2" t="s">
        <v>26</v>
      </c>
      <c r="D862" s="2" t="s">
        <v>193</v>
      </c>
      <c r="E862" s="2" t="s">
        <v>39</v>
      </c>
      <c r="F862" s="2">
        <v>18</v>
      </c>
      <c r="G862" s="2">
        <v>97032.93</v>
      </c>
      <c r="H862" s="2">
        <v>5390.72</v>
      </c>
      <c r="I862" s="2" t="s">
        <v>1429</v>
      </c>
      <c r="J862" s="2">
        <v>200</v>
      </c>
      <c r="K862" s="2" t="s">
        <v>28</v>
      </c>
      <c r="L862" s="2" t="s">
        <v>43</v>
      </c>
      <c r="M862" s="2" t="s">
        <v>24</v>
      </c>
      <c r="N862" s="2" t="s">
        <v>17</v>
      </c>
    </row>
    <row r="863" spans="1:14" x14ac:dyDescent="0.3">
      <c r="A863" s="3" t="s">
        <v>1418</v>
      </c>
      <c r="B863" s="3" t="s">
        <v>2834</v>
      </c>
      <c r="C863" s="3" t="s">
        <v>18</v>
      </c>
      <c r="D863" s="3" t="s">
        <v>314</v>
      </c>
      <c r="E863" s="3" t="s">
        <v>39</v>
      </c>
      <c r="F863" s="3">
        <v>25</v>
      </c>
      <c r="G863" s="3">
        <v>137072.42000000001</v>
      </c>
      <c r="H863" s="3">
        <v>5482.9</v>
      </c>
      <c r="I863" s="3" t="s">
        <v>5308</v>
      </c>
      <c r="J863" s="3">
        <v>236</v>
      </c>
      <c r="K863" s="3" t="s">
        <v>27</v>
      </c>
      <c r="L863" s="3" t="s">
        <v>15</v>
      </c>
      <c r="M863" s="3" t="s">
        <v>16</v>
      </c>
      <c r="N863" s="3" t="s">
        <v>17</v>
      </c>
    </row>
    <row r="864" spans="1:14" x14ac:dyDescent="0.3">
      <c r="A864" s="2" t="s">
        <v>9605</v>
      </c>
      <c r="B864" s="2" t="s">
        <v>348</v>
      </c>
      <c r="C864" s="2" t="s">
        <v>33</v>
      </c>
      <c r="D864" s="2" t="s">
        <v>283</v>
      </c>
      <c r="E864" s="2" t="s">
        <v>22</v>
      </c>
      <c r="F864" s="2">
        <v>12</v>
      </c>
      <c r="G864" s="2">
        <v>131184.32999999999</v>
      </c>
      <c r="H864" s="2">
        <v>10932.03</v>
      </c>
      <c r="I864" s="2" t="s">
        <v>312</v>
      </c>
      <c r="J864" s="2">
        <v>72</v>
      </c>
      <c r="K864" s="2" t="s">
        <v>21</v>
      </c>
      <c r="L864" s="2" t="s">
        <v>48</v>
      </c>
      <c r="M864" s="2" t="s">
        <v>16</v>
      </c>
      <c r="N864" s="2" t="s">
        <v>25</v>
      </c>
    </row>
    <row r="865" spans="1:14" x14ac:dyDescent="0.3">
      <c r="A865" s="3" t="s">
        <v>9606</v>
      </c>
      <c r="B865" s="3" t="s">
        <v>1011</v>
      </c>
      <c r="C865" s="3" t="s">
        <v>33</v>
      </c>
      <c r="D865" s="3" t="s">
        <v>122</v>
      </c>
      <c r="E865" s="3" t="s">
        <v>22</v>
      </c>
      <c r="F865" s="3">
        <v>25</v>
      </c>
      <c r="G865" s="3">
        <v>54621.84</v>
      </c>
      <c r="H865" s="3">
        <v>2184.87</v>
      </c>
      <c r="I865" s="3" t="s">
        <v>1977</v>
      </c>
      <c r="J865" s="3">
        <v>22</v>
      </c>
      <c r="K865" s="3" t="s">
        <v>19</v>
      </c>
      <c r="L865" s="3" t="s">
        <v>47</v>
      </c>
      <c r="M865" s="3" t="s">
        <v>24</v>
      </c>
      <c r="N865" s="3" t="s">
        <v>25</v>
      </c>
    </row>
    <row r="866" spans="1:14" x14ac:dyDescent="0.3">
      <c r="A866" s="2" t="s">
        <v>9607</v>
      </c>
      <c r="B866" s="2" t="s">
        <v>3325</v>
      </c>
      <c r="C866" s="2" t="s">
        <v>26</v>
      </c>
      <c r="D866" s="2" t="s">
        <v>738</v>
      </c>
      <c r="E866" s="2" t="s">
        <v>22</v>
      </c>
      <c r="F866" s="2">
        <v>27</v>
      </c>
      <c r="G866" s="2">
        <v>15052.03</v>
      </c>
      <c r="H866" s="2">
        <v>557.48</v>
      </c>
      <c r="I866" s="2" t="s">
        <v>998</v>
      </c>
      <c r="J866" s="2">
        <v>52</v>
      </c>
      <c r="K866" s="2" t="s">
        <v>21</v>
      </c>
      <c r="L866" s="2" t="s">
        <v>15</v>
      </c>
      <c r="M866" s="2" t="s">
        <v>31</v>
      </c>
      <c r="N866" s="2" t="s">
        <v>25</v>
      </c>
    </row>
    <row r="867" spans="1:14" x14ac:dyDescent="0.3">
      <c r="A867" s="3" t="s">
        <v>9608</v>
      </c>
      <c r="B867" s="3" t="s">
        <v>1097</v>
      </c>
      <c r="C867" s="3" t="s">
        <v>42</v>
      </c>
      <c r="D867" s="3" t="s">
        <v>225</v>
      </c>
      <c r="E867" s="3" t="s">
        <v>39</v>
      </c>
      <c r="F867" s="3">
        <v>19</v>
      </c>
      <c r="G867" s="3">
        <v>71956.800000000003</v>
      </c>
      <c r="H867" s="3">
        <v>3787.2</v>
      </c>
      <c r="I867" s="3" t="s">
        <v>1108</v>
      </c>
      <c r="J867" s="3">
        <v>311</v>
      </c>
      <c r="K867" s="3" t="s">
        <v>19</v>
      </c>
      <c r="L867" s="3" t="s">
        <v>40</v>
      </c>
      <c r="M867" s="3" t="s">
        <v>24</v>
      </c>
      <c r="N867" s="3" t="s">
        <v>17</v>
      </c>
    </row>
    <row r="868" spans="1:14" x14ac:dyDescent="0.3">
      <c r="A868" s="2" t="s">
        <v>9609</v>
      </c>
      <c r="B868" s="2" t="s">
        <v>680</v>
      </c>
      <c r="C868" s="2" t="s">
        <v>42</v>
      </c>
      <c r="D868" s="2" t="s">
        <v>225</v>
      </c>
      <c r="E868" s="2" t="s">
        <v>39</v>
      </c>
      <c r="F868" s="2">
        <v>21</v>
      </c>
      <c r="G868" s="2">
        <v>152275.22</v>
      </c>
      <c r="H868" s="2">
        <v>7251.2</v>
      </c>
      <c r="I868" s="2" t="s">
        <v>3232</v>
      </c>
      <c r="J868" s="2">
        <v>314</v>
      </c>
      <c r="K868" s="2" t="s">
        <v>27</v>
      </c>
      <c r="L868" s="2" t="s">
        <v>40</v>
      </c>
      <c r="M868" s="2" t="s">
        <v>16</v>
      </c>
      <c r="N868" s="2" t="s">
        <v>17</v>
      </c>
    </row>
    <row r="869" spans="1:14" x14ac:dyDescent="0.3">
      <c r="A869" s="3" t="s">
        <v>9610</v>
      </c>
      <c r="B869" s="3" t="s">
        <v>2286</v>
      </c>
      <c r="C869" s="3" t="s">
        <v>26</v>
      </c>
      <c r="D869" s="3" t="s">
        <v>171</v>
      </c>
      <c r="E869" s="3" t="s">
        <v>14</v>
      </c>
      <c r="F869" s="3">
        <v>2</v>
      </c>
      <c r="G869" s="3">
        <v>89144.99</v>
      </c>
      <c r="H869" s="3">
        <v>44572.5</v>
      </c>
      <c r="I869" s="3" t="s">
        <v>1696</v>
      </c>
      <c r="J869" s="3">
        <v>351</v>
      </c>
      <c r="K869" s="3" t="s">
        <v>19</v>
      </c>
      <c r="L869" s="3" t="s">
        <v>30</v>
      </c>
      <c r="M869" s="3" t="s">
        <v>24</v>
      </c>
      <c r="N869" s="3" t="s">
        <v>17</v>
      </c>
    </row>
    <row r="870" spans="1:14" x14ac:dyDescent="0.3">
      <c r="A870" s="2" t="s">
        <v>9611</v>
      </c>
      <c r="B870" s="2" t="s">
        <v>1253</v>
      </c>
      <c r="C870" s="2" t="s">
        <v>33</v>
      </c>
      <c r="D870" s="2" t="s">
        <v>712</v>
      </c>
      <c r="E870" s="2" t="s">
        <v>14</v>
      </c>
      <c r="F870" s="2">
        <v>29</v>
      </c>
      <c r="G870" s="2">
        <v>193797.44</v>
      </c>
      <c r="H870" s="2">
        <v>6682.67</v>
      </c>
      <c r="I870" s="2" t="s">
        <v>5475</v>
      </c>
      <c r="J870" s="2">
        <v>94</v>
      </c>
      <c r="K870" s="2" t="s">
        <v>28</v>
      </c>
      <c r="L870" s="2" t="s">
        <v>47</v>
      </c>
      <c r="M870" s="2" t="s">
        <v>16</v>
      </c>
      <c r="N870" s="2" t="s">
        <v>32</v>
      </c>
    </row>
    <row r="871" spans="1:14" x14ac:dyDescent="0.3">
      <c r="A871" s="3" t="s">
        <v>9612</v>
      </c>
      <c r="B871" s="3" t="s">
        <v>3848</v>
      </c>
      <c r="C871" s="3" t="s">
        <v>18</v>
      </c>
      <c r="D871" s="3" t="s">
        <v>334</v>
      </c>
      <c r="E871" s="3" t="s">
        <v>29</v>
      </c>
      <c r="F871" s="3">
        <v>11</v>
      </c>
      <c r="G871" s="3">
        <v>94110.22</v>
      </c>
      <c r="H871" s="3">
        <v>8555.4699999999993</v>
      </c>
      <c r="I871" s="3" t="s">
        <v>3669</v>
      </c>
      <c r="J871" s="3">
        <v>186</v>
      </c>
      <c r="K871" s="3" t="s">
        <v>13</v>
      </c>
      <c r="L871" s="3" t="s">
        <v>15</v>
      </c>
      <c r="M871" s="3" t="s">
        <v>24</v>
      </c>
      <c r="N871" s="3" t="s">
        <v>17</v>
      </c>
    </row>
    <row r="872" spans="1:14" x14ac:dyDescent="0.3">
      <c r="A872" s="2" t="s">
        <v>9613</v>
      </c>
      <c r="B872" s="2" t="s">
        <v>1675</v>
      </c>
      <c r="C872" s="2" t="s">
        <v>18</v>
      </c>
      <c r="D872" s="2" t="s">
        <v>738</v>
      </c>
      <c r="E872" s="2" t="s">
        <v>22</v>
      </c>
      <c r="F872" s="2">
        <v>25</v>
      </c>
      <c r="G872" s="2">
        <v>123458.17</v>
      </c>
      <c r="H872" s="2">
        <v>4938.33</v>
      </c>
      <c r="I872" s="2" t="s">
        <v>1185</v>
      </c>
      <c r="J872" s="2">
        <v>134</v>
      </c>
      <c r="K872" s="2" t="s">
        <v>28</v>
      </c>
      <c r="L872" s="2" t="s">
        <v>40</v>
      </c>
      <c r="M872" s="2" t="s">
        <v>16</v>
      </c>
      <c r="N872" s="2" t="s">
        <v>32</v>
      </c>
    </row>
    <row r="873" spans="1:14" x14ac:dyDescent="0.3">
      <c r="A873" s="3" t="s">
        <v>9614</v>
      </c>
      <c r="B873" s="3" t="s">
        <v>642</v>
      </c>
      <c r="C873" s="3" t="s">
        <v>42</v>
      </c>
      <c r="D873" s="3" t="s">
        <v>334</v>
      </c>
      <c r="E873" s="3" t="s">
        <v>29</v>
      </c>
      <c r="F873" s="3">
        <v>13</v>
      </c>
      <c r="G873" s="3">
        <v>138624.29999999999</v>
      </c>
      <c r="H873" s="3">
        <v>10663.41</v>
      </c>
      <c r="I873" s="3" t="s">
        <v>2386</v>
      </c>
      <c r="J873" s="3">
        <v>278</v>
      </c>
      <c r="K873" s="3" t="s">
        <v>27</v>
      </c>
      <c r="L873" s="3" t="s">
        <v>47</v>
      </c>
      <c r="M873" s="3" t="s">
        <v>16</v>
      </c>
      <c r="N873" s="3" t="s">
        <v>17</v>
      </c>
    </row>
    <row r="874" spans="1:14" x14ac:dyDescent="0.3">
      <c r="A874" s="2" t="s">
        <v>9615</v>
      </c>
      <c r="B874" s="2" t="s">
        <v>1451</v>
      </c>
      <c r="C874" s="2" t="s">
        <v>26</v>
      </c>
      <c r="D874" s="2" t="s">
        <v>314</v>
      </c>
      <c r="E874" s="2" t="s">
        <v>39</v>
      </c>
      <c r="F874" s="2">
        <v>3</v>
      </c>
      <c r="G874" s="2">
        <v>183894.07</v>
      </c>
      <c r="H874" s="2">
        <v>61298.02</v>
      </c>
      <c r="I874" s="2" t="s">
        <v>4543</v>
      </c>
      <c r="J874" s="2">
        <v>198</v>
      </c>
      <c r="K874" s="2" t="s">
        <v>21</v>
      </c>
      <c r="L874" s="2" t="s">
        <v>40</v>
      </c>
      <c r="M874" s="2" t="s">
        <v>16</v>
      </c>
      <c r="N874" s="2" t="s">
        <v>17</v>
      </c>
    </row>
    <row r="875" spans="1:14" x14ac:dyDescent="0.3">
      <c r="A875" s="3" t="s">
        <v>9616</v>
      </c>
      <c r="B875" s="3" t="s">
        <v>840</v>
      </c>
      <c r="C875" s="3" t="s">
        <v>33</v>
      </c>
      <c r="D875" s="3" t="s">
        <v>109</v>
      </c>
      <c r="E875" s="3" t="s">
        <v>39</v>
      </c>
      <c r="F875" s="3">
        <v>21</v>
      </c>
      <c r="G875" s="3">
        <v>91430.86</v>
      </c>
      <c r="H875" s="3">
        <v>4353.8500000000004</v>
      </c>
      <c r="I875" s="3" t="s">
        <v>1041</v>
      </c>
      <c r="J875" s="3">
        <v>92</v>
      </c>
      <c r="K875" s="3" t="s">
        <v>13</v>
      </c>
      <c r="L875" s="3" t="s">
        <v>30</v>
      </c>
      <c r="M875" s="3" t="s">
        <v>24</v>
      </c>
      <c r="N875" s="3" t="s">
        <v>32</v>
      </c>
    </row>
    <row r="876" spans="1:14" x14ac:dyDescent="0.3">
      <c r="A876" s="2" t="s">
        <v>9617</v>
      </c>
      <c r="B876" s="2" t="s">
        <v>200</v>
      </c>
      <c r="C876" s="2" t="s">
        <v>26</v>
      </c>
      <c r="D876" s="2" t="s">
        <v>254</v>
      </c>
      <c r="E876" s="2" t="s">
        <v>22</v>
      </c>
      <c r="F876" s="2">
        <v>25</v>
      </c>
      <c r="G876" s="2">
        <v>188636.89</v>
      </c>
      <c r="H876" s="2">
        <v>7545.48</v>
      </c>
      <c r="I876" s="2" t="s">
        <v>426</v>
      </c>
      <c r="J876" s="2">
        <v>254</v>
      </c>
      <c r="K876" s="2" t="s">
        <v>27</v>
      </c>
      <c r="L876" s="2" t="s">
        <v>43</v>
      </c>
      <c r="M876" s="2" t="s">
        <v>16</v>
      </c>
      <c r="N876" s="2" t="s">
        <v>17</v>
      </c>
    </row>
    <row r="877" spans="1:14" x14ac:dyDescent="0.3">
      <c r="A877" s="3" t="s">
        <v>9618</v>
      </c>
      <c r="B877" s="3" t="s">
        <v>563</v>
      </c>
      <c r="C877" s="3" t="s">
        <v>18</v>
      </c>
      <c r="D877" s="3" t="s">
        <v>324</v>
      </c>
      <c r="E877" s="3" t="s">
        <v>39</v>
      </c>
      <c r="F877" s="3">
        <v>27</v>
      </c>
      <c r="G877" s="3">
        <v>49346.41</v>
      </c>
      <c r="H877" s="3">
        <v>1827.64</v>
      </c>
      <c r="I877" s="3" t="s">
        <v>3610</v>
      </c>
      <c r="J877" s="3">
        <v>61</v>
      </c>
      <c r="K877" s="3" t="s">
        <v>13</v>
      </c>
      <c r="L877" s="3" t="s">
        <v>15</v>
      </c>
      <c r="M877" s="3" t="s">
        <v>31</v>
      </c>
      <c r="N877" s="3" t="s">
        <v>25</v>
      </c>
    </row>
    <row r="878" spans="1:14" x14ac:dyDescent="0.3">
      <c r="A878" s="2" t="s">
        <v>5423</v>
      </c>
      <c r="B878" s="2" t="s">
        <v>2460</v>
      </c>
      <c r="C878" s="2" t="s">
        <v>33</v>
      </c>
      <c r="D878" s="2" t="s">
        <v>334</v>
      </c>
      <c r="E878" s="2" t="s">
        <v>29</v>
      </c>
      <c r="F878" s="2">
        <v>4</v>
      </c>
      <c r="G878" s="2">
        <v>46544.82</v>
      </c>
      <c r="H878" s="2">
        <v>11636.2</v>
      </c>
      <c r="I878" s="2" t="s">
        <v>2547</v>
      </c>
      <c r="J878" s="2">
        <v>334</v>
      </c>
      <c r="K878" s="2" t="s">
        <v>28</v>
      </c>
      <c r="L878" s="2" t="s">
        <v>47</v>
      </c>
      <c r="M878" s="2" t="s">
        <v>31</v>
      </c>
      <c r="N878" s="2" t="s">
        <v>17</v>
      </c>
    </row>
    <row r="879" spans="1:14" x14ac:dyDescent="0.3">
      <c r="A879" s="3" t="s">
        <v>7069</v>
      </c>
      <c r="B879" s="3" t="s">
        <v>1068</v>
      </c>
      <c r="C879" s="3" t="s">
        <v>26</v>
      </c>
      <c r="D879" s="3" t="s">
        <v>427</v>
      </c>
      <c r="E879" s="3" t="s">
        <v>29</v>
      </c>
      <c r="F879" s="3">
        <v>16</v>
      </c>
      <c r="G879" s="3">
        <v>54854.85</v>
      </c>
      <c r="H879" s="3">
        <v>3428.43</v>
      </c>
      <c r="I879" s="3" t="s">
        <v>434</v>
      </c>
      <c r="J879" s="3">
        <v>68</v>
      </c>
      <c r="K879" s="3" t="s">
        <v>13</v>
      </c>
      <c r="L879" s="3" t="s">
        <v>23</v>
      </c>
      <c r="M879" s="3" t="s">
        <v>24</v>
      </c>
      <c r="N879" s="3" t="s">
        <v>25</v>
      </c>
    </row>
    <row r="880" spans="1:14" x14ac:dyDescent="0.3">
      <c r="A880" s="2" t="s">
        <v>7131</v>
      </c>
      <c r="B880" s="2" t="s">
        <v>377</v>
      </c>
      <c r="C880" s="2" t="s">
        <v>18</v>
      </c>
      <c r="D880" s="2" t="s">
        <v>738</v>
      </c>
      <c r="E880" s="2" t="s">
        <v>22</v>
      </c>
      <c r="F880" s="2">
        <v>8</v>
      </c>
      <c r="G880" s="2">
        <v>118061.72</v>
      </c>
      <c r="H880" s="2">
        <v>14757.72</v>
      </c>
      <c r="I880" s="2" t="s">
        <v>2414</v>
      </c>
      <c r="J880" s="2">
        <v>228</v>
      </c>
      <c r="K880" s="2" t="s">
        <v>21</v>
      </c>
      <c r="L880" s="2" t="s">
        <v>30</v>
      </c>
      <c r="M880" s="2" t="s">
        <v>16</v>
      </c>
      <c r="N880" s="2" t="s">
        <v>17</v>
      </c>
    </row>
    <row r="881" spans="1:14" x14ac:dyDescent="0.3">
      <c r="A881" s="3" t="s">
        <v>9619</v>
      </c>
      <c r="B881" s="3" t="s">
        <v>2231</v>
      </c>
      <c r="C881" s="3" t="s">
        <v>18</v>
      </c>
      <c r="D881" s="3" t="s">
        <v>254</v>
      </c>
      <c r="E881" s="3" t="s">
        <v>22</v>
      </c>
      <c r="F881" s="3">
        <v>10</v>
      </c>
      <c r="G881" s="3">
        <v>54103.28</v>
      </c>
      <c r="H881" s="3">
        <v>5410.33</v>
      </c>
      <c r="I881" s="3" t="s">
        <v>2327</v>
      </c>
      <c r="J881" s="3">
        <v>110</v>
      </c>
      <c r="K881" s="3" t="s">
        <v>28</v>
      </c>
      <c r="L881" s="3" t="s">
        <v>23</v>
      </c>
      <c r="M881" s="3" t="s">
        <v>24</v>
      </c>
      <c r="N881" s="3" t="s">
        <v>32</v>
      </c>
    </row>
    <row r="882" spans="1:14" x14ac:dyDescent="0.3">
      <c r="A882" s="2" t="s">
        <v>9620</v>
      </c>
      <c r="B882" s="2" t="s">
        <v>934</v>
      </c>
      <c r="C882" s="2" t="s">
        <v>42</v>
      </c>
      <c r="D882" s="2" t="s">
        <v>324</v>
      </c>
      <c r="E882" s="2" t="s">
        <v>39</v>
      </c>
      <c r="F882" s="2">
        <v>15</v>
      </c>
      <c r="G882" s="2">
        <v>194100.19</v>
      </c>
      <c r="H882" s="2">
        <v>12940.01</v>
      </c>
      <c r="I882" s="2" t="s">
        <v>1047</v>
      </c>
      <c r="J882" s="2">
        <v>44</v>
      </c>
      <c r="K882" s="2" t="s">
        <v>19</v>
      </c>
      <c r="L882" s="2" t="s">
        <v>15</v>
      </c>
      <c r="M882" s="2" t="s">
        <v>16</v>
      </c>
      <c r="N882" s="2" t="s">
        <v>25</v>
      </c>
    </row>
    <row r="883" spans="1:14" x14ac:dyDescent="0.3">
      <c r="A883" s="3" t="s">
        <v>9621</v>
      </c>
      <c r="B883" s="3" t="s">
        <v>478</v>
      </c>
      <c r="C883" s="3" t="s">
        <v>26</v>
      </c>
      <c r="D883" s="3" t="s">
        <v>171</v>
      </c>
      <c r="E883" s="3" t="s">
        <v>14</v>
      </c>
      <c r="F883" s="3">
        <v>21</v>
      </c>
      <c r="G883" s="3">
        <v>122367.13</v>
      </c>
      <c r="H883" s="3">
        <v>5827.01</v>
      </c>
      <c r="I883" s="3" t="s">
        <v>998</v>
      </c>
      <c r="J883" s="3">
        <v>52</v>
      </c>
      <c r="K883" s="3" t="s">
        <v>13</v>
      </c>
      <c r="L883" s="3" t="s">
        <v>43</v>
      </c>
      <c r="M883" s="3" t="s">
        <v>16</v>
      </c>
      <c r="N883" s="3" t="s">
        <v>25</v>
      </c>
    </row>
    <row r="884" spans="1:14" x14ac:dyDescent="0.3">
      <c r="A884" s="2" t="s">
        <v>9622</v>
      </c>
      <c r="B884" s="2" t="s">
        <v>768</v>
      </c>
      <c r="C884" s="2" t="s">
        <v>18</v>
      </c>
      <c r="D884" s="2" t="s">
        <v>183</v>
      </c>
      <c r="E884" s="2" t="s">
        <v>14</v>
      </c>
      <c r="F884" s="2">
        <v>6</v>
      </c>
      <c r="G884" s="2">
        <v>192481.77</v>
      </c>
      <c r="H884" s="2">
        <v>32080.29</v>
      </c>
      <c r="I884" s="2" t="s">
        <v>434</v>
      </c>
      <c r="J884" s="2">
        <v>68</v>
      </c>
      <c r="K884" s="2" t="s">
        <v>13</v>
      </c>
      <c r="L884" s="2" t="s">
        <v>23</v>
      </c>
      <c r="M884" s="2" t="s">
        <v>16</v>
      </c>
      <c r="N884" s="2" t="s">
        <v>25</v>
      </c>
    </row>
    <row r="885" spans="1:14" x14ac:dyDescent="0.3">
      <c r="A885" s="3" t="s">
        <v>9623</v>
      </c>
      <c r="B885" s="3" t="s">
        <v>995</v>
      </c>
      <c r="C885" s="3" t="s">
        <v>42</v>
      </c>
      <c r="D885" s="3" t="s">
        <v>738</v>
      </c>
      <c r="E885" s="3" t="s">
        <v>22</v>
      </c>
      <c r="F885" s="3">
        <v>21</v>
      </c>
      <c r="G885" s="3">
        <v>6665.16</v>
      </c>
      <c r="H885" s="3">
        <v>317.39</v>
      </c>
      <c r="I885" s="3" t="s">
        <v>1996</v>
      </c>
      <c r="J885" s="3">
        <v>270</v>
      </c>
      <c r="K885" s="3" t="s">
        <v>28</v>
      </c>
      <c r="L885" s="3" t="s">
        <v>43</v>
      </c>
      <c r="M885" s="3" t="s">
        <v>41</v>
      </c>
      <c r="N885" s="3" t="s">
        <v>17</v>
      </c>
    </row>
    <row r="886" spans="1:14" x14ac:dyDescent="0.3">
      <c r="A886" s="2" t="s">
        <v>9624</v>
      </c>
      <c r="B886" s="2" t="s">
        <v>4171</v>
      </c>
      <c r="C886" s="2" t="s">
        <v>42</v>
      </c>
      <c r="D886" s="2" t="s">
        <v>712</v>
      </c>
      <c r="E886" s="2" t="s">
        <v>14</v>
      </c>
      <c r="F886" s="2">
        <v>11</v>
      </c>
      <c r="G886" s="2">
        <v>115271.58</v>
      </c>
      <c r="H886" s="2">
        <v>10479.23</v>
      </c>
      <c r="I886" s="2" t="s">
        <v>170</v>
      </c>
      <c r="J886" s="2">
        <v>322</v>
      </c>
      <c r="K886" s="2" t="s">
        <v>13</v>
      </c>
      <c r="L886" s="2" t="s">
        <v>40</v>
      </c>
      <c r="M886" s="2" t="s">
        <v>16</v>
      </c>
      <c r="N886" s="2" t="s">
        <v>17</v>
      </c>
    </row>
    <row r="887" spans="1:14" x14ac:dyDescent="0.3">
      <c r="A887" s="3" t="s">
        <v>9625</v>
      </c>
      <c r="B887" s="3" t="s">
        <v>1675</v>
      </c>
      <c r="C887" s="3" t="s">
        <v>33</v>
      </c>
      <c r="D887" s="3" t="s">
        <v>738</v>
      </c>
      <c r="E887" s="3" t="s">
        <v>22</v>
      </c>
      <c r="F887" s="3">
        <v>1</v>
      </c>
      <c r="G887" s="3">
        <v>166635.51999999999</v>
      </c>
      <c r="H887" s="3">
        <v>166635.51999999999</v>
      </c>
      <c r="I887" s="3" t="s">
        <v>1996</v>
      </c>
      <c r="J887" s="3">
        <v>270</v>
      </c>
      <c r="K887" s="3" t="s">
        <v>13</v>
      </c>
      <c r="L887" s="3" t="s">
        <v>48</v>
      </c>
      <c r="M887" s="3" t="s">
        <v>16</v>
      </c>
      <c r="N887" s="3" t="s">
        <v>17</v>
      </c>
    </row>
    <row r="888" spans="1:14" x14ac:dyDescent="0.3">
      <c r="A888" s="2" t="s">
        <v>9626</v>
      </c>
      <c r="B888" s="2" t="s">
        <v>1675</v>
      </c>
      <c r="C888" s="2" t="s">
        <v>42</v>
      </c>
      <c r="D888" s="2" t="s">
        <v>283</v>
      </c>
      <c r="E888" s="2" t="s">
        <v>22</v>
      </c>
      <c r="F888" s="2">
        <v>11</v>
      </c>
      <c r="G888" s="2">
        <v>198411.9</v>
      </c>
      <c r="H888" s="2">
        <v>18037.45</v>
      </c>
      <c r="I888" s="2" t="s">
        <v>1995</v>
      </c>
      <c r="J888" s="2">
        <v>272</v>
      </c>
      <c r="K888" s="2" t="s">
        <v>13</v>
      </c>
      <c r="L888" s="2" t="s">
        <v>15</v>
      </c>
      <c r="M888" s="2" t="s">
        <v>16</v>
      </c>
      <c r="N888" s="2" t="s">
        <v>17</v>
      </c>
    </row>
    <row r="889" spans="1:14" x14ac:dyDescent="0.3">
      <c r="A889" s="3" t="s">
        <v>7863</v>
      </c>
      <c r="B889" s="3" t="s">
        <v>2834</v>
      </c>
      <c r="C889" s="3" t="s">
        <v>26</v>
      </c>
      <c r="D889" s="3" t="s">
        <v>109</v>
      </c>
      <c r="E889" s="3" t="s">
        <v>39</v>
      </c>
      <c r="F889" s="3">
        <v>6</v>
      </c>
      <c r="G889" s="3">
        <v>15040.23</v>
      </c>
      <c r="H889" s="3">
        <v>2506.6999999999998</v>
      </c>
      <c r="I889" s="3" t="s">
        <v>1256</v>
      </c>
      <c r="J889" s="3">
        <v>153</v>
      </c>
      <c r="K889" s="3" t="s">
        <v>13</v>
      </c>
      <c r="L889" s="3" t="s">
        <v>47</v>
      </c>
      <c r="M889" s="3" t="s">
        <v>31</v>
      </c>
      <c r="N889" s="3" t="s">
        <v>32</v>
      </c>
    </row>
    <row r="890" spans="1:14" x14ac:dyDescent="0.3">
      <c r="A890" s="2" t="s">
        <v>602</v>
      </c>
      <c r="B890" s="2" t="s">
        <v>1293</v>
      </c>
      <c r="C890" s="2" t="s">
        <v>33</v>
      </c>
      <c r="D890" s="2" t="s">
        <v>148</v>
      </c>
      <c r="E890" s="2" t="s">
        <v>29</v>
      </c>
      <c r="F890" s="2">
        <v>28</v>
      </c>
      <c r="G890" s="2">
        <v>87944.24</v>
      </c>
      <c r="H890" s="2">
        <v>3140.87</v>
      </c>
      <c r="I890" s="2" t="s">
        <v>778</v>
      </c>
      <c r="J890" s="2">
        <v>82</v>
      </c>
      <c r="K890" s="2" t="s">
        <v>21</v>
      </c>
      <c r="L890" s="2" t="s">
        <v>23</v>
      </c>
      <c r="M890" s="2" t="s">
        <v>24</v>
      </c>
      <c r="N890" s="2" t="s">
        <v>25</v>
      </c>
    </row>
    <row r="891" spans="1:14" x14ac:dyDescent="0.3">
      <c r="A891" s="3" t="s">
        <v>9627</v>
      </c>
      <c r="B891" s="3" t="s">
        <v>2141</v>
      </c>
      <c r="C891" s="3" t="s">
        <v>26</v>
      </c>
      <c r="D891" s="3" t="s">
        <v>122</v>
      </c>
      <c r="E891" s="3" t="s">
        <v>22</v>
      </c>
      <c r="F891" s="3">
        <v>21</v>
      </c>
      <c r="G891" s="3">
        <v>48885.51</v>
      </c>
      <c r="H891" s="3">
        <v>2327.88</v>
      </c>
      <c r="I891" s="3" t="s">
        <v>1118</v>
      </c>
      <c r="J891" s="3">
        <v>185</v>
      </c>
      <c r="K891" s="3" t="s">
        <v>21</v>
      </c>
      <c r="L891" s="3" t="s">
        <v>47</v>
      </c>
      <c r="M891" s="3" t="s">
        <v>31</v>
      </c>
      <c r="N891" s="3" t="s">
        <v>17</v>
      </c>
    </row>
    <row r="892" spans="1:14" x14ac:dyDescent="0.3">
      <c r="A892" s="2" t="s">
        <v>4650</v>
      </c>
      <c r="B892" s="2" t="s">
        <v>3250</v>
      </c>
      <c r="C892" s="2" t="s">
        <v>42</v>
      </c>
      <c r="D892" s="2" t="s">
        <v>283</v>
      </c>
      <c r="E892" s="2" t="s">
        <v>22</v>
      </c>
      <c r="F892" s="2">
        <v>6</v>
      </c>
      <c r="G892" s="2">
        <v>65884.67</v>
      </c>
      <c r="H892" s="2">
        <v>10980.78</v>
      </c>
      <c r="I892" s="2" t="s">
        <v>2671</v>
      </c>
      <c r="J892" s="2">
        <v>8</v>
      </c>
      <c r="K892" s="2" t="s">
        <v>13</v>
      </c>
      <c r="L892" s="2" t="s">
        <v>47</v>
      </c>
      <c r="M892" s="2" t="s">
        <v>24</v>
      </c>
      <c r="N892" s="2" t="s">
        <v>25</v>
      </c>
    </row>
    <row r="893" spans="1:14" x14ac:dyDescent="0.3">
      <c r="A893" s="3" t="s">
        <v>9628</v>
      </c>
      <c r="B893" s="3" t="s">
        <v>799</v>
      </c>
      <c r="C893" s="3" t="s">
        <v>42</v>
      </c>
      <c r="D893" s="3" t="s">
        <v>324</v>
      </c>
      <c r="E893" s="3" t="s">
        <v>39</v>
      </c>
      <c r="F893" s="3">
        <v>22</v>
      </c>
      <c r="G893" s="3">
        <v>39468.519999999997</v>
      </c>
      <c r="H893" s="3">
        <v>1794.02</v>
      </c>
      <c r="I893" s="3" t="s">
        <v>1784</v>
      </c>
      <c r="J893" s="3">
        <v>214</v>
      </c>
      <c r="K893" s="3" t="s">
        <v>19</v>
      </c>
      <c r="L893" s="3" t="s">
        <v>43</v>
      </c>
      <c r="M893" s="3" t="s">
        <v>31</v>
      </c>
      <c r="N893" s="3" t="s">
        <v>17</v>
      </c>
    </row>
    <row r="894" spans="1:14" x14ac:dyDescent="0.3">
      <c r="A894" s="2" t="s">
        <v>9629</v>
      </c>
      <c r="B894" s="2" t="s">
        <v>1492</v>
      </c>
      <c r="C894" s="2" t="s">
        <v>42</v>
      </c>
      <c r="D894" s="2" t="s">
        <v>171</v>
      </c>
      <c r="E894" s="2" t="s">
        <v>14</v>
      </c>
      <c r="F894" s="2">
        <v>9</v>
      </c>
      <c r="G894" s="2">
        <v>144715.20000000001</v>
      </c>
      <c r="H894" s="2">
        <v>16079.47</v>
      </c>
      <c r="I894" s="2" t="s">
        <v>1443</v>
      </c>
      <c r="J894" s="2">
        <v>172</v>
      </c>
      <c r="K894" s="2" t="s">
        <v>28</v>
      </c>
      <c r="L894" s="2" t="s">
        <v>30</v>
      </c>
      <c r="M894" s="2" t="s">
        <v>16</v>
      </c>
      <c r="N894" s="2" t="s">
        <v>32</v>
      </c>
    </row>
    <row r="895" spans="1:14" x14ac:dyDescent="0.3">
      <c r="A895" s="3" t="s">
        <v>1483</v>
      </c>
      <c r="B895" s="3" t="s">
        <v>2136</v>
      </c>
      <c r="C895" s="3" t="s">
        <v>18</v>
      </c>
      <c r="D895" s="3" t="s">
        <v>314</v>
      </c>
      <c r="E895" s="3" t="s">
        <v>39</v>
      </c>
      <c r="F895" s="3">
        <v>5</v>
      </c>
      <c r="G895" s="3">
        <v>155960.07999999999</v>
      </c>
      <c r="H895" s="3">
        <v>31192.02</v>
      </c>
      <c r="I895" s="3" t="s">
        <v>3232</v>
      </c>
      <c r="J895" s="3">
        <v>314</v>
      </c>
      <c r="K895" s="3" t="s">
        <v>19</v>
      </c>
      <c r="L895" s="3" t="s">
        <v>43</v>
      </c>
      <c r="M895" s="3" t="s">
        <v>16</v>
      </c>
      <c r="N895" s="3" t="s">
        <v>17</v>
      </c>
    </row>
    <row r="896" spans="1:14" x14ac:dyDescent="0.3">
      <c r="A896" s="2" t="s">
        <v>9630</v>
      </c>
      <c r="B896" s="2" t="s">
        <v>512</v>
      </c>
      <c r="C896" s="2" t="s">
        <v>33</v>
      </c>
      <c r="D896" s="2" t="s">
        <v>283</v>
      </c>
      <c r="E896" s="2" t="s">
        <v>22</v>
      </c>
      <c r="F896" s="2">
        <v>8</v>
      </c>
      <c r="G896" s="2">
        <v>163110.37</v>
      </c>
      <c r="H896" s="2">
        <v>20388.8</v>
      </c>
      <c r="I896" s="2" t="s">
        <v>3317</v>
      </c>
      <c r="J896" s="2">
        <v>273</v>
      </c>
      <c r="K896" s="2" t="s">
        <v>19</v>
      </c>
      <c r="L896" s="2" t="s">
        <v>47</v>
      </c>
      <c r="M896" s="2" t="s">
        <v>16</v>
      </c>
      <c r="N896" s="2" t="s">
        <v>17</v>
      </c>
    </row>
    <row r="897" spans="1:14" x14ac:dyDescent="0.3">
      <c r="A897" s="3" t="s">
        <v>9631</v>
      </c>
      <c r="B897" s="3" t="s">
        <v>358</v>
      </c>
      <c r="C897" s="3" t="s">
        <v>26</v>
      </c>
      <c r="D897" s="3" t="s">
        <v>148</v>
      </c>
      <c r="E897" s="3" t="s">
        <v>29</v>
      </c>
      <c r="F897" s="3">
        <v>28</v>
      </c>
      <c r="G897" s="3">
        <v>90119.81</v>
      </c>
      <c r="H897" s="3">
        <v>3218.56</v>
      </c>
      <c r="I897" s="3" t="s">
        <v>7458</v>
      </c>
      <c r="J897" s="3">
        <v>178</v>
      </c>
      <c r="K897" s="3" t="s">
        <v>27</v>
      </c>
      <c r="L897" s="3" t="s">
        <v>30</v>
      </c>
      <c r="M897" s="3" t="s">
        <v>24</v>
      </c>
      <c r="N897" s="3" t="s">
        <v>32</v>
      </c>
    </row>
    <row r="898" spans="1:14" x14ac:dyDescent="0.3">
      <c r="A898" s="2" t="s">
        <v>9632</v>
      </c>
      <c r="B898" s="2" t="s">
        <v>478</v>
      </c>
      <c r="C898" s="2" t="s">
        <v>26</v>
      </c>
      <c r="D898" s="2" t="s">
        <v>427</v>
      </c>
      <c r="E898" s="2" t="s">
        <v>29</v>
      </c>
      <c r="F898" s="2">
        <v>12</v>
      </c>
      <c r="G898" s="2">
        <v>74622.12</v>
      </c>
      <c r="H898" s="2">
        <v>6218.51</v>
      </c>
      <c r="I898" s="2" t="s">
        <v>2341</v>
      </c>
      <c r="J898" s="2">
        <v>31</v>
      </c>
      <c r="K898" s="2" t="s">
        <v>21</v>
      </c>
      <c r="L898" s="2" t="s">
        <v>15</v>
      </c>
      <c r="M898" s="2" t="s">
        <v>24</v>
      </c>
      <c r="N898" s="2" t="s">
        <v>25</v>
      </c>
    </row>
    <row r="899" spans="1:14" x14ac:dyDescent="0.3">
      <c r="A899" s="3" t="s">
        <v>7943</v>
      </c>
      <c r="B899" s="3" t="s">
        <v>2136</v>
      </c>
      <c r="C899" s="3" t="s">
        <v>33</v>
      </c>
      <c r="D899" s="3" t="s">
        <v>225</v>
      </c>
      <c r="E899" s="3" t="s">
        <v>39</v>
      </c>
      <c r="F899" s="3">
        <v>2</v>
      </c>
      <c r="G899" s="3">
        <v>23904.82</v>
      </c>
      <c r="H899" s="3">
        <v>11952.41</v>
      </c>
      <c r="I899" s="3" t="s">
        <v>5668</v>
      </c>
      <c r="J899" s="3">
        <v>244</v>
      </c>
      <c r="K899" s="3" t="s">
        <v>13</v>
      </c>
      <c r="L899" s="3" t="s">
        <v>23</v>
      </c>
      <c r="M899" s="3" t="s">
        <v>31</v>
      </c>
      <c r="N899" s="3" t="s">
        <v>17</v>
      </c>
    </row>
    <row r="900" spans="1:14" x14ac:dyDescent="0.3">
      <c r="A900" s="2" t="s">
        <v>5217</v>
      </c>
      <c r="B900" s="2" t="s">
        <v>4964</v>
      </c>
      <c r="C900" s="2" t="s">
        <v>42</v>
      </c>
      <c r="D900" s="2" t="s">
        <v>215</v>
      </c>
      <c r="E900" s="2" t="s">
        <v>14</v>
      </c>
      <c r="F900" s="2">
        <v>4</v>
      </c>
      <c r="G900" s="2">
        <v>151109.29</v>
      </c>
      <c r="H900" s="2">
        <v>37777.32</v>
      </c>
      <c r="I900" s="2" t="s">
        <v>426</v>
      </c>
      <c r="J900" s="2">
        <v>254</v>
      </c>
      <c r="K900" s="2" t="s">
        <v>27</v>
      </c>
      <c r="L900" s="2" t="s">
        <v>40</v>
      </c>
      <c r="M900" s="2" t="s">
        <v>16</v>
      </c>
      <c r="N900" s="2" t="s">
        <v>17</v>
      </c>
    </row>
    <row r="901" spans="1:14" x14ac:dyDescent="0.3">
      <c r="A901" s="3" t="s">
        <v>9633</v>
      </c>
      <c r="B901" s="3" t="s">
        <v>1273</v>
      </c>
      <c r="C901" s="3" t="s">
        <v>26</v>
      </c>
      <c r="D901" s="3" t="s">
        <v>712</v>
      </c>
      <c r="E901" s="3" t="s">
        <v>14</v>
      </c>
      <c r="F901" s="3">
        <v>22</v>
      </c>
      <c r="G901" s="3">
        <v>103453.99</v>
      </c>
      <c r="H901" s="3">
        <v>4702.45</v>
      </c>
      <c r="I901" s="3" t="s">
        <v>1330</v>
      </c>
      <c r="J901" s="3">
        <v>327</v>
      </c>
      <c r="K901" s="3" t="s">
        <v>19</v>
      </c>
      <c r="L901" s="3" t="s">
        <v>47</v>
      </c>
      <c r="M901" s="3" t="s">
        <v>16</v>
      </c>
      <c r="N901" s="3" t="s">
        <v>17</v>
      </c>
    </row>
    <row r="902" spans="1:14" x14ac:dyDescent="0.3">
      <c r="A902" s="2" t="s">
        <v>3546</v>
      </c>
      <c r="B902" s="2" t="s">
        <v>2110</v>
      </c>
      <c r="C902" s="2" t="s">
        <v>26</v>
      </c>
      <c r="D902" s="2" t="s">
        <v>215</v>
      </c>
      <c r="E902" s="2" t="s">
        <v>14</v>
      </c>
      <c r="F902" s="2">
        <v>11</v>
      </c>
      <c r="G902" s="2">
        <v>74320.649999999994</v>
      </c>
      <c r="H902" s="2">
        <v>6756.42</v>
      </c>
      <c r="I902" s="2" t="s">
        <v>3876</v>
      </c>
      <c r="J902" s="2">
        <v>269</v>
      </c>
      <c r="K902" s="2" t="s">
        <v>28</v>
      </c>
      <c r="L902" s="2" t="s">
        <v>30</v>
      </c>
      <c r="M902" s="2" t="s">
        <v>24</v>
      </c>
      <c r="N902" s="2" t="s">
        <v>17</v>
      </c>
    </row>
    <row r="903" spans="1:14" x14ac:dyDescent="0.3">
      <c r="A903" s="3" t="s">
        <v>9634</v>
      </c>
      <c r="B903" s="3" t="s">
        <v>4068</v>
      </c>
      <c r="C903" s="3" t="s">
        <v>33</v>
      </c>
      <c r="D903" s="3" t="s">
        <v>314</v>
      </c>
      <c r="E903" s="3" t="s">
        <v>39</v>
      </c>
      <c r="F903" s="3">
        <v>3</v>
      </c>
      <c r="G903" s="3">
        <v>172832</v>
      </c>
      <c r="H903" s="3">
        <v>57610.67</v>
      </c>
      <c r="I903" s="3" t="s">
        <v>2354</v>
      </c>
      <c r="J903" s="3">
        <v>328</v>
      </c>
      <c r="K903" s="3" t="s">
        <v>28</v>
      </c>
      <c r="L903" s="3" t="s">
        <v>40</v>
      </c>
      <c r="M903" s="3" t="s">
        <v>16</v>
      </c>
      <c r="N903" s="3" t="s">
        <v>17</v>
      </c>
    </row>
    <row r="904" spans="1:14" x14ac:dyDescent="0.3">
      <c r="A904" s="2" t="s">
        <v>1699</v>
      </c>
      <c r="B904" s="2" t="s">
        <v>1822</v>
      </c>
      <c r="C904" s="2" t="s">
        <v>18</v>
      </c>
      <c r="D904" s="2" t="s">
        <v>183</v>
      </c>
      <c r="E904" s="2" t="s">
        <v>14</v>
      </c>
      <c r="F904" s="2">
        <v>16</v>
      </c>
      <c r="G904" s="2">
        <v>183682.29</v>
      </c>
      <c r="H904" s="2">
        <v>11480.14</v>
      </c>
      <c r="I904" s="2" t="s">
        <v>1101</v>
      </c>
      <c r="J904" s="2">
        <v>29</v>
      </c>
      <c r="K904" s="2" t="s">
        <v>19</v>
      </c>
      <c r="L904" s="2" t="s">
        <v>43</v>
      </c>
      <c r="M904" s="2" t="s">
        <v>16</v>
      </c>
      <c r="N904" s="2" t="s">
        <v>25</v>
      </c>
    </row>
    <row r="905" spans="1:14" x14ac:dyDescent="0.3">
      <c r="A905" s="3" t="s">
        <v>9635</v>
      </c>
      <c r="B905" s="3" t="s">
        <v>1505</v>
      </c>
      <c r="C905" s="3" t="s">
        <v>18</v>
      </c>
      <c r="D905" s="3" t="s">
        <v>225</v>
      </c>
      <c r="E905" s="3" t="s">
        <v>39</v>
      </c>
      <c r="F905" s="3">
        <v>22</v>
      </c>
      <c r="G905" s="3">
        <v>155007.57</v>
      </c>
      <c r="H905" s="3">
        <v>7045.8</v>
      </c>
      <c r="I905" s="3" t="s">
        <v>4757</v>
      </c>
      <c r="J905" s="3">
        <v>51</v>
      </c>
      <c r="K905" s="3" t="s">
        <v>21</v>
      </c>
      <c r="L905" s="3" t="s">
        <v>48</v>
      </c>
      <c r="M905" s="3" t="s">
        <v>16</v>
      </c>
      <c r="N905" s="3" t="s">
        <v>25</v>
      </c>
    </row>
    <row r="906" spans="1:14" x14ac:dyDescent="0.3">
      <c r="A906" s="2" t="s">
        <v>4612</v>
      </c>
      <c r="B906" s="2" t="s">
        <v>3848</v>
      </c>
      <c r="C906" s="2" t="s">
        <v>26</v>
      </c>
      <c r="D906" s="2" t="s">
        <v>122</v>
      </c>
      <c r="E906" s="2" t="s">
        <v>22</v>
      </c>
      <c r="F906" s="2">
        <v>4</v>
      </c>
      <c r="G906" s="2">
        <v>114531.95</v>
      </c>
      <c r="H906" s="2">
        <v>28632.99</v>
      </c>
      <c r="I906" s="2" t="s">
        <v>5528</v>
      </c>
      <c r="J906" s="2">
        <v>352</v>
      </c>
      <c r="K906" s="2" t="s">
        <v>28</v>
      </c>
      <c r="L906" s="2" t="s">
        <v>30</v>
      </c>
      <c r="M906" s="2" t="s">
        <v>16</v>
      </c>
      <c r="N906" s="2" t="s">
        <v>17</v>
      </c>
    </row>
    <row r="907" spans="1:14" x14ac:dyDescent="0.3">
      <c r="A907" s="3" t="s">
        <v>2852</v>
      </c>
      <c r="B907" s="3" t="s">
        <v>1730</v>
      </c>
      <c r="C907" s="3" t="s">
        <v>18</v>
      </c>
      <c r="D907" s="3" t="s">
        <v>334</v>
      </c>
      <c r="E907" s="3" t="s">
        <v>29</v>
      </c>
      <c r="F907" s="3">
        <v>18</v>
      </c>
      <c r="G907" s="3">
        <v>31663.5</v>
      </c>
      <c r="H907" s="3">
        <v>1759.08</v>
      </c>
      <c r="I907" s="3" t="s">
        <v>2450</v>
      </c>
      <c r="J907" s="3">
        <v>361</v>
      </c>
      <c r="K907" s="3" t="s">
        <v>21</v>
      </c>
      <c r="L907" s="3" t="s">
        <v>15</v>
      </c>
      <c r="M907" s="3" t="s">
        <v>31</v>
      </c>
      <c r="N907" s="3" t="s">
        <v>17</v>
      </c>
    </row>
    <row r="908" spans="1:14" x14ac:dyDescent="0.3">
      <c r="A908" s="2" t="s">
        <v>9636</v>
      </c>
      <c r="B908" s="2" t="s">
        <v>1304</v>
      </c>
      <c r="C908" s="2" t="s">
        <v>42</v>
      </c>
      <c r="D908" s="2" t="s">
        <v>193</v>
      </c>
      <c r="E908" s="2" t="s">
        <v>39</v>
      </c>
      <c r="F908" s="2">
        <v>27</v>
      </c>
      <c r="G908" s="2">
        <v>110834.78</v>
      </c>
      <c r="H908" s="2">
        <v>4104.99</v>
      </c>
      <c r="I908" s="2" t="s">
        <v>1913</v>
      </c>
      <c r="J908" s="2">
        <v>345</v>
      </c>
      <c r="K908" s="2" t="s">
        <v>13</v>
      </c>
      <c r="L908" s="2" t="s">
        <v>30</v>
      </c>
      <c r="M908" s="2" t="s">
        <v>16</v>
      </c>
      <c r="N908" s="2" t="s">
        <v>17</v>
      </c>
    </row>
    <row r="909" spans="1:14" x14ac:dyDescent="0.3">
      <c r="A909" s="3" t="s">
        <v>9637</v>
      </c>
      <c r="B909" s="3" t="s">
        <v>3938</v>
      </c>
      <c r="C909" s="3" t="s">
        <v>26</v>
      </c>
      <c r="D909" s="3" t="s">
        <v>834</v>
      </c>
      <c r="E909" s="3" t="s">
        <v>29</v>
      </c>
      <c r="F909" s="3">
        <v>16</v>
      </c>
      <c r="G909" s="3">
        <v>126525.99</v>
      </c>
      <c r="H909" s="3">
        <v>7907.87</v>
      </c>
      <c r="I909" s="3" t="s">
        <v>5668</v>
      </c>
      <c r="J909" s="3">
        <v>244</v>
      </c>
      <c r="K909" s="3" t="s">
        <v>28</v>
      </c>
      <c r="L909" s="3" t="s">
        <v>23</v>
      </c>
      <c r="M909" s="3" t="s">
        <v>16</v>
      </c>
      <c r="N909" s="3" t="s">
        <v>17</v>
      </c>
    </row>
    <row r="910" spans="1:14" x14ac:dyDescent="0.3">
      <c r="A910" s="2" t="s">
        <v>9638</v>
      </c>
      <c r="B910" s="2" t="s">
        <v>3403</v>
      </c>
      <c r="C910" s="2" t="s">
        <v>26</v>
      </c>
      <c r="D910" s="2" t="s">
        <v>122</v>
      </c>
      <c r="E910" s="2" t="s">
        <v>22</v>
      </c>
      <c r="F910" s="2">
        <v>7</v>
      </c>
      <c r="G910" s="2">
        <v>150953.57999999999</v>
      </c>
      <c r="H910" s="2">
        <v>21564.799999999999</v>
      </c>
      <c r="I910" s="2" t="s">
        <v>1608</v>
      </c>
      <c r="J910" s="2">
        <v>152</v>
      </c>
      <c r="K910" s="2" t="s">
        <v>28</v>
      </c>
      <c r="L910" s="2" t="s">
        <v>47</v>
      </c>
      <c r="M910" s="2" t="s">
        <v>16</v>
      </c>
      <c r="N910" s="2" t="s">
        <v>32</v>
      </c>
    </row>
    <row r="911" spans="1:14" x14ac:dyDescent="0.3">
      <c r="A911" s="3" t="s">
        <v>869</v>
      </c>
      <c r="B911" s="3" t="s">
        <v>1097</v>
      </c>
      <c r="C911" s="3" t="s">
        <v>26</v>
      </c>
      <c r="D911" s="3" t="s">
        <v>109</v>
      </c>
      <c r="E911" s="3" t="s">
        <v>39</v>
      </c>
      <c r="F911" s="3">
        <v>5</v>
      </c>
      <c r="G911" s="3">
        <v>31228.32</v>
      </c>
      <c r="H911" s="3">
        <v>6245.66</v>
      </c>
      <c r="I911" s="3" t="s">
        <v>718</v>
      </c>
      <c r="J911" s="3">
        <v>136</v>
      </c>
      <c r="K911" s="3" t="s">
        <v>21</v>
      </c>
      <c r="L911" s="3" t="s">
        <v>47</v>
      </c>
      <c r="M911" s="3" t="s">
        <v>31</v>
      </c>
      <c r="N911" s="3" t="s">
        <v>32</v>
      </c>
    </row>
    <row r="912" spans="1:14" x14ac:dyDescent="0.3">
      <c r="A912" s="2" t="s">
        <v>9639</v>
      </c>
      <c r="B912" s="2" t="s">
        <v>1822</v>
      </c>
      <c r="C912" s="2" t="s">
        <v>18</v>
      </c>
      <c r="D912" s="2" t="s">
        <v>160</v>
      </c>
      <c r="E912" s="2" t="s">
        <v>29</v>
      </c>
      <c r="F912" s="2">
        <v>15</v>
      </c>
      <c r="G912" s="2">
        <v>187610.28</v>
      </c>
      <c r="H912" s="2">
        <v>12507.35</v>
      </c>
      <c r="I912" s="2" t="s">
        <v>2831</v>
      </c>
      <c r="J912" s="2">
        <v>337</v>
      </c>
      <c r="K912" s="2" t="s">
        <v>21</v>
      </c>
      <c r="L912" s="2" t="s">
        <v>43</v>
      </c>
      <c r="M912" s="2" t="s">
        <v>16</v>
      </c>
      <c r="N912" s="2" t="s">
        <v>17</v>
      </c>
    </row>
    <row r="913" spans="1:14" x14ac:dyDescent="0.3">
      <c r="A913" s="3" t="s">
        <v>6718</v>
      </c>
      <c r="B913" s="3" t="s">
        <v>1253</v>
      </c>
      <c r="C913" s="3" t="s">
        <v>18</v>
      </c>
      <c r="D913" s="3" t="s">
        <v>427</v>
      </c>
      <c r="E913" s="3" t="s">
        <v>29</v>
      </c>
      <c r="F913" s="3">
        <v>12</v>
      </c>
      <c r="G913" s="3">
        <v>141477.13</v>
      </c>
      <c r="H913" s="3">
        <v>11789.76</v>
      </c>
      <c r="I913" s="3" t="s">
        <v>3919</v>
      </c>
      <c r="J913" s="3">
        <v>320</v>
      </c>
      <c r="K913" s="3" t="s">
        <v>19</v>
      </c>
      <c r="L913" s="3" t="s">
        <v>43</v>
      </c>
      <c r="M913" s="3" t="s">
        <v>16</v>
      </c>
      <c r="N913" s="3" t="s">
        <v>17</v>
      </c>
    </row>
    <row r="914" spans="1:14" x14ac:dyDescent="0.3">
      <c r="A914" s="2" t="s">
        <v>9640</v>
      </c>
      <c r="B914" s="2" t="s">
        <v>2779</v>
      </c>
      <c r="C914" s="2" t="s">
        <v>26</v>
      </c>
      <c r="D914" s="2" t="s">
        <v>334</v>
      </c>
      <c r="E914" s="2" t="s">
        <v>29</v>
      </c>
      <c r="F914" s="2">
        <v>17</v>
      </c>
      <c r="G914" s="2">
        <v>50117.58</v>
      </c>
      <c r="H914" s="2">
        <v>2948.09</v>
      </c>
      <c r="I914" s="2" t="s">
        <v>516</v>
      </c>
      <c r="J914" s="2">
        <v>48</v>
      </c>
      <c r="K914" s="2" t="s">
        <v>13</v>
      </c>
      <c r="L914" s="2" t="s">
        <v>47</v>
      </c>
      <c r="M914" s="2" t="s">
        <v>24</v>
      </c>
      <c r="N914" s="2" t="s">
        <v>25</v>
      </c>
    </row>
    <row r="915" spans="1:14" x14ac:dyDescent="0.3">
      <c r="A915" s="3" t="s">
        <v>4015</v>
      </c>
      <c r="B915" s="3" t="s">
        <v>847</v>
      </c>
      <c r="C915" s="3" t="s">
        <v>18</v>
      </c>
      <c r="D915" s="3" t="s">
        <v>160</v>
      </c>
      <c r="E915" s="3" t="s">
        <v>29</v>
      </c>
      <c r="F915" s="3">
        <v>28</v>
      </c>
      <c r="G915" s="3">
        <v>50641.43</v>
      </c>
      <c r="H915" s="3">
        <v>1808.62</v>
      </c>
      <c r="I915" s="3" t="s">
        <v>3675</v>
      </c>
      <c r="J915" s="3">
        <v>237</v>
      </c>
      <c r="K915" s="3" t="s">
        <v>21</v>
      </c>
      <c r="L915" s="3" t="s">
        <v>40</v>
      </c>
      <c r="M915" s="3" t="s">
        <v>24</v>
      </c>
      <c r="N915" s="3" t="s">
        <v>17</v>
      </c>
    </row>
    <row r="916" spans="1:14" x14ac:dyDescent="0.3">
      <c r="A916" s="2" t="s">
        <v>9641</v>
      </c>
      <c r="B916" s="2" t="s">
        <v>1981</v>
      </c>
      <c r="C916" s="2" t="s">
        <v>42</v>
      </c>
      <c r="D916" s="2" t="s">
        <v>95</v>
      </c>
      <c r="E916" s="2" t="s">
        <v>14</v>
      </c>
      <c r="F916" s="2">
        <v>12</v>
      </c>
      <c r="G916" s="2">
        <v>123611.73</v>
      </c>
      <c r="H916" s="2">
        <v>10300.98</v>
      </c>
      <c r="I916" s="2" t="s">
        <v>4132</v>
      </c>
      <c r="J916" s="2">
        <v>222</v>
      </c>
      <c r="K916" s="2" t="s">
        <v>19</v>
      </c>
      <c r="L916" s="2" t="s">
        <v>15</v>
      </c>
      <c r="M916" s="2" t="s">
        <v>16</v>
      </c>
      <c r="N916" s="2" t="s">
        <v>17</v>
      </c>
    </row>
    <row r="917" spans="1:14" x14ac:dyDescent="0.3">
      <c r="A917" s="3" t="s">
        <v>9642</v>
      </c>
      <c r="B917" s="3" t="s">
        <v>210</v>
      </c>
      <c r="C917" s="3" t="s">
        <v>42</v>
      </c>
      <c r="D917" s="3" t="s">
        <v>427</v>
      </c>
      <c r="E917" s="3" t="s">
        <v>29</v>
      </c>
      <c r="F917" s="3">
        <v>13</v>
      </c>
      <c r="G917" s="3">
        <v>95399.46</v>
      </c>
      <c r="H917" s="3">
        <v>7338.42</v>
      </c>
      <c r="I917" s="3" t="s">
        <v>282</v>
      </c>
      <c r="J917" s="3">
        <v>346</v>
      </c>
      <c r="K917" s="3" t="s">
        <v>19</v>
      </c>
      <c r="L917" s="3" t="s">
        <v>43</v>
      </c>
      <c r="M917" s="3" t="s">
        <v>24</v>
      </c>
      <c r="N917" s="3" t="s">
        <v>17</v>
      </c>
    </row>
    <row r="918" spans="1:14" x14ac:dyDescent="0.3">
      <c r="A918" s="2" t="s">
        <v>9643</v>
      </c>
      <c r="B918" s="2" t="s">
        <v>2325</v>
      </c>
      <c r="C918" s="2" t="s">
        <v>33</v>
      </c>
      <c r="D918" s="2" t="s">
        <v>122</v>
      </c>
      <c r="E918" s="2" t="s">
        <v>22</v>
      </c>
      <c r="F918" s="2">
        <v>22</v>
      </c>
      <c r="G918" s="2">
        <v>116216.56</v>
      </c>
      <c r="H918" s="2">
        <v>5282.57</v>
      </c>
      <c r="I918" s="2" t="s">
        <v>2408</v>
      </c>
      <c r="J918" s="2">
        <v>158</v>
      </c>
      <c r="K918" s="2" t="s">
        <v>19</v>
      </c>
      <c r="L918" s="2" t="s">
        <v>40</v>
      </c>
      <c r="M918" s="2" t="s">
        <v>16</v>
      </c>
      <c r="N918" s="2" t="s">
        <v>32</v>
      </c>
    </row>
    <row r="919" spans="1:14" x14ac:dyDescent="0.3">
      <c r="A919" s="3" t="s">
        <v>9644</v>
      </c>
      <c r="B919" s="3" t="s">
        <v>450</v>
      </c>
      <c r="C919" s="3" t="s">
        <v>18</v>
      </c>
      <c r="D919" s="3" t="s">
        <v>171</v>
      </c>
      <c r="E919" s="3" t="s">
        <v>14</v>
      </c>
      <c r="F919" s="3">
        <v>18</v>
      </c>
      <c r="G919" s="3">
        <v>126585.41</v>
      </c>
      <c r="H919" s="3">
        <v>7032.52</v>
      </c>
      <c r="I919" s="3" t="s">
        <v>2238</v>
      </c>
      <c r="J919" s="3">
        <v>112</v>
      </c>
      <c r="K919" s="3" t="s">
        <v>21</v>
      </c>
      <c r="L919" s="3" t="s">
        <v>48</v>
      </c>
      <c r="M919" s="3" t="s">
        <v>16</v>
      </c>
      <c r="N919" s="3" t="s">
        <v>32</v>
      </c>
    </row>
    <row r="920" spans="1:14" x14ac:dyDescent="0.3">
      <c r="A920" s="2" t="s">
        <v>9645</v>
      </c>
      <c r="B920" s="2" t="s">
        <v>1866</v>
      </c>
      <c r="C920" s="2" t="s">
        <v>42</v>
      </c>
      <c r="D920" s="2" t="s">
        <v>225</v>
      </c>
      <c r="E920" s="2" t="s">
        <v>39</v>
      </c>
      <c r="F920" s="2">
        <v>24</v>
      </c>
      <c r="G920" s="2">
        <v>99304.07</v>
      </c>
      <c r="H920" s="2">
        <v>4137.67</v>
      </c>
      <c r="I920" s="2" t="s">
        <v>2518</v>
      </c>
      <c r="J920" s="2">
        <v>57</v>
      </c>
      <c r="K920" s="2" t="s">
        <v>28</v>
      </c>
      <c r="L920" s="2" t="s">
        <v>47</v>
      </c>
      <c r="M920" s="2" t="s">
        <v>24</v>
      </c>
      <c r="N920" s="2" t="s">
        <v>25</v>
      </c>
    </row>
    <row r="921" spans="1:14" x14ac:dyDescent="0.3">
      <c r="A921" s="3" t="s">
        <v>9646</v>
      </c>
      <c r="B921" s="3" t="s">
        <v>339</v>
      </c>
      <c r="C921" s="3" t="s">
        <v>33</v>
      </c>
      <c r="D921" s="3" t="s">
        <v>283</v>
      </c>
      <c r="E921" s="3" t="s">
        <v>22</v>
      </c>
      <c r="F921" s="3">
        <v>14</v>
      </c>
      <c r="G921" s="3">
        <v>56578.93</v>
      </c>
      <c r="H921" s="3">
        <v>4041.35</v>
      </c>
      <c r="I921" s="3" t="s">
        <v>635</v>
      </c>
      <c r="J921" s="3">
        <v>341</v>
      </c>
      <c r="K921" s="3" t="s">
        <v>28</v>
      </c>
      <c r="L921" s="3" t="s">
        <v>23</v>
      </c>
      <c r="M921" s="3" t="s">
        <v>24</v>
      </c>
      <c r="N921" s="3" t="s">
        <v>17</v>
      </c>
    </row>
    <row r="922" spans="1:14" x14ac:dyDescent="0.3">
      <c r="A922" s="2" t="s">
        <v>9647</v>
      </c>
      <c r="B922" s="2" t="s">
        <v>2298</v>
      </c>
      <c r="C922" s="2" t="s">
        <v>42</v>
      </c>
      <c r="D922" s="2" t="s">
        <v>314</v>
      </c>
      <c r="E922" s="2" t="s">
        <v>39</v>
      </c>
      <c r="F922" s="2">
        <v>11</v>
      </c>
      <c r="G922" s="2">
        <v>38866.07</v>
      </c>
      <c r="H922" s="2">
        <v>3533.28</v>
      </c>
      <c r="I922" s="2" t="s">
        <v>3740</v>
      </c>
      <c r="J922" s="2">
        <v>164</v>
      </c>
      <c r="K922" s="2" t="s">
        <v>19</v>
      </c>
      <c r="L922" s="2" t="s">
        <v>48</v>
      </c>
      <c r="M922" s="2" t="s">
        <v>31</v>
      </c>
      <c r="N922" s="2" t="s">
        <v>32</v>
      </c>
    </row>
    <row r="923" spans="1:14" x14ac:dyDescent="0.3">
      <c r="A923" s="3" t="s">
        <v>9648</v>
      </c>
      <c r="B923" s="3" t="s">
        <v>2141</v>
      </c>
      <c r="C923" s="3" t="s">
        <v>26</v>
      </c>
      <c r="D923" s="3" t="s">
        <v>148</v>
      </c>
      <c r="E923" s="3" t="s">
        <v>29</v>
      </c>
      <c r="F923" s="3">
        <v>15</v>
      </c>
      <c r="G923" s="3">
        <v>26291.33</v>
      </c>
      <c r="H923" s="3">
        <v>1752.76</v>
      </c>
      <c r="I923" s="3" t="s">
        <v>1118</v>
      </c>
      <c r="J923" s="3">
        <v>185</v>
      </c>
      <c r="K923" s="3" t="s">
        <v>21</v>
      </c>
      <c r="L923" s="3" t="s">
        <v>40</v>
      </c>
      <c r="M923" s="3" t="s">
        <v>31</v>
      </c>
      <c r="N923" s="3" t="s">
        <v>17</v>
      </c>
    </row>
    <row r="924" spans="1:14" x14ac:dyDescent="0.3">
      <c r="A924" s="2" t="s">
        <v>7128</v>
      </c>
      <c r="B924" s="2" t="s">
        <v>4332</v>
      </c>
      <c r="C924" s="2" t="s">
        <v>26</v>
      </c>
      <c r="D924" s="2" t="s">
        <v>148</v>
      </c>
      <c r="E924" s="2" t="s">
        <v>29</v>
      </c>
      <c r="F924" s="2">
        <v>4</v>
      </c>
      <c r="G924" s="2">
        <v>172155.9</v>
      </c>
      <c r="H924" s="2">
        <v>43038.97</v>
      </c>
      <c r="I924" s="2" t="s">
        <v>3877</v>
      </c>
      <c r="J924" s="2">
        <v>265</v>
      </c>
      <c r="K924" s="2" t="s">
        <v>19</v>
      </c>
      <c r="L924" s="2" t="s">
        <v>15</v>
      </c>
      <c r="M924" s="2" t="s">
        <v>16</v>
      </c>
      <c r="N924" s="2" t="s">
        <v>17</v>
      </c>
    </row>
    <row r="925" spans="1:14" x14ac:dyDescent="0.3">
      <c r="A925" s="3" t="s">
        <v>9649</v>
      </c>
      <c r="B925" s="3" t="s">
        <v>2572</v>
      </c>
      <c r="C925" s="3" t="s">
        <v>42</v>
      </c>
      <c r="D925" s="3" t="s">
        <v>254</v>
      </c>
      <c r="E925" s="3" t="s">
        <v>22</v>
      </c>
      <c r="F925" s="3">
        <v>19</v>
      </c>
      <c r="G925" s="3">
        <v>31887.4</v>
      </c>
      <c r="H925" s="3">
        <v>1678.28</v>
      </c>
      <c r="I925" s="3" t="s">
        <v>2462</v>
      </c>
      <c r="J925" s="3">
        <v>117</v>
      </c>
      <c r="K925" s="3" t="s">
        <v>19</v>
      </c>
      <c r="L925" s="3" t="s">
        <v>23</v>
      </c>
      <c r="M925" s="3" t="s">
        <v>31</v>
      </c>
      <c r="N925" s="3" t="s">
        <v>32</v>
      </c>
    </row>
    <row r="926" spans="1:14" x14ac:dyDescent="0.3">
      <c r="A926" s="2" t="s">
        <v>9650</v>
      </c>
      <c r="B926" s="2" t="s">
        <v>791</v>
      </c>
      <c r="C926" s="2" t="s">
        <v>42</v>
      </c>
      <c r="D926" s="2" t="s">
        <v>834</v>
      </c>
      <c r="E926" s="2" t="s">
        <v>29</v>
      </c>
      <c r="F926" s="2">
        <v>9</v>
      </c>
      <c r="G926" s="2">
        <v>60608.06</v>
      </c>
      <c r="H926" s="2">
        <v>6734.23</v>
      </c>
      <c r="I926" s="2" t="s">
        <v>1100</v>
      </c>
      <c r="J926" s="2">
        <v>34</v>
      </c>
      <c r="K926" s="2" t="s">
        <v>19</v>
      </c>
      <c r="L926" s="2" t="s">
        <v>40</v>
      </c>
      <c r="M926" s="2" t="s">
        <v>24</v>
      </c>
      <c r="N926" s="2" t="s">
        <v>25</v>
      </c>
    </row>
    <row r="927" spans="1:14" x14ac:dyDescent="0.3">
      <c r="A927" s="3" t="s">
        <v>9651</v>
      </c>
      <c r="B927" s="3" t="s">
        <v>1177</v>
      </c>
      <c r="C927" s="3" t="s">
        <v>42</v>
      </c>
      <c r="D927" s="3" t="s">
        <v>160</v>
      </c>
      <c r="E927" s="3" t="s">
        <v>29</v>
      </c>
      <c r="F927" s="3">
        <v>14</v>
      </c>
      <c r="G927" s="3">
        <v>113259.68</v>
      </c>
      <c r="H927" s="3">
        <v>8089.98</v>
      </c>
      <c r="I927" s="3" t="s">
        <v>514</v>
      </c>
      <c r="J927" s="3">
        <v>59</v>
      </c>
      <c r="K927" s="3" t="s">
        <v>28</v>
      </c>
      <c r="L927" s="3" t="s">
        <v>47</v>
      </c>
      <c r="M927" s="3" t="s">
        <v>16</v>
      </c>
      <c r="N927" s="3" t="s">
        <v>25</v>
      </c>
    </row>
    <row r="928" spans="1:14" x14ac:dyDescent="0.3">
      <c r="A928" s="2" t="s">
        <v>9652</v>
      </c>
      <c r="B928" s="2" t="s">
        <v>759</v>
      </c>
      <c r="C928" s="2" t="s">
        <v>33</v>
      </c>
      <c r="D928" s="2" t="s">
        <v>334</v>
      </c>
      <c r="E928" s="2" t="s">
        <v>29</v>
      </c>
      <c r="F928" s="2">
        <v>6</v>
      </c>
      <c r="G928" s="2">
        <v>161148.5</v>
      </c>
      <c r="H928" s="2">
        <v>26858.080000000002</v>
      </c>
      <c r="I928" s="2" t="s">
        <v>1895</v>
      </c>
      <c r="J928" s="2">
        <v>319</v>
      </c>
      <c r="K928" s="2" t="s">
        <v>13</v>
      </c>
      <c r="L928" s="2" t="s">
        <v>15</v>
      </c>
      <c r="M928" s="2" t="s">
        <v>16</v>
      </c>
      <c r="N928" s="2" t="s">
        <v>17</v>
      </c>
    </row>
    <row r="929" spans="1:14" x14ac:dyDescent="0.3">
      <c r="A929" s="3" t="s">
        <v>9653</v>
      </c>
      <c r="B929" s="3" t="s">
        <v>3938</v>
      </c>
      <c r="C929" s="3" t="s">
        <v>18</v>
      </c>
      <c r="D929" s="3" t="s">
        <v>193</v>
      </c>
      <c r="E929" s="3" t="s">
        <v>39</v>
      </c>
      <c r="F929" s="3">
        <v>9</v>
      </c>
      <c r="G929" s="3">
        <v>107116.9</v>
      </c>
      <c r="H929" s="3">
        <v>11901.88</v>
      </c>
      <c r="I929" s="3" t="s">
        <v>886</v>
      </c>
      <c r="J929" s="3">
        <v>207</v>
      </c>
      <c r="K929" s="3" t="s">
        <v>27</v>
      </c>
      <c r="L929" s="3" t="s">
        <v>47</v>
      </c>
      <c r="M929" s="3" t="s">
        <v>16</v>
      </c>
      <c r="N929" s="3" t="s">
        <v>17</v>
      </c>
    </row>
    <row r="930" spans="1:14" x14ac:dyDescent="0.3">
      <c r="A930" s="2" t="s">
        <v>9654</v>
      </c>
      <c r="B930" s="2" t="s">
        <v>855</v>
      </c>
      <c r="C930" s="2" t="s">
        <v>42</v>
      </c>
      <c r="D930" s="2" t="s">
        <v>193</v>
      </c>
      <c r="E930" s="2" t="s">
        <v>39</v>
      </c>
      <c r="F930" s="2">
        <v>22</v>
      </c>
      <c r="G930" s="2">
        <v>57730.8</v>
      </c>
      <c r="H930" s="2">
        <v>2624.13</v>
      </c>
      <c r="I930" s="2" t="s">
        <v>2328</v>
      </c>
      <c r="J930" s="2">
        <v>105</v>
      </c>
      <c r="K930" s="2" t="s">
        <v>13</v>
      </c>
      <c r="L930" s="2" t="s">
        <v>43</v>
      </c>
      <c r="M930" s="2" t="s">
        <v>24</v>
      </c>
      <c r="N930" s="2" t="s">
        <v>32</v>
      </c>
    </row>
    <row r="931" spans="1:14" x14ac:dyDescent="0.3">
      <c r="A931" s="3" t="s">
        <v>9655</v>
      </c>
      <c r="B931" s="3" t="s">
        <v>863</v>
      </c>
      <c r="C931" s="3" t="s">
        <v>18</v>
      </c>
      <c r="D931" s="3" t="s">
        <v>334</v>
      </c>
      <c r="E931" s="3" t="s">
        <v>29</v>
      </c>
      <c r="F931" s="3">
        <v>20</v>
      </c>
      <c r="G931" s="3">
        <v>158418.78</v>
      </c>
      <c r="H931" s="3">
        <v>7920.94</v>
      </c>
      <c r="I931" s="3" t="s">
        <v>264</v>
      </c>
      <c r="J931" s="3">
        <v>109</v>
      </c>
      <c r="K931" s="3" t="s">
        <v>28</v>
      </c>
      <c r="L931" s="3" t="s">
        <v>48</v>
      </c>
      <c r="M931" s="3" t="s">
        <v>16</v>
      </c>
      <c r="N931" s="3" t="s">
        <v>32</v>
      </c>
    </row>
    <row r="932" spans="1:14" x14ac:dyDescent="0.3">
      <c r="A932" s="2" t="s">
        <v>9656</v>
      </c>
      <c r="B932" s="2" t="s">
        <v>495</v>
      </c>
      <c r="C932" s="2" t="s">
        <v>26</v>
      </c>
      <c r="D932" s="2" t="s">
        <v>171</v>
      </c>
      <c r="E932" s="2" t="s">
        <v>14</v>
      </c>
      <c r="F932" s="2">
        <v>22</v>
      </c>
      <c r="G932" s="2">
        <v>76190.53</v>
      </c>
      <c r="H932" s="2">
        <v>3463.21</v>
      </c>
      <c r="I932" s="2" t="s">
        <v>710</v>
      </c>
      <c r="J932" s="2">
        <v>216</v>
      </c>
      <c r="K932" s="2" t="s">
        <v>19</v>
      </c>
      <c r="L932" s="2" t="s">
        <v>43</v>
      </c>
      <c r="M932" s="2" t="s">
        <v>24</v>
      </c>
      <c r="N932" s="2" t="s">
        <v>17</v>
      </c>
    </row>
    <row r="933" spans="1:14" x14ac:dyDescent="0.3">
      <c r="A933" s="3" t="s">
        <v>9657</v>
      </c>
      <c r="B933" s="3" t="s">
        <v>200</v>
      </c>
      <c r="C933" s="3" t="s">
        <v>33</v>
      </c>
      <c r="D933" s="3" t="s">
        <v>324</v>
      </c>
      <c r="E933" s="3" t="s">
        <v>39</v>
      </c>
      <c r="F933" s="3">
        <v>14</v>
      </c>
      <c r="G933" s="3">
        <v>191264.25</v>
      </c>
      <c r="H933" s="3">
        <v>13661.73</v>
      </c>
      <c r="I933" s="3" t="s">
        <v>4132</v>
      </c>
      <c r="J933" s="3">
        <v>222</v>
      </c>
      <c r="K933" s="3" t="s">
        <v>28</v>
      </c>
      <c r="L933" s="3" t="s">
        <v>30</v>
      </c>
      <c r="M933" s="3" t="s">
        <v>16</v>
      </c>
      <c r="N933" s="3" t="s">
        <v>17</v>
      </c>
    </row>
    <row r="934" spans="1:14" x14ac:dyDescent="0.3">
      <c r="A934" s="2" t="s">
        <v>9658</v>
      </c>
      <c r="B934" s="2" t="s">
        <v>1918</v>
      </c>
      <c r="C934" s="2" t="s">
        <v>26</v>
      </c>
      <c r="D934" s="2" t="s">
        <v>738</v>
      </c>
      <c r="E934" s="2" t="s">
        <v>22</v>
      </c>
      <c r="F934" s="2">
        <v>25</v>
      </c>
      <c r="G934" s="2">
        <v>150998.38</v>
      </c>
      <c r="H934" s="2">
        <v>6039.94</v>
      </c>
      <c r="I934" s="2" t="s">
        <v>5141</v>
      </c>
      <c r="J934" s="2">
        <v>179</v>
      </c>
      <c r="K934" s="2" t="s">
        <v>19</v>
      </c>
      <c r="L934" s="2" t="s">
        <v>15</v>
      </c>
      <c r="M934" s="2" t="s">
        <v>16</v>
      </c>
      <c r="N934" s="2" t="s">
        <v>32</v>
      </c>
    </row>
    <row r="935" spans="1:14" x14ac:dyDescent="0.3">
      <c r="A935" s="3" t="s">
        <v>9659</v>
      </c>
      <c r="B935" s="3" t="s">
        <v>716</v>
      </c>
      <c r="C935" s="3" t="s">
        <v>18</v>
      </c>
      <c r="D935" s="3" t="s">
        <v>109</v>
      </c>
      <c r="E935" s="3" t="s">
        <v>39</v>
      </c>
      <c r="F935" s="3">
        <v>24</v>
      </c>
      <c r="G935" s="3">
        <v>197872.97</v>
      </c>
      <c r="H935" s="3">
        <v>8244.7099999999991</v>
      </c>
      <c r="I935" s="3" t="s">
        <v>999</v>
      </c>
      <c r="J935" s="3">
        <v>49</v>
      </c>
      <c r="K935" s="3" t="s">
        <v>13</v>
      </c>
      <c r="L935" s="3" t="s">
        <v>23</v>
      </c>
      <c r="M935" s="3" t="s">
        <v>16</v>
      </c>
      <c r="N935" s="3" t="s">
        <v>25</v>
      </c>
    </row>
    <row r="936" spans="1:14" x14ac:dyDescent="0.3">
      <c r="A936" s="2" t="s">
        <v>6235</v>
      </c>
      <c r="B936" s="2" t="s">
        <v>1700</v>
      </c>
      <c r="C936" s="2" t="s">
        <v>18</v>
      </c>
      <c r="D936" s="2" t="s">
        <v>109</v>
      </c>
      <c r="E936" s="2" t="s">
        <v>39</v>
      </c>
      <c r="F936" s="2">
        <v>29</v>
      </c>
      <c r="G936" s="2">
        <v>83582.25</v>
      </c>
      <c r="H936" s="2">
        <v>2882.15</v>
      </c>
      <c r="I936" s="2" t="s">
        <v>3561</v>
      </c>
      <c r="J936" s="2">
        <v>131</v>
      </c>
      <c r="K936" s="2" t="s">
        <v>28</v>
      </c>
      <c r="L936" s="2" t="s">
        <v>47</v>
      </c>
      <c r="M936" s="2" t="s">
        <v>24</v>
      </c>
      <c r="N936" s="2" t="s">
        <v>32</v>
      </c>
    </row>
    <row r="937" spans="1:14" x14ac:dyDescent="0.3">
      <c r="A937" s="3" t="s">
        <v>9660</v>
      </c>
      <c r="B937" s="3" t="s">
        <v>1464</v>
      </c>
      <c r="C937" s="3" t="s">
        <v>33</v>
      </c>
      <c r="D937" s="3" t="s">
        <v>324</v>
      </c>
      <c r="E937" s="3" t="s">
        <v>39</v>
      </c>
      <c r="F937" s="3">
        <v>4</v>
      </c>
      <c r="G937" s="3">
        <v>61271.18</v>
      </c>
      <c r="H937" s="3">
        <v>15317.8</v>
      </c>
      <c r="I937" s="3" t="s">
        <v>1895</v>
      </c>
      <c r="J937" s="3">
        <v>319</v>
      </c>
      <c r="K937" s="3" t="s">
        <v>27</v>
      </c>
      <c r="L937" s="3" t="s">
        <v>40</v>
      </c>
      <c r="M937" s="3" t="s">
        <v>24</v>
      </c>
      <c r="N937" s="3" t="s">
        <v>17</v>
      </c>
    </row>
    <row r="938" spans="1:14" x14ac:dyDescent="0.3">
      <c r="A938" s="2" t="s">
        <v>9661</v>
      </c>
      <c r="B938" s="2" t="s">
        <v>221</v>
      </c>
      <c r="C938" s="2" t="s">
        <v>18</v>
      </c>
      <c r="D938" s="2" t="s">
        <v>712</v>
      </c>
      <c r="E938" s="2" t="s">
        <v>14</v>
      </c>
      <c r="F938" s="2">
        <v>2</v>
      </c>
      <c r="G938" s="2">
        <v>65198.95</v>
      </c>
      <c r="H938" s="2">
        <v>32599.47</v>
      </c>
      <c r="I938" s="2" t="s">
        <v>2542</v>
      </c>
      <c r="J938" s="2">
        <v>357</v>
      </c>
      <c r="K938" s="2" t="s">
        <v>27</v>
      </c>
      <c r="L938" s="2" t="s">
        <v>30</v>
      </c>
      <c r="M938" s="2" t="s">
        <v>24</v>
      </c>
      <c r="N938" s="2" t="s">
        <v>17</v>
      </c>
    </row>
    <row r="939" spans="1:14" x14ac:dyDescent="0.3">
      <c r="A939" s="3" t="s">
        <v>9662</v>
      </c>
      <c r="B939" s="3" t="s">
        <v>1011</v>
      </c>
      <c r="C939" s="3" t="s">
        <v>33</v>
      </c>
      <c r="D939" s="3" t="s">
        <v>712</v>
      </c>
      <c r="E939" s="3" t="s">
        <v>14</v>
      </c>
      <c r="F939" s="3">
        <v>29</v>
      </c>
      <c r="G939" s="3">
        <v>28333.61</v>
      </c>
      <c r="H939" s="3">
        <v>977.02</v>
      </c>
      <c r="I939" s="3" t="s">
        <v>1694</v>
      </c>
      <c r="J939" s="3">
        <v>354</v>
      </c>
      <c r="K939" s="3" t="s">
        <v>21</v>
      </c>
      <c r="L939" s="3" t="s">
        <v>40</v>
      </c>
      <c r="M939" s="3" t="s">
        <v>31</v>
      </c>
      <c r="N939" s="3" t="s">
        <v>17</v>
      </c>
    </row>
    <row r="940" spans="1:14" x14ac:dyDescent="0.3">
      <c r="A940" s="2" t="s">
        <v>9663</v>
      </c>
      <c r="B940" s="2" t="s">
        <v>178</v>
      </c>
      <c r="C940" s="2" t="s">
        <v>42</v>
      </c>
      <c r="D940" s="2" t="s">
        <v>738</v>
      </c>
      <c r="E940" s="2" t="s">
        <v>22</v>
      </c>
      <c r="F940" s="2">
        <v>7</v>
      </c>
      <c r="G940" s="2">
        <v>75844.960000000006</v>
      </c>
      <c r="H940" s="2">
        <v>10834.99</v>
      </c>
      <c r="I940" s="2" t="s">
        <v>3802</v>
      </c>
      <c r="J940" s="2">
        <v>145</v>
      </c>
      <c r="K940" s="2" t="s">
        <v>19</v>
      </c>
      <c r="L940" s="2" t="s">
        <v>15</v>
      </c>
      <c r="M940" s="2" t="s">
        <v>24</v>
      </c>
      <c r="N940" s="2" t="s">
        <v>32</v>
      </c>
    </row>
    <row r="941" spans="1:14" x14ac:dyDescent="0.3">
      <c r="A941" s="3" t="s">
        <v>9664</v>
      </c>
      <c r="B941" s="3" t="s">
        <v>487</v>
      </c>
      <c r="C941" s="3" t="s">
        <v>26</v>
      </c>
      <c r="D941" s="3" t="s">
        <v>193</v>
      </c>
      <c r="E941" s="3" t="s">
        <v>39</v>
      </c>
      <c r="F941" s="3">
        <v>2</v>
      </c>
      <c r="G941" s="3">
        <v>72812.289999999994</v>
      </c>
      <c r="H941" s="3">
        <v>36406.14</v>
      </c>
      <c r="I941" s="3" t="s">
        <v>2248</v>
      </c>
      <c r="J941" s="3">
        <v>258</v>
      </c>
      <c r="K941" s="3" t="s">
        <v>13</v>
      </c>
      <c r="L941" s="3" t="s">
        <v>47</v>
      </c>
      <c r="M941" s="3" t="s">
        <v>24</v>
      </c>
      <c r="N941" s="3" t="s">
        <v>17</v>
      </c>
    </row>
    <row r="942" spans="1:14" x14ac:dyDescent="0.3">
      <c r="A942" s="2" t="s">
        <v>9665</v>
      </c>
      <c r="B942" s="2" t="s">
        <v>707</v>
      </c>
      <c r="C942" s="2" t="s">
        <v>18</v>
      </c>
      <c r="D942" s="2" t="s">
        <v>183</v>
      </c>
      <c r="E942" s="2" t="s">
        <v>14</v>
      </c>
      <c r="F942" s="2">
        <v>17</v>
      </c>
      <c r="G942" s="2">
        <v>184128.3</v>
      </c>
      <c r="H942" s="2">
        <v>10831.08</v>
      </c>
      <c r="I942" s="2" t="s">
        <v>435</v>
      </c>
      <c r="J942" s="2">
        <v>66</v>
      </c>
      <c r="K942" s="2" t="s">
        <v>21</v>
      </c>
      <c r="L942" s="2" t="s">
        <v>47</v>
      </c>
      <c r="M942" s="2" t="s">
        <v>16</v>
      </c>
      <c r="N942" s="2" t="s">
        <v>25</v>
      </c>
    </row>
    <row r="943" spans="1:14" x14ac:dyDescent="0.3">
      <c r="A943" s="3" t="s">
        <v>9666</v>
      </c>
      <c r="B943" s="3" t="s">
        <v>2110</v>
      </c>
      <c r="C943" s="3" t="s">
        <v>42</v>
      </c>
      <c r="D943" s="3" t="s">
        <v>193</v>
      </c>
      <c r="E943" s="3" t="s">
        <v>39</v>
      </c>
      <c r="F943" s="3">
        <v>29</v>
      </c>
      <c r="G943" s="3">
        <v>25538.17</v>
      </c>
      <c r="H943" s="3">
        <v>880.63</v>
      </c>
      <c r="I943" s="3" t="s">
        <v>1107</v>
      </c>
      <c r="J943" s="3">
        <v>313</v>
      </c>
      <c r="K943" s="3" t="s">
        <v>27</v>
      </c>
      <c r="L943" s="3" t="s">
        <v>30</v>
      </c>
      <c r="M943" s="3" t="s">
        <v>31</v>
      </c>
      <c r="N943" s="3" t="s">
        <v>17</v>
      </c>
    </row>
    <row r="944" spans="1:14" x14ac:dyDescent="0.3">
      <c r="A944" s="2" t="s">
        <v>9667</v>
      </c>
      <c r="B944" s="2" t="s">
        <v>695</v>
      </c>
      <c r="C944" s="2" t="s">
        <v>42</v>
      </c>
      <c r="D944" s="2" t="s">
        <v>109</v>
      </c>
      <c r="E944" s="2" t="s">
        <v>39</v>
      </c>
      <c r="F944" s="2">
        <v>13</v>
      </c>
      <c r="G944" s="2">
        <v>93925.02</v>
      </c>
      <c r="H944" s="2">
        <v>7225</v>
      </c>
      <c r="I944" s="2" t="s">
        <v>580</v>
      </c>
      <c r="J944" s="2">
        <v>295</v>
      </c>
      <c r="K944" s="2" t="s">
        <v>13</v>
      </c>
      <c r="L944" s="2" t="s">
        <v>48</v>
      </c>
      <c r="M944" s="2" t="s">
        <v>24</v>
      </c>
      <c r="N944" s="2" t="s">
        <v>17</v>
      </c>
    </row>
    <row r="945" spans="1:14" x14ac:dyDescent="0.3">
      <c r="A945" s="3" t="s">
        <v>9668</v>
      </c>
      <c r="B945" s="3" t="s">
        <v>1371</v>
      </c>
      <c r="C945" s="3" t="s">
        <v>42</v>
      </c>
      <c r="D945" s="3" t="s">
        <v>443</v>
      </c>
      <c r="E945" s="3" t="s">
        <v>22</v>
      </c>
      <c r="F945" s="3">
        <v>20</v>
      </c>
      <c r="G945" s="3">
        <v>89465.22</v>
      </c>
      <c r="H945" s="3">
        <v>4473.26</v>
      </c>
      <c r="I945" s="3" t="s">
        <v>3315</v>
      </c>
      <c r="J945" s="3">
        <v>281</v>
      </c>
      <c r="K945" s="3" t="s">
        <v>21</v>
      </c>
      <c r="L945" s="3" t="s">
        <v>23</v>
      </c>
      <c r="M945" s="3" t="s">
        <v>24</v>
      </c>
      <c r="N945" s="3" t="s">
        <v>17</v>
      </c>
    </row>
    <row r="946" spans="1:14" x14ac:dyDescent="0.3">
      <c r="A946" s="2" t="s">
        <v>9669</v>
      </c>
      <c r="B946" s="2" t="s">
        <v>1866</v>
      </c>
      <c r="C946" s="2" t="s">
        <v>18</v>
      </c>
      <c r="D946" s="2" t="s">
        <v>148</v>
      </c>
      <c r="E946" s="2" t="s">
        <v>29</v>
      </c>
      <c r="F946" s="2">
        <v>16</v>
      </c>
      <c r="G946" s="2">
        <v>71032.899999999994</v>
      </c>
      <c r="H946" s="2">
        <v>4439.5600000000004</v>
      </c>
      <c r="I946" s="2" t="s">
        <v>415</v>
      </c>
      <c r="J946" s="2">
        <v>289</v>
      </c>
      <c r="K946" s="2" t="s">
        <v>21</v>
      </c>
      <c r="L946" s="2" t="s">
        <v>30</v>
      </c>
      <c r="M946" s="2" t="s">
        <v>24</v>
      </c>
      <c r="N946" s="2" t="s">
        <v>17</v>
      </c>
    </row>
    <row r="947" spans="1:14" x14ac:dyDescent="0.3">
      <c r="A947" s="3" t="s">
        <v>5510</v>
      </c>
      <c r="B947" s="3" t="s">
        <v>2834</v>
      </c>
      <c r="C947" s="3" t="s">
        <v>33</v>
      </c>
      <c r="D947" s="3" t="s">
        <v>225</v>
      </c>
      <c r="E947" s="3" t="s">
        <v>39</v>
      </c>
      <c r="F947" s="3">
        <v>3</v>
      </c>
      <c r="G947" s="3">
        <v>169579.39</v>
      </c>
      <c r="H947" s="3">
        <v>56526.46</v>
      </c>
      <c r="I947" s="3" t="s">
        <v>1479</v>
      </c>
      <c r="J947" s="3">
        <v>293</v>
      </c>
      <c r="K947" s="3" t="s">
        <v>19</v>
      </c>
      <c r="L947" s="3" t="s">
        <v>48</v>
      </c>
      <c r="M947" s="3" t="s">
        <v>16</v>
      </c>
      <c r="N947" s="3" t="s">
        <v>17</v>
      </c>
    </row>
    <row r="948" spans="1:14" x14ac:dyDescent="0.3">
      <c r="A948" s="2" t="s">
        <v>9670</v>
      </c>
      <c r="B948" s="2" t="s">
        <v>554</v>
      </c>
      <c r="C948" s="2" t="s">
        <v>42</v>
      </c>
      <c r="D948" s="2" t="s">
        <v>738</v>
      </c>
      <c r="E948" s="2" t="s">
        <v>22</v>
      </c>
      <c r="F948" s="2">
        <v>9</v>
      </c>
      <c r="G948" s="2">
        <v>108246.53</v>
      </c>
      <c r="H948" s="2">
        <v>12027.39</v>
      </c>
      <c r="I948" s="2" t="s">
        <v>566</v>
      </c>
      <c r="J948" s="2">
        <v>77</v>
      </c>
      <c r="K948" s="2" t="s">
        <v>19</v>
      </c>
      <c r="L948" s="2" t="s">
        <v>40</v>
      </c>
      <c r="M948" s="2" t="s">
        <v>16</v>
      </c>
      <c r="N948" s="2" t="s">
        <v>25</v>
      </c>
    </row>
    <row r="949" spans="1:14" x14ac:dyDescent="0.3">
      <c r="A949" s="3" t="s">
        <v>9671</v>
      </c>
      <c r="B949" s="3" t="s">
        <v>680</v>
      </c>
      <c r="C949" s="3" t="s">
        <v>42</v>
      </c>
      <c r="D949" s="3" t="s">
        <v>122</v>
      </c>
      <c r="E949" s="3" t="s">
        <v>22</v>
      </c>
      <c r="F949" s="3">
        <v>13</v>
      </c>
      <c r="G949" s="3">
        <v>144678.24</v>
      </c>
      <c r="H949" s="3">
        <v>11129.1</v>
      </c>
      <c r="I949" s="3" t="s">
        <v>1320</v>
      </c>
      <c r="J949" s="3">
        <v>20</v>
      </c>
      <c r="K949" s="3" t="s">
        <v>28</v>
      </c>
      <c r="L949" s="3" t="s">
        <v>47</v>
      </c>
      <c r="M949" s="3" t="s">
        <v>16</v>
      </c>
      <c r="N949" s="3" t="s">
        <v>25</v>
      </c>
    </row>
    <row r="950" spans="1:14" x14ac:dyDescent="0.3">
      <c r="A950" s="2" t="s">
        <v>9672</v>
      </c>
      <c r="B950" s="2" t="s">
        <v>2345</v>
      </c>
      <c r="C950" s="2" t="s">
        <v>33</v>
      </c>
      <c r="D950" s="2" t="s">
        <v>171</v>
      </c>
      <c r="E950" s="2" t="s">
        <v>14</v>
      </c>
      <c r="F950" s="2">
        <v>25</v>
      </c>
      <c r="G950" s="2">
        <v>63535.6</v>
      </c>
      <c r="H950" s="2">
        <v>2541.42</v>
      </c>
      <c r="I950" s="2" t="s">
        <v>3675</v>
      </c>
      <c r="J950" s="2">
        <v>237</v>
      </c>
      <c r="K950" s="2" t="s">
        <v>19</v>
      </c>
      <c r="L950" s="2" t="s">
        <v>23</v>
      </c>
      <c r="M950" s="2" t="s">
        <v>24</v>
      </c>
      <c r="N950" s="2" t="s">
        <v>17</v>
      </c>
    </row>
    <row r="951" spans="1:14" x14ac:dyDescent="0.3">
      <c r="A951" s="3" t="s">
        <v>9673</v>
      </c>
      <c r="B951" s="3" t="s">
        <v>1665</v>
      </c>
      <c r="C951" s="3" t="s">
        <v>26</v>
      </c>
      <c r="D951" s="3" t="s">
        <v>215</v>
      </c>
      <c r="E951" s="3" t="s">
        <v>14</v>
      </c>
      <c r="F951" s="3">
        <v>14</v>
      </c>
      <c r="G951" s="3">
        <v>84120.639999999999</v>
      </c>
      <c r="H951" s="3">
        <v>6008.62</v>
      </c>
      <c r="I951" s="3" t="s">
        <v>1907</v>
      </c>
      <c r="J951" s="3">
        <v>39</v>
      </c>
      <c r="K951" s="3" t="s">
        <v>28</v>
      </c>
      <c r="L951" s="3" t="s">
        <v>23</v>
      </c>
      <c r="M951" s="3" t="s">
        <v>24</v>
      </c>
      <c r="N951" s="3" t="s">
        <v>25</v>
      </c>
    </row>
    <row r="952" spans="1:14" x14ac:dyDescent="0.3">
      <c r="A952" s="2" t="s">
        <v>9674</v>
      </c>
      <c r="B952" s="2" t="s">
        <v>571</v>
      </c>
      <c r="C952" s="2" t="s">
        <v>26</v>
      </c>
      <c r="D952" s="2" t="s">
        <v>334</v>
      </c>
      <c r="E952" s="2" t="s">
        <v>29</v>
      </c>
      <c r="F952" s="2">
        <v>21</v>
      </c>
      <c r="G952" s="2">
        <v>175142.81</v>
      </c>
      <c r="H952" s="2">
        <v>8340.1299999999992</v>
      </c>
      <c r="I952" s="2" t="s">
        <v>1213</v>
      </c>
      <c r="J952" s="2">
        <v>119</v>
      </c>
      <c r="K952" s="2" t="s">
        <v>27</v>
      </c>
      <c r="L952" s="2" t="s">
        <v>48</v>
      </c>
      <c r="M952" s="2" t="s">
        <v>16</v>
      </c>
      <c r="N952" s="2" t="s">
        <v>32</v>
      </c>
    </row>
    <row r="953" spans="1:14" x14ac:dyDescent="0.3">
      <c r="A953" s="3" t="s">
        <v>9675</v>
      </c>
      <c r="B953" s="3" t="s">
        <v>603</v>
      </c>
      <c r="C953" s="3" t="s">
        <v>33</v>
      </c>
      <c r="D953" s="3" t="s">
        <v>834</v>
      </c>
      <c r="E953" s="3" t="s">
        <v>29</v>
      </c>
      <c r="F953" s="3">
        <v>18</v>
      </c>
      <c r="G953" s="3">
        <v>65034.45</v>
      </c>
      <c r="H953" s="3">
        <v>3613.02</v>
      </c>
      <c r="I953" s="3" t="s">
        <v>1608</v>
      </c>
      <c r="J953" s="3">
        <v>152</v>
      </c>
      <c r="K953" s="3" t="s">
        <v>28</v>
      </c>
      <c r="L953" s="3" t="s">
        <v>30</v>
      </c>
      <c r="M953" s="3" t="s">
        <v>24</v>
      </c>
      <c r="N953" s="3" t="s">
        <v>32</v>
      </c>
    </row>
    <row r="954" spans="1:14" x14ac:dyDescent="0.3">
      <c r="A954" s="2" t="s">
        <v>9676</v>
      </c>
      <c r="B954" s="2" t="s">
        <v>2772</v>
      </c>
      <c r="C954" s="2" t="s">
        <v>26</v>
      </c>
      <c r="D954" s="2" t="s">
        <v>283</v>
      </c>
      <c r="E954" s="2" t="s">
        <v>22</v>
      </c>
      <c r="F954" s="2">
        <v>23</v>
      </c>
      <c r="G954" s="2">
        <v>134309.71</v>
      </c>
      <c r="H954" s="2">
        <v>5839.55</v>
      </c>
      <c r="I954" s="2" t="s">
        <v>1945</v>
      </c>
      <c r="J954" s="2">
        <v>122</v>
      </c>
      <c r="K954" s="2" t="s">
        <v>27</v>
      </c>
      <c r="L954" s="2" t="s">
        <v>30</v>
      </c>
      <c r="M954" s="2" t="s">
        <v>16</v>
      </c>
      <c r="N954" s="2" t="s">
        <v>32</v>
      </c>
    </row>
    <row r="955" spans="1:14" x14ac:dyDescent="0.3">
      <c r="A955" s="3" t="s">
        <v>9677</v>
      </c>
      <c r="B955" s="3" t="s">
        <v>104</v>
      </c>
      <c r="C955" s="3" t="s">
        <v>33</v>
      </c>
      <c r="D955" s="3" t="s">
        <v>160</v>
      </c>
      <c r="E955" s="3" t="s">
        <v>29</v>
      </c>
      <c r="F955" s="3">
        <v>29</v>
      </c>
      <c r="G955" s="3">
        <v>11926.18</v>
      </c>
      <c r="H955" s="3">
        <v>411.25</v>
      </c>
      <c r="I955" s="3" t="s">
        <v>3646</v>
      </c>
      <c r="J955" s="3">
        <v>108</v>
      </c>
      <c r="K955" s="3" t="s">
        <v>19</v>
      </c>
      <c r="L955" s="3" t="s">
        <v>43</v>
      </c>
      <c r="M955" s="3" t="s">
        <v>31</v>
      </c>
      <c r="N955" s="3" t="s">
        <v>32</v>
      </c>
    </row>
    <row r="956" spans="1:14" x14ac:dyDescent="0.3">
      <c r="A956" s="2" t="s">
        <v>9678</v>
      </c>
      <c r="B956" s="2" t="s">
        <v>1077</v>
      </c>
      <c r="C956" s="2" t="s">
        <v>26</v>
      </c>
      <c r="D956" s="2" t="s">
        <v>314</v>
      </c>
      <c r="E956" s="2" t="s">
        <v>39</v>
      </c>
      <c r="F956" s="2">
        <v>26</v>
      </c>
      <c r="G956" s="2">
        <v>169710.92</v>
      </c>
      <c r="H956" s="2">
        <v>6527.34</v>
      </c>
      <c r="I956" s="2" t="s">
        <v>1198</v>
      </c>
      <c r="J956" s="2">
        <v>338</v>
      </c>
      <c r="K956" s="2" t="s">
        <v>13</v>
      </c>
      <c r="L956" s="2" t="s">
        <v>40</v>
      </c>
      <c r="M956" s="2" t="s">
        <v>16</v>
      </c>
      <c r="N956" s="2" t="s">
        <v>17</v>
      </c>
    </row>
    <row r="957" spans="1:14" x14ac:dyDescent="0.3">
      <c r="A957" s="3" t="s">
        <v>8510</v>
      </c>
      <c r="B957" s="3" t="s">
        <v>2882</v>
      </c>
      <c r="C957" s="3" t="s">
        <v>42</v>
      </c>
      <c r="D957" s="3" t="s">
        <v>712</v>
      </c>
      <c r="E957" s="3" t="s">
        <v>14</v>
      </c>
      <c r="F957" s="3">
        <v>14</v>
      </c>
      <c r="G957" s="3">
        <v>145456.9</v>
      </c>
      <c r="H957" s="3">
        <v>10389.780000000001</v>
      </c>
      <c r="I957" s="3" t="s">
        <v>2100</v>
      </c>
      <c r="J957" s="3">
        <v>310</v>
      </c>
      <c r="K957" s="3" t="s">
        <v>27</v>
      </c>
      <c r="L957" s="3" t="s">
        <v>48</v>
      </c>
      <c r="M957" s="3" t="s">
        <v>16</v>
      </c>
      <c r="N957" s="3" t="s">
        <v>17</v>
      </c>
    </row>
    <row r="958" spans="1:14" x14ac:dyDescent="0.3">
      <c r="A958" s="2" t="s">
        <v>7230</v>
      </c>
      <c r="B958" s="2" t="s">
        <v>2291</v>
      </c>
      <c r="C958" s="2" t="s">
        <v>26</v>
      </c>
      <c r="D958" s="2" t="s">
        <v>427</v>
      </c>
      <c r="E958" s="2" t="s">
        <v>29</v>
      </c>
      <c r="F958" s="2">
        <v>2</v>
      </c>
      <c r="G958" s="2">
        <v>37096.36</v>
      </c>
      <c r="H958" s="2">
        <v>18548.18</v>
      </c>
      <c r="I958" s="2" t="s">
        <v>1079</v>
      </c>
      <c r="J958" s="2">
        <v>223</v>
      </c>
      <c r="K958" s="2" t="s">
        <v>28</v>
      </c>
      <c r="L958" s="2" t="s">
        <v>40</v>
      </c>
      <c r="M958" s="2" t="s">
        <v>31</v>
      </c>
      <c r="N958" s="2" t="s">
        <v>17</v>
      </c>
    </row>
    <row r="959" spans="1:14" x14ac:dyDescent="0.3">
      <c r="A959" s="3" t="s">
        <v>9679</v>
      </c>
      <c r="B959" s="3" t="s">
        <v>4617</v>
      </c>
      <c r="C959" s="3" t="s">
        <v>42</v>
      </c>
      <c r="D959" s="3" t="s">
        <v>443</v>
      </c>
      <c r="E959" s="3" t="s">
        <v>22</v>
      </c>
      <c r="F959" s="3">
        <v>23</v>
      </c>
      <c r="G959" s="3">
        <v>173636.95</v>
      </c>
      <c r="H959" s="3">
        <v>7549.43</v>
      </c>
      <c r="I959" s="3" t="s">
        <v>3119</v>
      </c>
      <c r="J959" s="3">
        <v>344</v>
      </c>
      <c r="K959" s="3" t="s">
        <v>19</v>
      </c>
      <c r="L959" s="3" t="s">
        <v>43</v>
      </c>
      <c r="M959" s="3" t="s">
        <v>16</v>
      </c>
      <c r="N959" s="3" t="s">
        <v>17</v>
      </c>
    </row>
    <row r="960" spans="1:14" x14ac:dyDescent="0.3">
      <c r="A960" s="2" t="s">
        <v>9680</v>
      </c>
      <c r="B960" s="2" t="s">
        <v>855</v>
      </c>
      <c r="C960" s="2" t="s">
        <v>33</v>
      </c>
      <c r="D960" s="2" t="s">
        <v>225</v>
      </c>
      <c r="E960" s="2" t="s">
        <v>39</v>
      </c>
      <c r="F960" s="2">
        <v>6</v>
      </c>
      <c r="G960" s="2">
        <v>36682.839999999997</v>
      </c>
      <c r="H960" s="2">
        <v>6113.81</v>
      </c>
      <c r="I960" s="2" t="s">
        <v>4578</v>
      </c>
      <c r="J960" s="2">
        <v>276</v>
      </c>
      <c r="K960" s="2" t="s">
        <v>13</v>
      </c>
      <c r="L960" s="2" t="s">
        <v>15</v>
      </c>
      <c r="M960" s="2" t="s">
        <v>31</v>
      </c>
      <c r="N960" s="2" t="s">
        <v>17</v>
      </c>
    </row>
    <row r="961" spans="1:14" x14ac:dyDescent="0.3">
      <c r="A961" s="3" t="s">
        <v>9681</v>
      </c>
      <c r="B961" s="3" t="s">
        <v>269</v>
      </c>
      <c r="C961" s="3" t="s">
        <v>26</v>
      </c>
      <c r="D961" s="3" t="s">
        <v>738</v>
      </c>
      <c r="E961" s="3" t="s">
        <v>22</v>
      </c>
      <c r="F961" s="3">
        <v>29</v>
      </c>
      <c r="G961" s="3">
        <v>156907.38</v>
      </c>
      <c r="H961" s="3">
        <v>5410.6</v>
      </c>
      <c r="I961" s="3" t="s">
        <v>2386</v>
      </c>
      <c r="J961" s="3">
        <v>278</v>
      </c>
      <c r="K961" s="3" t="s">
        <v>21</v>
      </c>
      <c r="L961" s="3" t="s">
        <v>40</v>
      </c>
      <c r="M961" s="3" t="s">
        <v>16</v>
      </c>
      <c r="N961" s="3" t="s">
        <v>17</v>
      </c>
    </row>
    <row r="962" spans="1:14" x14ac:dyDescent="0.3">
      <c r="A962" s="2" t="s">
        <v>9682</v>
      </c>
      <c r="B962" s="2" t="s">
        <v>782</v>
      </c>
      <c r="C962" s="2" t="s">
        <v>33</v>
      </c>
      <c r="D962" s="2" t="s">
        <v>254</v>
      </c>
      <c r="E962" s="2" t="s">
        <v>22</v>
      </c>
      <c r="F962" s="2">
        <v>20</v>
      </c>
      <c r="G962" s="2">
        <v>76912.3</v>
      </c>
      <c r="H962" s="2">
        <v>3845.62</v>
      </c>
      <c r="I962" s="2" t="s">
        <v>3670</v>
      </c>
      <c r="J962" s="2">
        <v>181</v>
      </c>
      <c r="K962" s="2" t="s">
        <v>13</v>
      </c>
      <c r="L962" s="2" t="s">
        <v>40</v>
      </c>
      <c r="M962" s="2" t="s">
        <v>24</v>
      </c>
      <c r="N962" s="2" t="s">
        <v>17</v>
      </c>
    </row>
    <row r="963" spans="1:14" x14ac:dyDescent="0.3">
      <c r="A963" s="3" t="s">
        <v>9683</v>
      </c>
      <c r="B963" s="3" t="s">
        <v>1590</v>
      </c>
      <c r="C963" s="3" t="s">
        <v>42</v>
      </c>
      <c r="D963" s="3" t="s">
        <v>183</v>
      </c>
      <c r="E963" s="3" t="s">
        <v>14</v>
      </c>
      <c r="F963" s="3">
        <v>20</v>
      </c>
      <c r="G963" s="3">
        <v>130276.85</v>
      </c>
      <c r="H963" s="3">
        <v>6513.84</v>
      </c>
      <c r="I963" s="3" t="s">
        <v>580</v>
      </c>
      <c r="J963" s="3">
        <v>295</v>
      </c>
      <c r="K963" s="3" t="s">
        <v>27</v>
      </c>
      <c r="L963" s="3" t="s">
        <v>15</v>
      </c>
      <c r="M963" s="3" t="s">
        <v>16</v>
      </c>
      <c r="N963" s="3" t="s">
        <v>17</v>
      </c>
    </row>
    <row r="964" spans="1:14" x14ac:dyDescent="0.3">
      <c r="A964" s="2" t="s">
        <v>9684</v>
      </c>
      <c r="B964" s="2" t="s">
        <v>2110</v>
      </c>
      <c r="C964" s="2" t="s">
        <v>33</v>
      </c>
      <c r="D964" s="2" t="s">
        <v>283</v>
      </c>
      <c r="E964" s="2" t="s">
        <v>22</v>
      </c>
      <c r="F964" s="2">
        <v>11</v>
      </c>
      <c r="G964" s="2">
        <v>181446.43</v>
      </c>
      <c r="H964" s="2">
        <v>16495.13</v>
      </c>
      <c r="I964" s="2" t="s">
        <v>1221</v>
      </c>
      <c r="J964" s="2">
        <v>245</v>
      </c>
      <c r="K964" s="2" t="s">
        <v>19</v>
      </c>
      <c r="L964" s="2" t="s">
        <v>47</v>
      </c>
      <c r="M964" s="2" t="s">
        <v>16</v>
      </c>
      <c r="N964" s="2" t="s">
        <v>17</v>
      </c>
    </row>
    <row r="965" spans="1:14" x14ac:dyDescent="0.3">
      <c r="A965" s="3" t="s">
        <v>9685</v>
      </c>
      <c r="B965" s="3" t="s">
        <v>260</v>
      </c>
      <c r="C965" s="3" t="s">
        <v>18</v>
      </c>
      <c r="D965" s="3" t="s">
        <v>283</v>
      </c>
      <c r="E965" s="3" t="s">
        <v>22</v>
      </c>
      <c r="F965" s="3">
        <v>10</v>
      </c>
      <c r="G965" s="3">
        <v>43615.29</v>
      </c>
      <c r="H965" s="3">
        <v>4361.53</v>
      </c>
      <c r="I965" s="3" t="s">
        <v>436</v>
      </c>
      <c r="J965" s="3">
        <v>63</v>
      </c>
      <c r="K965" s="3" t="s">
        <v>13</v>
      </c>
      <c r="L965" s="3" t="s">
        <v>40</v>
      </c>
      <c r="M965" s="3" t="s">
        <v>31</v>
      </c>
      <c r="N965" s="3" t="s">
        <v>25</v>
      </c>
    </row>
    <row r="966" spans="1:14" x14ac:dyDescent="0.3">
      <c r="A966" s="2" t="s">
        <v>9686</v>
      </c>
      <c r="B966" s="2" t="s">
        <v>642</v>
      </c>
      <c r="C966" s="2" t="s">
        <v>18</v>
      </c>
      <c r="D966" s="2" t="s">
        <v>324</v>
      </c>
      <c r="E966" s="2" t="s">
        <v>39</v>
      </c>
      <c r="F966" s="2">
        <v>11</v>
      </c>
      <c r="G966" s="2">
        <v>107375.47</v>
      </c>
      <c r="H966" s="2">
        <v>9761.41</v>
      </c>
      <c r="I966" s="2" t="s">
        <v>3651</v>
      </c>
      <c r="J966" s="2">
        <v>301</v>
      </c>
      <c r="K966" s="2" t="s">
        <v>21</v>
      </c>
      <c r="L966" s="2" t="s">
        <v>48</v>
      </c>
      <c r="M966" s="2" t="s">
        <v>16</v>
      </c>
      <c r="N966" s="2" t="s">
        <v>17</v>
      </c>
    </row>
    <row r="967" spans="1:14" x14ac:dyDescent="0.3">
      <c r="A967" s="3" t="s">
        <v>4424</v>
      </c>
      <c r="B967" s="3" t="s">
        <v>603</v>
      </c>
      <c r="C967" s="3" t="s">
        <v>42</v>
      </c>
      <c r="D967" s="3" t="s">
        <v>334</v>
      </c>
      <c r="E967" s="3" t="s">
        <v>29</v>
      </c>
      <c r="F967" s="3">
        <v>15</v>
      </c>
      <c r="G967" s="3">
        <v>96010.42</v>
      </c>
      <c r="H967" s="3">
        <v>6400.69</v>
      </c>
      <c r="I967" s="3" t="s">
        <v>3186</v>
      </c>
      <c r="J967" s="3">
        <v>187</v>
      </c>
      <c r="K967" s="3" t="s">
        <v>19</v>
      </c>
      <c r="L967" s="3" t="s">
        <v>15</v>
      </c>
      <c r="M967" s="3" t="s">
        <v>24</v>
      </c>
      <c r="N967" s="3" t="s">
        <v>17</v>
      </c>
    </row>
    <row r="968" spans="1:14" x14ac:dyDescent="0.3">
      <c r="A968" s="2" t="s">
        <v>9687</v>
      </c>
      <c r="B968" s="2" t="s">
        <v>1371</v>
      </c>
      <c r="C968" s="2" t="s">
        <v>42</v>
      </c>
      <c r="D968" s="2" t="s">
        <v>95</v>
      </c>
      <c r="E968" s="2" t="s">
        <v>14</v>
      </c>
      <c r="F968" s="2">
        <v>8</v>
      </c>
      <c r="G968" s="2">
        <v>43390.45</v>
      </c>
      <c r="H968" s="2">
        <v>5423.81</v>
      </c>
      <c r="I968" s="2" t="s">
        <v>2270</v>
      </c>
      <c r="J968" s="2">
        <v>38</v>
      </c>
      <c r="K968" s="2" t="s">
        <v>13</v>
      </c>
      <c r="L968" s="2" t="s">
        <v>47</v>
      </c>
      <c r="M968" s="2" t="s">
        <v>31</v>
      </c>
      <c r="N968" s="2" t="s">
        <v>25</v>
      </c>
    </row>
    <row r="969" spans="1:14" x14ac:dyDescent="0.3">
      <c r="A969" s="3" t="s">
        <v>9688</v>
      </c>
      <c r="B969" s="3" t="s">
        <v>1606</v>
      </c>
      <c r="C969" s="3" t="s">
        <v>33</v>
      </c>
      <c r="D969" s="3" t="s">
        <v>148</v>
      </c>
      <c r="E969" s="3" t="s">
        <v>29</v>
      </c>
      <c r="F969" s="3">
        <v>10</v>
      </c>
      <c r="G969" s="3">
        <v>78324.02</v>
      </c>
      <c r="H969" s="3">
        <v>7832.4</v>
      </c>
      <c r="I969" s="3" t="s">
        <v>1241</v>
      </c>
      <c r="J969" s="3">
        <v>304</v>
      </c>
      <c r="K969" s="3" t="s">
        <v>13</v>
      </c>
      <c r="L969" s="3" t="s">
        <v>23</v>
      </c>
      <c r="M969" s="3" t="s">
        <v>24</v>
      </c>
      <c r="N969" s="3" t="s">
        <v>17</v>
      </c>
    </row>
    <row r="970" spans="1:14" x14ac:dyDescent="0.3">
      <c r="A970" s="2" t="s">
        <v>9689</v>
      </c>
      <c r="B970" s="2" t="s">
        <v>278</v>
      </c>
      <c r="C970" s="2" t="s">
        <v>33</v>
      </c>
      <c r="D970" s="2" t="s">
        <v>193</v>
      </c>
      <c r="E970" s="2" t="s">
        <v>39</v>
      </c>
      <c r="F970" s="2">
        <v>28</v>
      </c>
      <c r="G970" s="2">
        <v>193097.47</v>
      </c>
      <c r="H970" s="2">
        <v>6896.34</v>
      </c>
      <c r="I970" s="2" t="s">
        <v>1264</v>
      </c>
      <c r="J970" s="2">
        <v>248</v>
      </c>
      <c r="K970" s="2" t="s">
        <v>27</v>
      </c>
      <c r="L970" s="2" t="s">
        <v>43</v>
      </c>
      <c r="M970" s="2" t="s">
        <v>16</v>
      </c>
      <c r="N970" s="2" t="s">
        <v>17</v>
      </c>
    </row>
    <row r="971" spans="1:14" x14ac:dyDescent="0.3">
      <c r="A971" s="3" t="s">
        <v>7058</v>
      </c>
      <c r="B971" s="3" t="s">
        <v>1792</v>
      </c>
      <c r="C971" s="3" t="s">
        <v>26</v>
      </c>
      <c r="D971" s="3" t="s">
        <v>193</v>
      </c>
      <c r="E971" s="3" t="s">
        <v>39</v>
      </c>
      <c r="F971" s="3">
        <v>28</v>
      </c>
      <c r="G971" s="3">
        <v>149245.81</v>
      </c>
      <c r="H971" s="3">
        <v>5330.21</v>
      </c>
      <c r="I971" s="3" t="s">
        <v>635</v>
      </c>
      <c r="J971" s="3">
        <v>341</v>
      </c>
      <c r="K971" s="3" t="s">
        <v>27</v>
      </c>
      <c r="L971" s="3" t="s">
        <v>15</v>
      </c>
      <c r="M971" s="3" t="s">
        <v>16</v>
      </c>
      <c r="N971" s="3" t="s">
        <v>17</v>
      </c>
    </row>
    <row r="972" spans="1:14" x14ac:dyDescent="0.3">
      <c r="A972" s="2" t="s">
        <v>9690</v>
      </c>
      <c r="B972" s="2" t="s">
        <v>995</v>
      </c>
      <c r="C972" s="2" t="s">
        <v>18</v>
      </c>
      <c r="D972" s="2" t="s">
        <v>324</v>
      </c>
      <c r="E972" s="2" t="s">
        <v>39</v>
      </c>
      <c r="F972" s="2">
        <v>7</v>
      </c>
      <c r="G972" s="2">
        <v>131324.85</v>
      </c>
      <c r="H972" s="2">
        <v>18760.689999999999</v>
      </c>
      <c r="I972" s="2" t="s">
        <v>1996</v>
      </c>
      <c r="J972" s="2">
        <v>270</v>
      </c>
      <c r="K972" s="2" t="s">
        <v>27</v>
      </c>
      <c r="L972" s="2" t="s">
        <v>15</v>
      </c>
      <c r="M972" s="2" t="s">
        <v>16</v>
      </c>
      <c r="N972" s="2" t="s">
        <v>17</v>
      </c>
    </row>
    <row r="973" spans="1:14" x14ac:dyDescent="0.3">
      <c r="A973" s="3" t="s">
        <v>9691</v>
      </c>
      <c r="B973" s="3" t="s">
        <v>1304</v>
      </c>
      <c r="C973" s="3" t="s">
        <v>42</v>
      </c>
      <c r="D973" s="3" t="s">
        <v>171</v>
      </c>
      <c r="E973" s="3" t="s">
        <v>14</v>
      </c>
      <c r="F973" s="3">
        <v>15</v>
      </c>
      <c r="G973" s="3">
        <v>112408.95</v>
      </c>
      <c r="H973" s="3">
        <v>7493.93</v>
      </c>
      <c r="I973" s="3" t="s">
        <v>1777</v>
      </c>
      <c r="J973" s="3">
        <v>12</v>
      </c>
      <c r="K973" s="3" t="s">
        <v>13</v>
      </c>
      <c r="L973" s="3" t="s">
        <v>30</v>
      </c>
      <c r="M973" s="3" t="s">
        <v>16</v>
      </c>
      <c r="N973" s="3" t="s">
        <v>25</v>
      </c>
    </row>
    <row r="974" spans="1:14" x14ac:dyDescent="0.3">
      <c r="A974" s="2" t="s">
        <v>7506</v>
      </c>
      <c r="B974" s="2" t="s">
        <v>1989</v>
      </c>
      <c r="C974" s="2" t="s">
        <v>33</v>
      </c>
      <c r="D974" s="2" t="s">
        <v>443</v>
      </c>
      <c r="E974" s="2" t="s">
        <v>22</v>
      </c>
      <c r="F974" s="2">
        <v>27</v>
      </c>
      <c r="G974" s="2">
        <v>65921.78</v>
      </c>
      <c r="H974" s="2">
        <v>2441.5500000000002</v>
      </c>
      <c r="I974" s="2" t="s">
        <v>3301</v>
      </c>
      <c r="J974" s="2">
        <v>163</v>
      </c>
      <c r="K974" s="2" t="s">
        <v>19</v>
      </c>
      <c r="L974" s="2" t="s">
        <v>23</v>
      </c>
      <c r="M974" s="2" t="s">
        <v>24</v>
      </c>
      <c r="N974" s="2" t="s">
        <v>32</v>
      </c>
    </row>
    <row r="975" spans="1:14" x14ac:dyDescent="0.3">
      <c r="A975" s="3" t="s">
        <v>9692</v>
      </c>
      <c r="B975" s="3" t="s">
        <v>1246</v>
      </c>
      <c r="C975" s="3" t="s">
        <v>42</v>
      </c>
      <c r="D975" s="3" t="s">
        <v>225</v>
      </c>
      <c r="E975" s="3" t="s">
        <v>39</v>
      </c>
      <c r="F975" s="3">
        <v>30</v>
      </c>
      <c r="G975" s="3">
        <v>45208.82</v>
      </c>
      <c r="H975" s="3">
        <v>1506.96</v>
      </c>
      <c r="I975" s="3" t="s">
        <v>936</v>
      </c>
      <c r="J975" s="3">
        <v>240</v>
      </c>
      <c r="K975" s="3" t="s">
        <v>28</v>
      </c>
      <c r="L975" s="3" t="s">
        <v>15</v>
      </c>
      <c r="M975" s="3" t="s">
        <v>31</v>
      </c>
      <c r="N975" s="3" t="s">
        <v>17</v>
      </c>
    </row>
    <row r="976" spans="1:14" x14ac:dyDescent="0.3">
      <c r="A976" s="2" t="s">
        <v>2241</v>
      </c>
      <c r="B976" s="2" t="s">
        <v>240</v>
      </c>
      <c r="C976" s="2" t="s">
        <v>26</v>
      </c>
      <c r="D976" s="2" t="s">
        <v>283</v>
      </c>
      <c r="E976" s="2" t="s">
        <v>22</v>
      </c>
      <c r="F976" s="2">
        <v>2</v>
      </c>
      <c r="G976" s="2">
        <v>194341.34</v>
      </c>
      <c r="H976" s="2">
        <v>97170.67</v>
      </c>
      <c r="I976" s="2" t="s">
        <v>802</v>
      </c>
      <c r="J976" s="2">
        <v>193</v>
      </c>
      <c r="K976" s="2" t="s">
        <v>28</v>
      </c>
      <c r="L976" s="2" t="s">
        <v>15</v>
      </c>
      <c r="M976" s="2" t="s">
        <v>16</v>
      </c>
      <c r="N976" s="2" t="s">
        <v>17</v>
      </c>
    </row>
    <row r="977" spans="1:14" x14ac:dyDescent="0.3">
      <c r="A977" s="3" t="s">
        <v>9693</v>
      </c>
      <c r="B977" s="3" t="s">
        <v>725</v>
      </c>
      <c r="C977" s="3" t="s">
        <v>42</v>
      </c>
      <c r="D977" s="3" t="s">
        <v>193</v>
      </c>
      <c r="E977" s="3" t="s">
        <v>39</v>
      </c>
      <c r="F977" s="3">
        <v>20</v>
      </c>
      <c r="G977" s="3">
        <v>169671.29</v>
      </c>
      <c r="H977" s="3">
        <v>8483.56</v>
      </c>
      <c r="I977" s="3" t="s">
        <v>613</v>
      </c>
      <c r="J977" s="3">
        <v>321</v>
      </c>
      <c r="K977" s="3" t="s">
        <v>28</v>
      </c>
      <c r="L977" s="3" t="s">
        <v>15</v>
      </c>
      <c r="M977" s="3" t="s">
        <v>16</v>
      </c>
      <c r="N977" s="3" t="s">
        <v>17</v>
      </c>
    </row>
    <row r="978" spans="1:14" x14ac:dyDescent="0.3">
      <c r="A978" s="2" t="s">
        <v>9694</v>
      </c>
      <c r="B978" s="2" t="s">
        <v>1822</v>
      </c>
      <c r="C978" s="2" t="s">
        <v>33</v>
      </c>
      <c r="D978" s="2" t="s">
        <v>324</v>
      </c>
      <c r="E978" s="2" t="s">
        <v>39</v>
      </c>
      <c r="F978" s="2">
        <v>5</v>
      </c>
      <c r="G978" s="2">
        <v>196653.09</v>
      </c>
      <c r="H978" s="2">
        <v>39330.620000000003</v>
      </c>
      <c r="I978" s="2" t="s">
        <v>720</v>
      </c>
      <c r="J978" s="2">
        <v>130</v>
      </c>
      <c r="K978" s="2" t="s">
        <v>21</v>
      </c>
      <c r="L978" s="2" t="s">
        <v>40</v>
      </c>
      <c r="M978" s="2" t="s">
        <v>16</v>
      </c>
      <c r="N978" s="2" t="s">
        <v>32</v>
      </c>
    </row>
    <row r="979" spans="1:14" x14ac:dyDescent="0.3">
      <c r="A979" s="3" t="s">
        <v>9695</v>
      </c>
      <c r="B979" s="3" t="s">
        <v>1364</v>
      </c>
      <c r="C979" s="3" t="s">
        <v>33</v>
      </c>
      <c r="D979" s="3" t="s">
        <v>183</v>
      </c>
      <c r="E979" s="3" t="s">
        <v>14</v>
      </c>
      <c r="F979" s="3">
        <v>29</v>
      </c>
      <c r="G979" s="3">
        <v>8465.93</v>
      </c>
      <c r="H979" s="3">
        <v>291.93</v>
      </c>
      <c r="I979" s="3" t="s">
        <v>777</v>
      </c>
      <c r="J979" s="3">
        <v>88</v>
      </c>
      <c r="K979" s="3" t="s">
        <v>28</v>
      </c>
      <c r="L979" s="3" t="s">
        <v>30</v>
      </c>
      <c r="M979" s="3" t="s">
        <v>41</v>
      </c>
      <c r="N979" s="3" t="s">
        <v>25</v>
      </c>
    </row>
    <row r="980" spans="1:14" x14ac:dyDescent="0.3">
      <c r="A980" s="2" t="s">
        <v>9696</v>
      </c>
      <c r="B980" s="2" t="s">
        <v>840</v>
      </c>
      <c r="C980" s="2" t="s">
        <v>33</v>
      </c>
      <c r="D980" s="2" t="s">
        <v>160</v>
      </c>
      <c r="E980" s="2" t="s">
        <v>29</v>
      </c>
      <c r="F980" s="2">
        <v>26</v>
      </c>
      <c r="G980" s="2">
        <v>25830.71</v>
      </c>
      <c r="H980" s="2">
        <v>993.49</v>
      </c>
      <c r="I980" s="2" t="s">
        <v>4241</v>
      </c>
      <c r="J980" s="2">
        <v>60</v>
      </c>
      <c r="K980" s="2" t="s">
        <v>13</v>
      </c>
      <c r="L980" s="2" t="s">
        <v>30</v>
      </c>
      <c r="M980" s="2" t="s">
        <v>31</v>
      </c>
      <c r="N980" s="2" t="s">
        <v>25</v>
      </c>
    </row>
    <row r="981" spans="1:14" x14ac:dyDescent="0.3">
      <c r="A981" s="3" t="s">
        <v>7853</v>
      </c>
      <c r="B981" s="3" t="s">
        <v>1068</v>
      </c>
      <c r="C981" s="3" t="s">
        <v>42</v>
      </c>
      <c r="D981" s="3" t="s">
        <v>712</v>
      </c>
      <c r="E981" s="3" t="s">
        <v>14</v>
      </c>
      <c r="F981" s="3">
        <v>19</v>
      </c>
      <c r="G981" s="3">
        <v>166342.09</v>
      </c>
      <c r="H981" s="3">
        <v>8754.85</v>
      </c>
      <c r="I981" s="3" t="s">
        <v>5475</v>
      </c>
      <c r="J981" s="3">
        <v>94</v>
      </c>
      <c r="K981" s="3" t="s">
        <v>21</v>
      </c>
      <c r="L981" s="3" t="s">
        <v>15</v>
      </c>
      <c r="M981" s="3" t="s">
        <v>16</v>
      </c>
      <c r="N981" s="3" t="s">
        <v>32</v>
      </c>
    </row>
    <row r="982" spans="1:14" x14ac:dyDescent="0.3">
      <c r="A982" s="2" t="s">
        <v>9697</v>
      </c>
      <c r="B982" s="2" t="s">
        <v>1683</v>
      </c>
      <c r="C982" s="2" t="s">
        <v>18</v>
      </c>
      <c r="D982" s="2" t="s">
        <v>193</v>
      </c>
      <c r="E982" s="2" t="s">
        <v>39</v>
      </c>
      <c r="F982" s="2">
        <v>19</v>
      </c>
      <c r="G982" s="2">
        <v>185693.99</v>
      </c>
      <c r="H982" s="2">
        <v>9773.3700000000008</v>
      </c>
      <c r="I982" s="2" t="s">
        <v>2101</v>
      </c>
      <c r="J982" s="2">
        <v>303</v>
      </c>
      <c r="K982" s="2" t="s">
        <v>21</v>
      </c>
      <c r="L982" s="2" t="s">
        <v>43</v>
      </c>
      <c r="M982" s="2" t="s">
        <v>16</v>
      </c>
      <c r="N982" s="2" t="s">
        <v>17</v>
      </c>
    </row>
    <row r="983" spans="1:14" x14ac:dyDescent="0.3">
      <c r="A983" s="3" t="s">
        <v>9698</v>
      </c>
      <c r="B983" s="3" t="s">
        <v>2779</v>
      </c>
      <c r="C983" s="3" t="s">
        <v>26</v>
      </c>
      <c r="D983" s="3" t="s">
        <v>215</v>
      </c>
      <c r="E983" s="3" t="s">
        <v>14</v>
      </c>
      <c r="F983" s="3">
        <v>28</v>
      </c>
      <c r="G983" s="3">
        <v>107094.91</v>
      </c>
      <c r="H983" s="3">
        <v>3824.82</v>
      </c>
      <c r="I983" s="3" t="s">
        <v>426</v>
      </c>
      <c r="J983" s="3">
        <v>254</v>
      </c>
      <c r="K983" s="3" t="s">
        <v>28</v>
      </c>
      <c r="L983" s="3" t="s">
        <v>30</v>
      </c>
      <c r="M983" s="3" t="s">
        <v>16</v>
      </c>
      <c r="N983" s="3" t="s">
        <v>17</v>
      </c>
    </row>
    <row r="984" spans="1:14" x14ac:dyDescent="0.3">
      <c r="A984" s="2" t="s">
        <v>9699</v>
      </c>
      <c r="B984" s="2" t="s">
        <v>104</v>
      </c>
      <c r="C984" s="2" t="s">
        <v>26</v>
      </c>
      <c r="D984" s="2" t="s">
        <v>225</v>
      </c>
      <c r="E984" s="2" t="s">
        <v>39</v>
      </c>
      <c r="F984" s="2">
        <v>27</v>
      </c>
      <c r="G984" s="2">
        <v>4061.67</v>
      </c>
      <c r="H984" s="2">
        <v>150.43</v>
      </c>
      <c r="I984" s="2" t="s">
        <v>514</v>
      </c>
      <c r="J984" s="2">
        <v>59</v>
      </c>
      <c r="K984" s="2" t="s">
        <v>13</v>
      </c>
      <c r="L984" s="2" t="s">
        <v>47</v>
      </c>
      <c r="M984" s="2" t="s">
        <v>41</v>
      </c>
      <c r="N984" s="2" t="s">
        <v>25</v>
      </c>
    </row>
    <row r="985" spans="1:14" x14ac:dyDescent="0.3">
      <c r="A985" s="3" t="s">
        <v>9700</v>
      </c>
      <c r="B985" s="3" t="s">
        <v>2090</v>
      </c>
      <c r="C985" s="3" t="s">
        <v>26</v>
      </c>
      <c r="D985" s="3" t="s">
        <v>122</v>
      </c>
      <c r="E985" s="3" t="s">
        <v>22</v>
      </c>
      <c r="F985" s="3">
        <v>1</v>
      </c>
      <c r="G985" s="3">
        <v>10347.09</v>
      </c>
      <c r="H985" s="3">
        <v>10347.09</v>
      </c>
      <c r="I985" s="3" t="s">
        <v>281</v>
      </c>
      <c r="J985" s="3">
        <v>348</v>
      </c>
      <c r="K985" s="3" t="s">
        <v>28</v>
      </c>
      <c r="L985" s="3" t="s">
        <v>48</v>
      </c>
      <c r="M985" s="3" t="s">
        <v>31</v>
      </c>
      <c r="N985" s="3" t="s">
        <v>17</v>
      </c>
    </row>
    <row r="986" spans="1:14" x14ac:dyDescent="0.3">
      <c r="A986" s="2" t="s">
        <v>9701</v>
      </c>
      <c r="B986" s="2" t="s">
        <v>309</v>
      </c>
      <c r="C986" s="2" t="s">
        <v>18</v>
      </c>
      <c r="D986" s="2" t="s">
        <v>225</v>
      </c>
      <c r="E986" s="2" t="s">
        <v>39</v>
      </c>
      <c r="F986" s="2">
        <v>29</v>
      </c>
      <c r="G986" s="2">
        <v>22421.85</v>
      </c>
      <c r="H986" s="2">
        <v>773.17</v>
      </c>
      <c r="I986" s="2" t="s">
        <v>3802</v>
      </c>
      <c r="J986" s="2">
        <v>145</v>
      </c>
      <c r="K986" s="2" t="s">
        <v>28</v>
      </c>
      <c r="L986" s="2" t="s">
        <v>48</v>
      </c>
      <c r="M986" s="2" t="s">
        <v>31</v>
      </c>
      <c r="N986" s="2" t="s">
        <v>32</v>
      </c>
    </row>
    <row r="987" spans="1:14" x14ac:dyDescent="0.3">
      <c r="A987" s="3" t="s">
        <v>6217</v>
      </c>
      <c r="B987" s="3" t="s">
        <v>2345</v>
      </c>
      <c r="C987" s="3" t="s">
        <v>33</v>
      </c>
      <c r="D987" s="3" t="s">
        <v>334</v>
      </c>
      <c r="E987" s="3" t="s">
        <v>29</v>
      </c>
      <c r="F987" s="3">
        <v>5</v>
      </c>
      <c r="G987" s="3">
        <v>105519.86</v>
      </c>
      <c r="H987" s="3">
        <v>21103.97</v>
      </c>
      <c r="I987" s="3" t="s">
        <v>2069</v>
      </c>
      <c r="J987" s="3">
        <v>138</v>
      </c>
      <c r="K987" s="3" t="s">
        <v>13</v>
      </c>
      <c r="L987" s="3" t="s">
        <v>40</v>
      </c>
      <c r="M987" s="3" t="s">
        <v>16</v>
      </c>
      <c r="N987" s="3" t="s">
        <v>32</v>
      </c>
    </row>
    <row r="988" spans="1:14" x14ac:dyDescent="0.3">
      <c r="A988" s="2" t="s">
        <v>9702</v>
      </c>
      <c r="B988" s="2" t="s">
        <v>1131</v>
      </c>
      <c r="C988" s="2" t="s">
        <v>42</v>
      </c>
      <c r="D988" s="2" t="s">
        <v>712</v>
      </c>
      <c r="E988" s="2" t="s">
        <v>14</v>
      </c>
      <c r="F988" s="2">
        <v>25</v>
      </c>
      <c r="G988" s="2">
        <v>32716.639999999999</v>
      </c>
      <c r="H988" s="2">
        <v>1308.67</v>
      </c>
      <c r="I988" s="2" t="s">
        <v>4578</v>
      </c>
      <c r="J988" s="2">
        <v>276</v>
      </c>
      <c r="K988" s="2" t="s">
        <v>13</v>
      </c>
      <c r="L988" s="2" t="s">
        <v>48</v>
      </c>
      <c r="M988" s="2" t="s">
        <v>31</v>
      </c>
      <c r="N988" s="2" t="s">
        <v>17</v>
      </c>
    </row>
    <row r="989" spans="1:14" x14ac:dyDescent="0.3">
      <c r="A989" s="3" t="s">
        <v>9703</v>
      </c>
      <c r="B989" s="3" t="s">
        <v>2339</v>
      </c>
      <c r="C989" s="3" t="s">
        <v>42</v>
      </c>
      <c r="D989" s="3" t="s">
        <v>324</v>
      </c>
      <c r="E989" s="3" t="s">
        <v>39</v>
      </c>
      <c r="F989" s="3">
        <v>30</v>
      </c>
      <c r="G989" s="3">
        <v>109226.98</v>
      </c>
      <c r="H989" s="3">
        <v>3640.9</v>
      </c>
      <c r="I989" s="3" t="s">
        <v>1337</v>
      </c>
      <c r="J989" s="3">
        <v>252</v>
      </c>
      <c r="K989" s="3" t="s">
        <v>19</v>
      </c>
      <c r="L989" s="3" t="s">
        <v>30</v>
      </c>
      <c r="M989" s="3" t="s">
        <v>16</v>
      </c>
      <c r="N989" s="3" t="s">
        <v>17</v>
      </c>
    </row>
    <row r="990" spans="1:14" x14ac:dyDescent="0.3">
      <c r="A990" s="2" t="s">
        <v>9704</v>
      </c>
      <c r="B990" s="2" t="s">
        <v>495</v>
      </c>
      <c r="C990" s="2" t="s">
        <v>42</v>
      </c>
      <c r="D990" s="2" t="s">
        <v>183</v>
      </c>
      <c r="E990" s="2" t="s">
        <v>14</v>
      </c>
      <c r="F990" s="2">
        <v>25</v>
      </c>
      <c r="G990" s="2">
        <v>60961.23</v>
      </c>
      <c r="H990" s="2">
        <v>2438.4499999999998</v>
      </c>
      <c r="I990" s="2" t="s">
        <v>2106</v>
      </c>
      <c r="J990" s="2">
        <v>125</v>
      </c>
      <c r="K990" s="2" t="s">
        <v>21</v>
      </c>
      <c r="L990" s="2" t="s">
        <v>43</v>
      </c>
      <c r="M990" s="2" t="s">
        <v>24</v>
      </c>
      <c r="N990" s="2" t="s">
        <v>32</v>
      </c>
    </row>
    <row r="991" spans="1:14" x14ac:dyDescent="0.3">
      <c r="A991" s="3" t="s">
        <v>9705</v>
      </c>
      <c r="B991" s="3" t="s">
        <v>339</v>
      </c>
      <c r="C991" s="3" t="s">
        <v>42</v>
      </c>
      <c r="D991" s="3" t="s">
        <v>738</v>
      </c>
      <c r="E991" s="3" t="s">
        <v>22</v>
      </c>
      <c r="F991" s="3">
        <v>10</v>
      </c>
      <c r="G991" s="3">
        <v>1419.09</v>
      </c>
      <c r="H991" s="3">
        <v>141.91</v>
      </c>
      <c r="I991" s="3" t="s">
        <v>3773</v>
      </c>
      <c r="J991" s="3">
        <v>309</v>
      </c>
      <c r="K991" s="3" t="s">
        <v>28</v>
      </c>
      <c r="L991" s="3" t="s">
        <v>48</v>
      </c>
      <c r="M991" s="3" t="s">
        <v>41</v>
      </c>
      <c r="N991" s="3" t="s">
        <v>17</v>
      </c>
    </row>
    <row r="992" spans="1:14" x14ac:dyDescent="0.3">
      <c r="A992" s="2" t="s">
        <v>9706</v>
      </c>
      <c r="B992" s="2" t="s">
        <v>3848</v>
      </c>
      <c r="C992" s="2" t="s">
        <v>42</v>
      </c>
      <c r="D992" s="2" t="s">
        <v>254</v>
      </c>
      <c r="E992" s="2" t="s">
        <v>22</v>
      </c>
      <c r="F992" s="2">
        <v>23</v>
      </c>
      <c r="G992" s="2">
        <v>85564.23</v>
      </c>
      <c r="H992" s="2">
        <v>3720.18</v>
      </c>
      <c r="I992" s="2" t="s">
        <v>1093</v>
      </c>
      <c r="J992" s="2">
        <v>325</v>
      </c>
      <c r="K992" s="2" t="s">
        <v>19</v>
      </c>
      <c r="L992" s="2" t="s">
        <v>48</v>
      </c>
      <c r="M992" s="2" t="s">
        <v>24</v>
      </c>
      <c r="N992" s="2" t="s">
        <v>17</v>
      </c>
    </row>
    <row r="993" spans="1:14" x14ac:dyDescent="0.3">
      <c r="A993" s="3" t="s">
        <v>9707</v>
      </c>
      <c r="B993" s="3" t="s">
        <v>2882</v>
      </c>
      <c r="C993" s="3" t="s">
        <v>33</v>
      </c>
      <c r="D993" s="3" t="s">
        <v>171</v>
      </c>
      <c r="E993" s="3" t="s">
        <v>14</v>
      </c>
      <c r="F993" s="3">
        <v>22</v>
      </c>
      <c r="G993" s="3">
        <v>176307.86</v>
      </c>
      <c r="H993" s="3">
        <v>8013.99</v>
      </c>
      <c r="I993" s="3" t="s">
        <v>9046</v>
      </c>
      <c r="J993" s="3">
        <v>239</v>
      </c>
      <c r="K993" s="3" t="s">
        <v>19</v>
      </c>
      <c r="L993" s="3" t="s">
        <v>23</v>
      </c>
      <c r="M993" s="3" t="s">
        <v>16</v>
      </c>
      <c r="N993" s="3" t="s">
        <v>17</v>
      </c>
    </row>
    <row r="994" spans="1:14" x14ac:dyDescent="0.3">
      <c r="A994" s="2" t="s">
        <v>9708</v>
      </c>
      <c r="B994" s="2" t="s">
        <v>200</v>
      </c>
      <c r="C994" s="2" t="s">
        <v>18</v>
      </c>
      <c r="D994" s="2" t="s">
        <v>834</v>
      </c>
      <c r="E994" s="2" t="s">
        <v>29</v>
      </c>
      <c r="F994" s="2">
        <v>7</v>
      </c>
      <c r="G994" s="2">
        <v>151969.87</v>
      </c>
      <c r="H994" s="2">
        <v>21709.98</v>
      </c>
      <c r="I994" s="2" t="s">
        <v>1726</v>
      </c>
      <c r="J994" s="2">
        <v>291</v>
      </c>
      <c r="K994" s="2" t="s">
        <v>19</v>
      </c>
      <c r="L994" s="2" t="s">
        <v>43</v>
      </c>
      <c r="M994" s="2" t="s">
        <v>16</v>
      </c>
      <c r="N994" s="2" t="s">
        <v>17</v>
      </c>
    </row>
    <row r="995" spans="1:14" x14ac:dyDescent="0.3">
      <c r="A995" s="3" t="s">
        <v>854</v>
      </c>
      <c r="B995" s="3" t="s">
        <v>1419</v>
      </c>
      <c r="C995" s="3" t="s">
        <v>18</v>
      </c>
      <c r="D995" s="3" t="s">
        <v>215</v>
      </c>
      <c r="E995" s="3" t="s">
        <v>14</v>
      </c>
      <c r="F995" s="3">
        <v>20</v>
      </c>
      <c r="G995" s="3">
        <v>48620.81</v>
      </c>
      <c r="H995" s="3">
        <v>2431.04</v>
      </c>
      <c r="I995" s="3" t="s">
        <v>612</v>
      </c>
      <c r="J995" s="3">
        <v>326</v>
      </c>
      <c r="K995" s="3" t="s">
        <v>21</v>
      </c>
      <c r="L995" s="3" t="s">
        <v>43</v>
      </c>
      <c r="M995" s="3" t="s">
        <v>31</v>
      </c>
      <c r="N995" s="3" t="s">
        <v>17</v>
      </c>
    </row>
    <row r="996" spans="1:14" x14ac:dyDescent="0.3">
      <c r="A996" s="2" t="s">
        <v>9709</v>
      </c>
      <c r="B996" s="2" t="s">
        <v>782</v>
      </c>
      <c r="C996" s="2" t="s">
        <v>42</v>
      </c>
      <c r="D996" s="2" t="s">
        <v>443</v>
      </c>
      <c r="E996" s="2" t="s">
        <v>22</v>
      </c>
      <c r="F996" s="2">
        <v>17</v>
      </c>
      <c r="G996" s="2">
        <v>54167.82</v>
      </c>
      <c r="H996" s="2">
        <v>3186.34</v>
      </c>
      <c r="I996" s="2" t="s">
        <v>1197</v>
      </c>
      <c r="J996" s="2">
        <v>339</v>
      </c>
      <c r="K996" s="2" t="s">
        <v>19</v>
      </c>
      <c r="L996" s="2" t="s">
        <v>40</v>
      </c>
      <c r="M996" s="2" t="s">
        <v>24</v>
      </c>
      <c r="N996" s="2" t="s">
        <v>17</v>
      </c>
    </row>
    <row r="997" spans="1:14" x14ac:dyDescent="0.3">
      <c r="A997" s="3" t="s">
        <v>6050</v>
      </c>
      <c r="B997" s="3" t="s">
        <v>90</v>
      </c>
      <c r="C997" s="3" t="s">
        <v>33</v>
      </c>
      <c r="D997" s="3" t="s">
        <v>183</v>
      </c>
      <c r="E997" s="3" t="s">
        <v>14</v>
      </c>
      <c r="F997" s="3">
        <v>13</v>
      </c>
      <c r="G997" s="3">
        <v>144963.35999999999</v>
      </c>
      <c r="H997" s="3">
        <v>11151.03</v>
      </c>
      <c r="I997" s="3" t="s">
        <v>2462</v>
      </c>
      <c r="J997" s="3">
        <v>117</v>
      </c>
      <c r="K997" s="3" t="s">
        <v>19</v>
      </c>
      <c r="L997" s="3" t="s">
        <v>40</v>
      </c>
      <c r="M997" s="3" t="s">
        <v>16</v>
      </c>
      <c r="N997" s="3" t="s">
        <v>32</v>
      </c>
    </row>
    <row r="998" spans="1:14" x14ac:dyDescent="0.3">
      <c r="A998" s="2" t="s">
        <v>9710</v>
      </c>
      <c r="B998" s="2" t="s">
        <v>348</v>
      </c>
      <c r="C998" s="2" t="s">
        <v>18</v>
      </c>
      <c r="D998" s="2" t="s">
        <v>122</v>
      </c>
      <c r="E998" s="2" t="s">
        <v>22</v>
      </c>
      <c r="F998" s="2">
        <v>29</v>
      </c>
      <c r="G998" s="2">
        <v>167160.93</v>
      </c>
      <c r="H998" s="2">
        <v>5764.17</v>
      </c>
      <c r="I998" s="2" t="s">
        <v>2013</v>
      </c>
      <c r="J998" s="2">
        <v>160</v>
      </c>
      <c r="K998" s="2" t="s">
        <v>13</v>
      </c>
      <c r="L998" s="2" t="s">
        <v>30</v>
      </c>
      <c r="M998" s="2" t="s">
        <v>16</v>
      </c>
      <c r="N998" s="2" t="s">
        <v>32</v>
      </c>
    </row>
    <row r="999" spans="1:14" x14ac:dyDescent="0.3">
      <c r="A999" s="3" t="s">
        <v>9711</v>
      </c>
      <c r="B999" s="3" t="s">
        <v>1311</v>
      </c>
      <c r="C999" s="3" t="s">
        <v>18</v>
      </c>
      <c r="D999" s="3" t="s">
        <v>148</v>
      </c>
      <c r="E999" s="3" t="s">
        <v>29</v>
      </c>
      <c r="F999" s="3">
        <v>6</v>
      </c>
      <c r="G999" s="3">
        <v>116667.11</v>
      </c>
      <c r="H999" s="3">
        <v>19444.52</v>
      </c>
      <c r="I999" s="3" t="s">
        <v>313</v>
      </c>
      <c r="J999" s="3">
        <v>64</v>
      </c>
      <c r="K999" s="3" t="s">
        <v>13</v>
      </c>
      <c r="L999" s="3" t="s">
        <v>15</v>
      </c>
      <c r="M999" s="3" t="s">
        <v>16</v>
      </c>
      <c r="N999" s="3" t="s">
        <v>25</v>
      </c>
    </row>
    <row r="1000" spans="1:14" x14ac:dyDescent="0.3">
      <c r="A1000" s="2" t="s">
        <v>9712</v>
      </c>
      <c r="B1000" s="2" t="s">
        <v>1809</v>
      </c>
      <c r="C1000" s="2" t="s">
        <v>33</v>
      </c>
      <c r="D1000" s="2" t="s">
        <v>254</v>
      </c>
      <c r="E1000" s="2" t="s">
        <v>22</v>
      </c>
      <c r="F1000" s="2">
        <v>27</v>
      </c>
      <c r="G1000" s="2">
        <v>1225.6600000000001</v>
      </c>
      <c r="H1000" s="2">
        <v>45.39</v>
      </c>
      <c r="I1000" s="2" t="s">
        <v>2253</v>
      </c>
      <c r="J1000" s="2">
        <v>358</v>
      </c>
      <c r="K1000" s="2" t="s">
        <v>28</v>
      </c>
      <c r="L1000" s="2" t="s">
        <v>48</v>
      </c>
      <c r="M1000" s="2" t="s">
        <v>41</v>
      </c>
      <c r="N1000" s="2" t="s">
        <v>17</v>
      </c>
    </row>
    <row r="1001" spans="1:14" x14ac:dyDescent="0.3">
      <c r="A1001" s="3" t="s">
        <v>9713</v>
      </c>
      <c r="B1001" s="3" t="s">
        <v>2772</v>
      </c>
      <c r="C1001" s="3" t="s">
        <v>26</v>
      </c>
      <c r="D1001" s="3" t="s">
        <v>314</v>
      </c>
      <c r="E1001" s="3" t="s">
        <v>39</v>
      </c>
      <c r="F1001" s="3">
        <v>1</v>
      </c>
      <c r="G1001" s="3">
        <v>156013.82999999999</v>
      </c>
      <c r="H1001" s="3">
        <v>156013.82999999999</v>
      </c>
      <c r="I1001" s="3" t="s">
        <v>1784</v>
      </c>
      <c r="J1001" s="3">
        <v>214</v>
      </c>
      <c r="K1001" s="3" t="s">
        <v>13</v>
      </c>
      <c r="L1001" s="3" t="s">
        <v>47</v>
      </c>
      <c r="M1001" s="3" t="s">
        <v>16</v>
      </c>
      <c r="N1001" s="3" t="s">
        <v>17</v>
      </c>
    </row>
    <row r="1002" spans="1:14" x14ac:dyDescent="0.3">
      <c r="A1002" s="2" t="s">
        <v>9714</v>
      </c>
      <c r="B1002" s="2" t="s">
        <v>1630</v>
      </c>
      <c r="C1002" s="2" t="s">
        <v>18</v>
      </c>
      <c r="D1002" s="2" t="s">
        <v>334</v>
      </c>
      <c r="E1002" s="2" t="s">
        <v>29</v>
      </c>
      <c r="F1002" s="2">
        <v>27</v>
      </c>
      <c r="G1002" s="2">
        <v>180236.61</v>
      </c>
      <c r="H1002" s="2">
        <v>6675.43</v>
      </c>
      <c r="I1002" s="2" t="s">
        <v>1211</v>
      </c>
      <c r="J1002" s="2">
        <v>128</v>
      </c>
      <c r="K1002" s="2" t="s">
        <v>13</v>
      </c>
      <c r="L1002" s="2" t="s">
        <v>30</v>
      </c>
      <c r="M1002" s="2" t="s">
        <v>16</v>
      </c>
      <c r="N1002" s="2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M721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4" width="12" customWidth="1"/>
    <col min="5" max="5" width="15" customWidth="1"/>
    <col min="6" max="6" width="14" customWidth="1"/>
    <col min="7" max="7" width="12" customWidth="1"/>
    <col min="8" max="8" width="19" customWidth="1"/>
    <col min="9" max="9" width="20" customWidth="1"/>
    <col min="10" max="10" width="18" customWidth="1"/>
    <col min="11" max="11" width="12" customWidth="1"/>
    <col min="12" max="12" width="18" customWidth="1"/>
    <col min="13" max="13" width="16" customWidth="1"/>
  </cols>
  <sheetData>
    <row r="1" spans="1:13" x14ac:dyDescent="0.3">
      <c r="A1" s="6" t="s">
        <v>6</v>
      </c>
      <c r="B1" s="6" t="s">
        <v>9715</v>
      </c>
      <c r="C1" s="6" t="s">
        <v>1</v>
      </c>
      <c r="D1" s="6" t="s">
        <v>4</v>
      </c>
      <c r="E1" s="6" t="s">
        <v>8901</v>
      </c>
      <c r="F1" s="6" t="s">
        <v>9716</v>
      </c>
      <c r="G1" s="6" t="s">
        <v>80</v>
      </c>
      <c r="H1" s="6" t="s">
        <v>81</v>
      </c>
      <c r="I1" s="6" t="s">
        <v>82</v>
      </c>
      <c r="J1" s="6" t="s">
        <v>8903</v>
      </c>
      <c r="K1" s="6" t="s">
        <v>9717</v>
      </c>
      <c r="L1" s="6" t="s">
        <v>9718</v>
      </c>
      <c r="M1" s="6" t="s">
        <v>9719</v>
      </c>
    </row>
    <row r="2" spans="1:13" x14ac:dyDescent="0.3">
      <c r="A2" s="2">
        <v>2022</v>
      </c>
      <c r="B2" s="2" t="s">
        <v>9720</v>
      </c>
      <c r="C2" s="2" t="s">
        <v>21</v>
      </c>
      <c r="D2" s="2" t="s">
        <v>22</v>
      </c>
      <c r="E2" s="2">
        <v>207</v>
      </c>
      <c r="F2" s="2">
        <v>97798.16</v>
      </c>
      <c r="G2" s="2">
        <v>56935.87</v>
      </c>
      <c r="H2" s="2">
        <v>40862.29</v>
      </c>
      <c r="I2" s="2">
        <v>41.78</v>
      </c>
      <c r="J2" s="2">
        <v>472.45</v>
      </c>
      <c r="K2" s="2">
        <v>22</v>
      </c>
      <c r="L2" s="2">
        <v>10.63</v>
      </c>
      <c r="M2" s="2">
        <v>44</v>
      </c>
    </row>
    <row r="3" spans="1:13" x14ac:dyDescent="0.3">
      <c r="A3" s="3">
        <v>2022</v>
      </c>
      <c r="B3" s="3" t="s">
        <v>9720</v>
      </c>
      <c r="C3" s="3" t="s">
        <v>21</v>
      </c>
      <c r="D3" s="3" t="s">
        <v>29</v>
      </c>
      <c r="E3" s="3">
        <v>101</v>
      </c>
      <c r="F3" s="3">
        <v>131045.36</v>
      </c>
      <c r="G3" s="3">
        <v>72854.2</v>
      </c>
      <c r="H3" s="3">
        <v>58191.16</v>
      </c>
      <c r="I3" s="3">
        <v>44.41</v>
      </c>
      <c r="J3" s="3">
        <v>1297.48</v>
      </c>
      <c r="K3" s="3">
        <v>13</v>
      </c>
      <c r="L3" s="3">
        <v>12.87</v>
      </c>
      <c r="M3" s="3">
        <v>43</v>
      </c>
    </row>
    <row r="4" spans="1:13" x14ac:dyDescent="0.3">
      <c r="A4" s="2">
        <v>2022</v>
      </c>
      <c r="B4" s="2" t="s">
        <v>9720</v>
      </c>
      <c r="C4" s="2" t="s">
        <v>21</v>
      </c>
      <c r="D4" s="2" t="s">
        <v>14</v>
      </c>
      <c r="E4" s="2">
        <v>99</v>
      </c>
      <c r="F4" s="2">
        <v>2638714.61</v>
      </c>
      <c r="G4" s="2">
        <v>1795840.05</v>
      </c>
      <c r="H4" s="2">
        <v>842874.56</v>
      </c>
      <c r="I4" s="2">
        <v>31.94</v>
      </c>
      <c r="J4" s="2">
        <v>26653.68</v>
      </c>
      <c r="K4" s="2">
        <v>18</v>
      </c>
      <c r="L4" s="2">
        <v>18.18</v>
      </c>
      <c r="M4" s="2">
        <v>52</v>
      </c>
    </row>
    <row r="5" spans="1:13" x14ac:dyDescent="0.3">
      <c r="A5" s="3">
        <v>2022</v>
      </c>
      <c r="B5" s="3" t="s">
        <v>9720</v>
      </c>
      <c r="C5" s="3" t="s">
        <v>21</v>
      </c>
      <c r="D5" s="3" t="s">
        <v>39</v>
      </c>
      <c r="E5" s="3">
        <v>93</v>
      </c>
      <c r="F5" s="3">
        <v>3540125</v>
      </c>
      <c r="G5" s="3">
        <v>1887164.68</v>
      </c>
      <c r="H5" s="3">
        <v>1652960.32</v>
      </c>
      <c r="I5" s="3">
        <v>46.69</v>
      </c>
      <c r="J5" s="3">
        <v>38065.86</v>
      </c>
      <c r="K5" s="3">
        <v>30</v>
      </c>
      <c r="L5" s="3">
        <v>32.26</v>
      </c>
      <c r="M5" s="3">
        <v>91</v>
      </c>
    </row>
    <row r="6" spans="1:13" x14ac:dyDescent="0.3">
      <c r="A6" s="2">
        <v>2022</v>
      </c>
      <c r="B6" s="2" t="s">
        <v>9720</v>
      </c>
      <c r="C6" s="2" t="s">
        <v>19</v>
      </c>
      <c r="D6" s="2" t="s">
        <v>22</v>
      </c>
      <c r="E6" s="2">
        <v>115</v>
      </c>
      <c r="F6" s="2">
        <v>4759961.57</v>
      </c>
      <c r="G6" s="2">
        <v>2652446.6</v>
      </c>
      <c r="H6" s="2">
        <v>2107514.9700000002</v>
      </c>
      <c r="I6" s="2">
        <v>44.28</v>
      </c>
      <c r="J6" s="2">
        <v>41390.97</v>
      </c>
      <c r="K6" s="2">
        <v>4</v>
      </c>
      <c r="L6" s="2">
        <v>3.48</v>
      </c>
      <c r="M6" s="2">
        <v>93</v>
      </c>
    </row>
    <row r="7" spans="1:13" x14ac:dyDescent="0.3">
      <c r="A7" s="3">
        <v>2022</v>
      </c>
      <c r="B7" s="3" t="s">
        <v>9720</v>
      </c>
      <c r="C7" s="3" t="s">
        <v>19</v>
      </c>
      <c r="D7" s="3" t="s">
        <v>29</v>
      </c>
      <c r="E7" s="3">
        <v>46</v>
      </c>
      <c r="F7" s="3">
        <v>3937638.58</v>
      </c>
      <c r="G7" s="3">
        <v>2695247.38</v>
      </c>
      <c r="H7" s="3">
        <v>1242391.2</v>
      </c>
      <c r="I7" s="3">
        <v>31.55</v>
      </c>
      <c r="J7" s="3">
        <v>85600.84</v>
      </c>
      <c r="K7" s="3">
        <v>0</v>
      </c>
      <c r="L7" s="3">
        <v>0</v>
      </c>
      <c r="M7" s="3">
        <v>42</v>
      </c>
    </row>
    <row r="8" spans="1:13" x14ac:dyDescent="0.3">
      <c r="A8" s="2">
        <v>2022</v>
      </c>
      <c r="B8" s="2" t="s">
        <v>9720</v>
      </c>
      <c r="C8" s="2" t="s">
        <v>19</v>
      </c>
      <c r="D8" s="2" t="s">
        <v>14</v>
      </c>
      <c r="E8" s="2">
        <v>98</v>
      </c>
      <c r="F8" s="2">
        <v>3333311.24</v>
      </c>
      <c r="G8" s="2">
        <v>1898593.19</v>
      </c>
      <c r="H8" s="2">
        <v>1434718.05</v>
      </c>
      <c r="I8" s="2">
        <v>43.04</v>
      </c>
      <c r="J8" s="2">
        <v>34013.379999999997</v>
      </c>
      <c r="K8" s="2">
        <v>22</v>
      </c>
      <c r="L8" s="2">
        <v>22.45</v>
      </c>
      <c r="M8" s="2">
        <v>42</v>
      </c>
    </row>
    <row r="9" spans="1:13" x14ac:dyDescent="0.3">
      <c r="A9" s="3">
        <v>2022</v>
      </c>
      <c r="B9" s="3" t="s">
        <v>9720</v>
      </c>
      <c r="C9" s="3" t="s">
        <v>19</v>
      </c>
      <c r="D9" s="3" t="s">
        <v>39</v>
      </c>
      <c r="E9" s="3">
        <v>139</v>
      </c>
      <c r="F9" s="3">
        <v>921735.6</v>
      </c>
      <c r="G9" s="3">
        <v>571433.57999999996</v>
      </c>
      <c r="H9" s="3">
        <v>350302.02</v>
      </c>
      <c r="I9" s="3">
        <v>38</v>
      </c>
      <c r="J9" s="3">
        <v>6631.19</v>
      </c>
      <c r="K9" s="3">
        <v>2</v>
      </c>
      <c r="L9" s="3">
        <v>1.44</v>
      </c>
      <c r="M9" s="3">
        <v>29</v>
      </c>
    </row>
    <row r="10" spans="1:13" x14ac:dyDescent="0.3">
      <c r="A10" s="2">
        <v>2022</v>
      </c>
      <c r="B10" s="2" t="s">
        <v>9720</v>
      </c>
      <c r="C10" s="2" t="s">
        <v>13</v>
      </c>
      <c r="D10" s="2" t="s">
        <v>22</v>
      </c>
      <c r="E10" s="2">
        <v>264</v>
      </c>
      <c r="F10" s="2">
        <v>4327755.1100000003</v>
      </c>
      <c r="G10" s="2">
        <v>2196399.9500000002</v>
      </c>
      <c r="H10" s="2">
        <v>2131355.16</v>
      </c>
      <c r="I10" s="2">
        <v>49.25</v>
      </c>
      <c r="J10" s="2">
        <v>16393.009999999998</v>
      </c>
      <c r="K10" s="2">
        <v>15</v>
      </c>
      <c r="L10" s="2">
        <v>5.68</v>
      </c>
      <c r="M10" s="2">
        <v>22</v>
      </c>
    </row>
    <row r="11" spans="1:13" x14ac:dyDescent="0.3">
      <c r="A11" s="3">
        <v>2022</v>
      </c>
      <c r="B11" s="3" t="s">
        <v>9720</v>
      </c>
      <c r="C11" s="3" t="s">
        <v>13</v>
      </c>
      <c r="D11" s="3" t="s">
        <v>29</v>
      </c>
      <c r="E11" s="3">
        <v>99</v>
      </c>
      <c r="F11" s="3">
        <v>1412723.08</v>
      </c>
      <c r="G11" s="3">
        <v>737233.14</v>
      </c>
      <c r="H11" s="3">
        <v>675489.94</v>
      </c>
      <c r="I11" s="3">
        <v>47.81</v>
      </c>
      <c r="J11" s="3">
        <v>14269.93</v>
      </c>
      <c r="K11" s="3">
        <v>8</v>
      </c>
      <c r="L11" s="3">
        <v>8.08</v>
      </c>
      <c r="M11" s="3">
        <v>56</v>
      </c>
    </row>
    <row r="12" spans="1:13" x14ac:dyDescent="0.3">
      <c r="A12" s="2">
        <v>2022</v>
      </c>
      <c r="B12" s="2" t="s">
        <v>9720</v>
      </c>
      <c r="C12" s="2" t="s">
        <v>13</v>
      </c>
      <c r="D12" s="2" t="s">
        <v>14</v>
      </c>
      <c r="E12" s="2">
        <v>133</v>
      </c>
      <c r="F12" s="2">
        <v>981158.01</v>
      </c>
      <c r="G12" s="2">
        <v>684601.21</v>
      </c>
      <c r="H12" s="2">
        <v>296556.79999999999</v>
      </c>
      <c r="I12" s="2">
        <v>30.23</v>
      </c>
      <c r="J12" s="2">
        <v>7377.13</v>
      </c>
      <c r="K12" s="2">
        <v>16</v>
      </c>
      <c r="L12" s="2">
        <v>12.03</v>
      </c>
      <c r="M12" s="2">
        <v>75</v>
      </c>
    </row>
    <row r="13" spans="1:13" x14ac:dyDescent="0.3">
      <c r="A13" s="3">
        <v>2022</v>
      </c>
      <c r="B13" s="3" t="s">
        <v>9720</v>
      </c>
      <c r="C13" s="3" t="s">
        <v>13</v>
      </c>
      <c r="D13" s="3" t="s">
        <v>39</v>
      </c>
      <c r="E13" s="3">
        <v>164</v>
      </c>
      <c r="F13" s="3">
        <v>1637947.04</v>
      </c>
      <c r="G13" s="3">
        <v>1023539.98</v>
      </c>
      <c r="H13" s="3">
        <v>614407.06000000006</v>
      </c>
      <c r="I13" s="3">
        <v>37.51</v>
      </c>
      <c r="J13" s="3">
        <v>9987.48</v>
      </c>
      <c r="K13" s="3">
        <v>0</v>
      </c>
      <c r="L13" s="3">
        <v>0</v>
      </c>
      <c r="M13" s="3">
        <v>46</v>
      </c>
    </row>
    <row r="14" spans="1:13" x14ac:dyDescent="0.3">
      <c r="A14" s="2">
        <v>2022</v>
      </c>
      <c r="B14" s="2" t="s">
        <v>9720</v>
      </c>
      <c r="C14" s="2" t="s">
        <v>27</v>
      </c>
      <c r="D14" s="2" t="s">
        <v>22</v>
      </c>
      <c r="E14" s="2">
        <v>24</v>
      </c>
      <c r="F14" s="2">
        <v>2212215.7999999998</v>
      </c>
      <c r="G14" s="2">
        <v>1398695.11</v>
      </c>
      <c r="H14" s="2">
        <v>813520.69</v>
      </c>
      <c r="I14" s="2">
        <v>36.770000000000003</v>
      </c>
      <c r="J14" s="2">
        <v>92175.66</v>
      </c>
      <c r="K14" s="2">
        <v>17</v>
      </c>
      <c r="L14" s="2">
        <v>70.83</v>
      </c>
      <c r="M14" s="2">
        <v>67</v>
      </c>
    </row>
    <row r="15" spans="1:13" x14ac:dyDescent="0.3">
      <c r="A15" s="3">
        <v>2022</v>
      </c>
      <c r="B15" s="3" t="s">
        <v>9720</v>
      </c>
      <c r="C15" s="3" t="s">
        <v>27</v>
      </c>
      <c r="D15" s="3" t="s">
        <v>29</v>
      </c>
      <c r="E15" s="3">
        <v>211</v>
      </c>
      <c r="F15" s="3">
        <v>2670345.4300000002</v>
      </c>
      <c r="G15" s="3">
        <v>1504133.56</v>
      </c>
      <c r="H15" s="3">
        <v>1166211.8700000001</v>
      </c>
      <c r="I15" s="3">
        <v>43.67</v>
      </c>
      <c r="J15" s="3">
        <v>12655.67</v>
      </c>
      <c r="K15" s="3">
        <v>30</v>
      </c>
      <c r="L15" s="3">
        <v>14.22</v>
      </c>
      <c r="M15" s="3">
        <v>49</v>
      </c>
    </row>
    <row r="16" spans="1:13" x14ac:dyDescent="0.3">
      <c r="A16" s="2">
        <v>2022</v>
      </c>
      <c r="B16" s="2" t="s">
        <v>9720</v>
      </c>
      <c r="C16" s="2" t="s">
        <v>27</v>
      </c>
      <c r="D16" s="2" t="s">
        <v>14</v>
      </c>
      <c r="E16" s="2">
        <v>270</v>
      </c>
      <c r="F16" s="2">
        <v>4802707.67</v>
      </c>
      <c r="G16" s="2">
        <v>2663267.71</v>
      </c>
      <c r="H16" s="2">
        <v>2139439.96</v>
      </c>
      <c r="I16" s="2">
        <v>44.55</v>
      </c>
      <c r="J16" s="2">
        <v>17787.810000000001</v>
      </c>
      <c r="K16" s="2">
        <v>19</v>
      </c>
      <c r="L16" s="2">
        <v>7.04</v>
      </c>
      <c r="M16" s="2">
        <v>24</v>
      </c>
    </row>
    <row r="17" spans="1:13" x14ac:dyDescent="0.3">
      <c r="A17" s="3">
        <v>2022</v>
      </c>
      <c r="B17" s="3" t="s">
        <v>9720</v>
      </c>
      <c r="C17" s="3" t="s">
        <v>27</v>
      </c>
      <c r="D17" s="3" t="s">
        <v>39</v>
      </c>
      <c r="E17" s="3">
        <v>210</v>
      </c>
      <c r="F17" s="3">
        <v>2847217.48</v>
      </c>
      <c r="G17" s="3">
        <v>1710639.52</v>
      </c>
      <c r="H17" s="3">
        <v>1136577.96</v>
      </c>
      <c r="I17" s="3">
        <v>39.92</v>
      </c>
      <c r="J17" s="3">
        <v>13558.18</v>
      </c>
      <c r="K17" s="3">
        <v>13</v>
      </c>
      <c r="L17" s="3">
        <v>6.19</v>
      </c>
      <c r="M17" s="3">
        <v>38</v>
      </c>
    </row>
    <row r="18" spans="1:13" x14ac:dyDescent="0.3">
      <c r="A18" s="2">
        <v>2022</v>
      </c>
      <c r="B18" s="2" t="s">
        <v>9720</v>
      </c>
      <c r="C18" s="2" t="s">
        <v>28</v>
      </c>
      <c r="D18" s="2" t="s">
        <v>22</v>
      </c>
      <c r="E18" s="2">
        <v>30</v>
      </c>
      <c r="F18" s="2">
        <v>3812487.25</v>
      </c>
      <c r="G18" s="2">
        <v>1939190.73</v>
      </c>
      <c r="H18" s="2">
        <v>1873296.52</v>
      </c>
      <c r="I18" s="2">
        <v>49.14</v>
      </c>
      <c r="J18" s="2">
        <v>127082.91</v>
      </c>
      <c r="K18" s="2">
        <v>22</v>
      </c>
      <c r="L18" s="2">
        <v>73.33</v>
      </c>
      <c r="M18" s="2">
        <v>55</v>
      </c>
    </row>
    <row r="19" spans="1:13" x14ac:dyDescent="0.3">
      <c r="A19" s="3">
        <v>2022</v>
      </c>
      <c r="B19" s="3" t="s">
        <v>9720</v>
      </c>
      <c r="C19" s="3" t="s">
        <v>28</v>
      </c>
      <c r="D19" s="3" t="s">
        <v>29</v>
      </c>
      <c r="E19" s="3">
        <v>237</v>
      </c>
      <c r="F19" s="3">
        <v>1318524.4099999999</v>
      </c>
      <c r="G19" s="3">
        <v>821135.32</v>
      </c>
      <c r="H19" s="3">
        <v>497389.09</v>
      </c>
      <c r="I19" s="3">
        <v>37.72</v>
      </c>
      <c r="J19" s="3">
        <v>5563.39</v>
      </c>
      <c r="K19" s="3">
        <v>3</v>
      </c>
      <c r="L19" s="3">
        <v>1.27</v>
      </c>
      <c r="M19" s="3">
        <v>57</v>
      </c>
    </row>
    <row r="20" spans="1:13" x14ac:dyDescent="0.3">
      <c r="A20" s="2">
        <v>2022</v>
      </c>
      <c r="B20" s="2" t="s">
        <v>9720</v>
      </c>
      <c r="C20" s="2" t="s">
        <v>28</v>
      </c>
      <c r="D20" s="2" t="s">
        <v>14</v>
      </c>
      <c r="E20" s="2">
        <v>170</v>
      </c>
      <c r="F20" s="2">
        <v>1415724.71</v>
      </c>
      <c r="G20" s="2">
        <v>746603.03</v>
      </c>
      <c r="H20" s="2">
        <v>669121.68000000005</v>
      </c>
      <c r="I20" s="2">
        <v>47.26</v>
      </c>
      <c r="J20" s="2">
        <v>8327.7900000000009</v>
      </c>
      <c r="K20" s="2">
        <v>7</v>
      </c>
      <c r="L20" s="2">
        <v>4.12</v>
      </c>
      <c r="M20" s="2">
        <v>97</v>
      </c>
    </row>
    <row r="21" spans="1:13" x14ac:dyDescent="0.3">
      <c r="A21" s="3">
        <v>2022</v>
      </c>
      <c r="B21" s="3" t="s">
        <v>9720</v>
      </c>
      <c r="C21" s="3" t="s">
        <v>28</v>
      </c>
      <c r="D21" s="3" t="s">
        <v>39</v>
      </c>
      <c r="E21" s="3">
        <v>251</v>
      </c>
      <c r="F21" s="3">
        <v>97864.16</v>
      </c>
      <c r="G21" s="3">
        <v>64001.96</v>
      </c>
      <c r="H21" s="3">
        <v>33862.199999999997</v>
      </c>
      <c r="I21" s="3">
        <v>34.6</v>
      </c>
      <c r="J21" s="3">
        <v>389.9</v>
      </c>
      <c r="K21" s="3">
        <v>20</v>
      </c>
      <c r="L21" s="3">
        <v>7.97</v>
      </c>
      <c r="M21" s="3">
        <v>42</v>
      </c>
    </row>
    <row r="22" spans="1:13" x14ac:dyDescent="0.3">
      <c r="A22" s="2">
        <v>2022</v>
      </c>
      <c r="B22" s="2" t="s">
        <v>9721</v>
      </c>
      <c r="C22" s="2" t="s">
        <v>21</v>
      </c>
      <c r="D22" s="2" t="s">
        <v>22</v>
      </c>
      <c r="E22" s="2">
        <v>55</v>
      </c>
      <c r="F22" s="2">
        <v>1721653.29</v>
      </c>
      <c r="G22" s="2">
        <v>1171969.02</v>
      </c>
      <c r="H22" s="2">
        <v>549684.27</v>
      </c>
      <c r="I22" s="2">
        <v>31.93</v>
      </c>
      <c r="J22" s="2">
        <v>31302.79</v>
      </c>
      <c r="K22" s="2">
        <v>2</v>
      </c>
      <c r="L22" s="2">
        <v>3.64</v>
      </c>
      <c r="M22" s="2">
        <v>99</v>
      </c>
    </row>
    <row r="23" spans="1:13" x14ac:dyDescent="0.3">
      <c r="A23" s="3">
        <v>2022</v>
      </c>
      <c r="B23" s="3" t="s">
        <v>9721</v>
      </c>
      <c r="C23" s="3" t="s">
        <v>21</v>
      </c>
      <c r="D23" s="3" t="s">
        <v>29</v>
      </c>
      <c r="E23" s="3">
        <v>42</v>
      </c>
      <c r="F23" s="3">
        <v>3813549.09</v>
      </c>
      <c r="G23" s="3">
        <v>2502527.84</v>
      </c>
      <c r="H23" s="3">
        <v>1311021.25</v>
      </c>
      <c r="I23" s="3">
        <v>34.380000000000003</v>
      </c>
      <c r="J23" s="3">
        <v>90798.79</v>
      </c>
      <c r="K23" s="3">
        <v>3</v>
      </c>
      <c r="L23" s="3">
        <v>7.14</v>
      </c>
      <c r="M23" s="3">
        <v>61</v>
      </c>
    </row>
    <row r="24" spans="1:13" x14ac:dyDescent="0.3">
      <c r="A24" s="2">
        <v>2022</v>
      </c>
      <c r="B24" s="2" t="s">
        <v>9721</v>
      </c>
      <c r="C24" s="2" t="s">
        <v>21</v>
      </c>
      <c r="D24" s="2" t="s">
        <v>14</v>
      </c>
      <c r="E24" s="2">
        <v>269</v>
      </c>
      <c r="F24" s="2">
        <v>4724110.33</v>
      </c>
      <c r="G24" s="2">
        <v>2805985.43</v>
      </c>
      <c r="H24" s="2">
        <v>1918124.9</v>
      </c>
      <c r="I24" s="2">
        <v>40.6</v>
      </c>
      <c r="J24" s="2">
        <v>17561.75</v>
      </c>
      <c r="K24" s="2">
        <v>27</v>
      </c>
      <c r="L24" s="2">
        <v>10.039999999999999</v>
      </c>
      <c r="M24" s="2">
        <v>70</v>
      </c>
    </row>
    <row r="25" spans="1:13" x14ac:dyDescent="0.3">
      <c r="A25" s="3">
        <v>2022</v>
      </c>
      <c r="B25" s="3" t="s">
        <v>9721</v>
      </c>
      <c r="C25" s="3" t="s">
        <v>21</v>
      </c>
      <c r="D25" s="3" t="s">
        <v>39</v>
      </c>
      <c r="E25" s="3">
        <v>213</v>
      </c>
      <c r="F25" s="3">
        <v>460919.12</v>
      </c>
      <c r="G25" s="3">
        <v>244534.46</v>
      </c>
      <c r="H25" s="3">
        <v>216384.66</v>
      </c>
      <c r="I25" s="3">
        <v>46.95</v>
      </c>
      <c r="J25" s="3">
        <v>2163.94</v>
      </c>
      <c r="K25" s="3">
        <v>26</v>
      </c>
      <c r="L25" s="3">
        <v>12.21</v>
      </c>
      <c r="M25" s="3">
        <v>52</v>
      </c>
    </row>
    <row r="26" spans="1:13" x14ac:dyDescent="0.3">
      <c r="A26" s="2">
        <v>2022</v>
      </c>
      <c r="B26" s="2" t="s">
        <v>9721</v>
      </c>
      <c r="C26" s="2" t="s">
        <v>19</v>
      </c>
      <c r="D26" s="2" t="s">
        <v>22</v>
      </c>
      <c r="E26" s="2">
        <v>276</v>
      </c>
      <c r="F26" s="2">
        <v>4772322.21</v>
      </c>
      <c r="G26" s="2">
        <v>2817736.71</v>
      </c>
      <c r="H26" s="2">
        <v>1954585.5</v>
      </c>
      <c r="I26" s="2">
        <v>40.96</v>
      </c>
      <c r="J26" s="2">
        <v>17291.02</v>
      </c>
      <c r="K26" s="2">
        <v>12</v>
      </c>
      <c r="L26" s="2">
        <v>4.3499999999999996</v>
      </c>
      <c r="M26" s="2">
        <v>25</v>
      </c>
    </row>
    <row r="27" spans="1:13" x14ac:dyDescent="0.3">
      <c r="A27" s="3">
        <v>2022</v>
      </c>
      <c r="B27" s="3" t="s">
        <v>9721</v>
      </c>
      <c r="C27" s="3" t="s">
        <v>19</v>
      </c>
      <c r="D27" s="3" t="s">
        <v>29</v>
      </c>
      <c r="E27" s="3">
        <v>221</v>
      </c>
      <c r="F27" s="3">
        <v>3082286.09</v>
      </c>
      <c r="G27" s="3">
        <v>2089279.61</v>
      </c>
      <c r="H27" s="3">
        <v>993006.48</v>
      </c>
      <c r="I27" s="3">
        <v>32.22</v>
      </c>
      <c r="J27" s="3">
        <v>13947</v>
      </c>
      <c r="K27" s="3">
        <v>2</v>
      </c>
      <c r="L27" s="3">
        <v>0.9</v>
      </c>
      <c r="M27" s="3">
        <v>15</v>
      </c>
    </row>
    <row r="28" spans="1:13" x14ac:dyDescent="0.3">
      <c r="A28" s="2">
        <v>2022</v>
      </c>
      <c r="B28" s="2" t="s">
        <v>9721</v>
      </c>
      <c r="C28" s="2" t="s">
        <v>19</v>
      </c>
      <c r="D28" s="2" t="s">
        <v>14</v>
      </c>
      <c r="E28" s="2">
        <v>240</v>
      </c>
      <c r="F28" s="2">
        <v>1240333.31</v>
      </c>
      <c r="G28" s="2">
        <v>660922.12</v>
      </c>
      <c r="H28" s="2">
        <v>579411.18999999994</v>
      </c>
      <c r="I28" s="2">
        <v>46.71</v>
      </c>
      <c r="J28" s="2">
        <v>5168.0600000000004</v>
      </c>
      <c r="K28" s="2">
        <v>12</v>
      </c>
      <c r="L28" s="2">
        <v>5</v>
      </c>
      <c r="M28" s="2">
        <v>25</v>
      </c>
    </row>
    <row r="29" spans="1:13" x14ac:dyDescent="0.3">
      <c r="A29" s="3">
        <v>2022</v>
      </c>
      <c r="B29" s="3" t="s">
        <v>9721</v>
      </c>
      <c r="C29" s="3" t="s">
        <v>19</v>
      </c>
      <c r="D29" s="3" t="s">
        <v>39</v>
      </c>
      <c r="E29" s="3">
        <v>211</v>
      </c>
      <c r="F29" s="3">
        <v>982442.01</v>
      </c>
      <c r="G29" s="3">
        <v>594257.17000000004</v>
      </c>
      <c r="H29" s="3">
        <v>388184.84</v>
      </c>
      <c r="I29" s="3">
        <v>39.51</v>
      </c>
      <c r="J29" s="3">
        <v>4656.12</v>
      </c>
      <c r="K29" s="3">
        <v>6</v>
      </c>
      <c r="L29" s="3">
        <v>2.84</v>
      </c>
      <c r="M29" s="3">
        <v>9</v>
      </c>
    </row>
    <row r="30" spans="1:13" x14ac:dyDescent="0.3">
      <c r="A30" s="2">
        <v>2022</v>
      </c>
      <c r="B30" s="2" t="s">
        <v>9721</v>
      </c>
      <c r="C30" s="2" t="s">
        <v>13</v>
      </c>
      <c r="D30" s="2" t="s">
        <v>22</v>
      </c>
      <c r="E30" s="2">
        <v>251</v>
      </c>
      <c r="F30" s="2">
        <v>351030.12</v>
      </c>
      <c r="G30" s="2">
        <v>219668.32</v>
      </c>
      <c r="H30" s="2">
        <v>131361.79999999999</v>
      </c>
      <c r="I30" s="2">
        <v>37.42</v>
      </c>
      <c r="J30" s="2">
        <v>1398.53</v>
      </c>
      <c r="K30" s="2">
        <v>6</v>
      </c>
      <c r="L30" s="2">
        <v>2.39</v>
      </c>
      <c r="M30" s="2">
        <v>90</v>
      </c>
    </row>
    <row r="31" spans="1:13" x14ac:dyDescent="0.3">
      <c r="A31" s="3">
        <v>2022</v>
      </c>
      <c r="B31" s="3" t="s">
        <v>9721</v>
      </c>
      <c r="C31" s="3" t="s">
        <v>13</v>
      </c>
      <c r="D31" s="3" t="s">
        <v>29</v>
      </c>
      <c r="E31" s="3">
        <v>83</v>
      </c>
      <c r="F31" s="3">
        <v>3388007.97</v>
      </c>
      <c r="G31" s="3">
        <v>2219779.08</v>
      </c>
      <c r="H31" s="3">
        <v>1168228.8899999999</v>
      </c>
      <c r="I31" s="3">
        <v>34.479999999999997</v>
      </c>
      <c r="J31" s="3">
        <v>40819.370000000003</v>
      </c>
      <c r="K31" s="3">
        <v>12</v>
      </c>
      <c r="L31" s="3">
        <v>14.46</v>
      </c>
      <c r="M31" s="3">
        <v>100</v>
      </c>
    </row>
    <row r="32" spans="1:13" x14ac:dyDescent="0.3">
      <c r="A32" s="2">
        <v>2022</v>
      </c>
      <c r="B32" s="2" t="s">
        <v>9721</v>
      </c>
      <c r="C32" s="2" t="s">
        <v>13</v>
      </c>
      <c r="D32" s="2" t="s">
        <v>14</v>
      </c>
      <c r="E32" s="2">
        <v>248</v>
      </c>
      <c r="F32" s="2">
        <v>2659741.5299999998</v>
      </c>
      <c r="G32" s="2">
        <v>1802515.44</v>
      </c>
      <c r="H32" s="2">
        <v>857226.09</v>
      </c>
      <c r="I32" s="2">
        <v>32.229999999999997</v>
      </c>
      <c r="J32" s="2">
        <v>10724.76</v>
      </c>
      <c r="K32" s="2">
        <v>7</v>
      </c>
      <c r="L32" s="2">
        <v>2.82</v>
      </c>
      <c r="M32" s="2">
        <v>89</v>
      </c>
    </row>
    <row r="33" spans="1:13" x14ac:dyDescent="0.3">
      <c r="A33" s="3">
        <v>2022</v>
      </c>
      <c r="B33" s="3" t="s">
        <v>9721</v>
      </c>
      <c r="C33" s="3" t="s">
        <v>13</v>
      </c>
      <c r="D33" s="3" t="s">
        <v>39</v>
      </c>
      <c r="E33" s="3">
        <v>88</v>
      </c>
      <c r="F33" s="3">
        <v>1192837.53</v>
      </c>
      <c r="G33" s="3">
        <v>697583.56</v>
      </c>
      <c r="H33" s="3">
        <v>495253.97</v>
      </c>
      <c r="I33" s="3">
        <v>41.52</v>
      </c>
      <c r="J33" s="3">
        <v>13554.97</v>
      </c>
      <c r="K33" s="3">
        <v>18</v>
      </c>
      <c r="L33" s="3">
        <v>20.45</v>
      </c>
      <c r="M33" s="3">
        <v>48</v>
      </c>
    </row>
    <row r="34" spans="1:13" x14ac:dyDescent="0.3">
      <c r="A34" s="2">
        <v>2022</v>
      </c>
      <c r="B34" s="2" t="s">
        <v>9721</v>
      </c>
      <c r="C34" s="2" t="s">
        <v>27</v>
      </c>
      <c r="D34" s="2" t="s">
        <v>22</v>
      </c>
      <c r="E34" s="2">
        <v>293</v>
      </c>
      <c r="F34" s="2">
        <v>2037610.97</v>
      </c>
      <c r="G34" s="2">
        <v>1385496.28</v>
      </c>
      <c r="H34" s="2">
        <v>652114.68999999994</v>
      </c>
      <c r="I34" s="2">
        <v>32</v>
      </c>
      <c r="J34" s="2">
        <v>6954.3</v>
      </c>
      <c r="K34" s="2">
        <v>18</v>
      </c>
      <c r="L34" s="2">
        <v>6.14</v>
      </c>
      <c r="M34" s="2">
        <v>14</v>
      </c>
    </row>
    <row r="35" spans="1:13" x14ac:dyDescent="0.3">
      <c r="A35" s="3">
        <v>2022</v>
      </c>
      <c r="B35" s="3" t="s">
        <v>9721</v>
      </c>
      <c r="C35" s="3" t="s">
        <v>27</v>
      </c>
      <c r="D35" s="3" t="s">
        <v>29</v>
      </c>
      <c r="E35" s="3">
        <v>272</v>
      </c>
      <c r="F35" s="3">
        <v>231489.81</v>
      </c>
      <c r="G35" s="3">
        <v>141156.47</v>
      </c>
      <c r="H35" s="3">
        <v>90333.34</v>
      </c>
      <c r="I35" s="3">
        <v>39.020000000000003</v>
      </c>
      <c r="J35" s="3">
        <v>851.07</v>
      </c>
      <c r="K35" s="3">
        <v>0</v>
      </c>
      <c r="L35" s="3">
        <v>0</v>
      </c>
      <c r="M35" s="3">
        <v>32</v>
      </c>
    </row>
    <row r="36" spans="1:13" x14ac:dyDescent="0.3">
      <c r="A36" s="2">
        <v>2022</v>
      </c>
      <c r="B36" s="2" t="s">
        <v>9721</v>
      </c>
      <c r="C36" s="2" t="s">
        <v>27</v>
      </c>
      <c r="D36" s="2" t="s">
        <v>14</v>
      </c>
      <c r="E36" s="2">
        <v>48</v>
      </c>
      <c r="F36" s="2">
        <v>2440574.66</v>
      </c>
      <c r="G36" s="2">
        <v>1266272.6499999999</v>
      </c>
      <c r="H36" s="2">
        <v>1174302.01</v>
      </c>
      <c r="I36" s="2">
        <v>48.12</v>
      </c>
      <c r="J36" s="2">
        <v>50845.31</v>
      </c>
      <c r="K36" s="2">
        <v>9</v>
      </c>
      <c r="L36" s="2">
        <v>18.75</v>
      </c>
      <c r="M36" s="2">
        <v>58</v>
      </c>
    </row>
    <row r="37" spans="1:13" x14ac:dyDescent="0.3">
      <c r="A37" s="3">
        <v>2022</v>
      </c>
      <c r="B37" s="3" t="s">
        <v>9721</v>
      </c>
      <c r="C37" s="3" t="s">
        <v>27</v>
      </c>
      <c r="D37" s="3" t="s">
        <v>39</v>
      </c>
      <c r="E37" s="3">
        <v>40</v>
      </c>
      <c r="F37" s="3">
        <v>605919.56000000006</v>
      </c>
      <c r="G37" s="3">
        <v>378025.16</v>
      </c>
      <c r="H37" s="3">
        <v>227894.39999999999</v>
      </c>
      <c r="I37" s="3">
        <v>37.61</v>
      </c>
      <c r="J37" s="3">
        <v>15147.99</v>
      </c>
      <c r="K37" s="3">
        <v>11</v>
      </c>
      <c r="L37" s="3">
        <v>27.5</v>
      </c>
      <c r="M37" s="3">
        <v>70</v>
      </c>
    </row>
    <row r="38" spans="1:13" x14ac:dyDescent="0.3">
      <c r="A38" s="2">
        <v>2022</v>
      </c>
      <c r="B38" s="2" t="s">
        <v>9721</v>
      </c>
      <c r="C38" s="2" t="s">
        <v>28</v>
      </c>
      <c r="D38" s="2" t="s">
        <v>22</v>
      </c>
      <c r="E38" s="2">
        <v>262</v>
      </c>
      <c r="F38" s="2">
        <v>880925.64</v>
      </c>
      <c r="G38" s="2">
        <v>492742.45</v>
      </c>
      <c r="H38" s="2">
        <v>388183.19</v>
      </c>
      <c r="I38" s="2">
        <v>44.07</v>
      </c>
      <c r="J38" s="2">
        <v>3362.31</v>
      </c>
      <c r="K38" s="2">
        <v>24</v>
      </c>
      <c r="L38" s="2">
        <v>9.16</v>
      </c>
      <c r="M38" s="2">
        <v>16</v>
      </c>
    </row>
    <row r="39" spans="1:13" x14ac:dyDescent="0.3">
      <c r="A39" s="3">
        <v>2022</v>
      </c>
      <c r="B39" s="3" t="s">
        <v>9721</v>
      </c>
      <c r="C39" s="3" t="s">
        <v>28</v>
      </c>
      <c r="D39" s="3" t="s">
        <v>29</v>
      </c>
      <c r="E39" s="3">
        <v>60</v>
      </c>
      <c r="F39" s="3">
        <v>3827183.21</v>
      </c>
      <c r="G39" s="3">
        <v>2638570.11</v>
      </c>
      <c r="H39" s="3">
        <v>1188613.1000000001</v>
      </c>
      <c r="I39" s="3">
        <v>31.06</v>
      </c>
      <c r="J39" s="3">
        <v>63786.39</v>
      </c>
      <c r="K39" s="3">
        <v>15</v>
      </c>
      <c r="L39" s="3">
        <v>25</v>
      </c>
      <c r="M39" s="3">
        <v>97</v>
      </c>
    </row>
    <row r="40" spans="1:13" x14ac:dyDescent="0.3">
      <c r="A40" s="2">
        <v>2022</v>
      </c>
      <c r="B40" s="2" t="s">
        <v>9721</v>
      </c>
      <c r="C40" s="2" t="s">
        <v>28</v>
      </c>
      <c r="D40" s="2" t="s">
        <v>14</v>
      </c>
      <c r="E40" s="2">
        <v>138</v>
      </c>
      <c r="F40" s="2">
        <v>105221.05</v>
      </c>
      <c r="G40" s="2">
        <v>71173.53</v>
      </c>
      <c r="H40" s="2">
        <v>34047.519999999997</v>
      </c>
      <c r="I40" s="2">
        <v>32.36</v>
      </c>
      <c r="J40" s="2">
        <v>762.47</v>
      </c>
      <c r="K40" s="2">
        <v>25</v>
      </c>
      <c r="L40" s="2">
        <v>18.12</v>
      </c>
      <c r="M40" s="2">
        <v>32</v>
      </c>
    </row>
    <row r="41" spans="1:13" x14ac:dyDescent="0.3">
      <c r="A41" s="3">
        <v>2022</v>
      </c>
      <c r="B41" s="3" t="s">
        <v>9721</v>
      </c>
      <c r="C41" s="3" t="s">
        <v>28</v>
      </c>
      <c r="D41" s="3" t="s">
        <v>39</v>
      </c>
      <c r="E41" s="3">
        <v>59</v>
      </c>
      <c r="F41" s="3">
        <v>4047119.46</v>
      </c>
      <c r="G41" s="3">
        <v>2322726.54</v>
      </c>
      <c r="H41" s="3">
        <v>1724392.92</v>
      </c>
      <c r="I41" s="3">
        <v>42.61</v>
      </c>
      <c r="J41" s="3">
        <v>68595.25</v>
      </c>
      <c r="K41" s="3">
        <v>3</v>
      </c>
      <c r="L41" s="3">
        <v>5.08</v>
      </c>
      <c r="M41" s="3">
        <v>78</v>
      </c>
    </row>
    <row r="42" spans="1:13" x14ac:dyDescent="0.3">
      <c r="A42" s="2">
        <v>2022</v>
      </c>
      <c r="B42" s="2" t="s">
        <v>9722</v>
      </c>
      <c r="C42" s="2" t="s">
        <v>21</v>
      </c>
      <c r="D42" s="2" t="s">
        <v>22</v>
      </c>
      <c r="E42" s="2">
        <v>217</v>
      </c>
      <c r="F42" s="2">
        <v>3803660.14</v>
      </c>
      <c r="G42" s="2">
        <v>1965554.45</v>
      </c>
      <c r="H42" s="2">
        <v>1838105.69</v>
      </c>
      <c r="I42" s="2">
        <v>48.32</v>
      </c>
      <c r="J42" s="2">
        <v>17528.39</v>
      </c>
      <c r="K42" s="2">
        <v>9</v>
      </c>
      <c r="L42" s="2">
        <v>4.1500000000000004</v>
      </c>
      <c r="M42" s="2">
        <v>99</v>
      </c>
    </row>
    <row r="43" spans="1:13" x14ac:dyDescent="0.3">
      <c r="A43" s="3">
        <v>2022</v>
      </c>
      <c r="B43" s="3" t="s">
        <v>9722</v>
      </c>
      <c r="C43" s="3" t="s">
        <v>21</v>
      </c>
      <c r="D43" s="3" t="s">
        <v>29</v>
      </c>
      <c r="E43" s="3">
        <v>239</v>
      </c>
      <c r="F43" s="3">
        <v>3798034.15</v>
      </c>
      <c r="G43" s="3">
        <v>2636600.73</v>
      </c>
      <c r="H43" s="3">
        <v>1161433.42</v>
      </c>
      <c r="I43" s="3">
        <v>30.58</v>
      </c>
      <c r="J43" s="3">
        <v>15891.36</v>
      </c>
      <c r="K43" s="3">
        <v>27</v>
      </c>
      <c r="L43" s="3">
        <v>11.3</v>
      </c>
      <c r="M43" s="3">
        <v>19</v>
      </c>
    </row>
    <row r="44" spans="1:13" x14ac:dyDescent="0.3">
      <c r="A44" s="2">
        <v>2022</v>
      </c>
      <c r="B44" s="2" t="s">
        <v>9722</v>
      </c>
      <c r="C44" s="2" t="s">
        <v>21</v>
      </c>
      <c r="D44" s="2" t="s">
        <v>14</v>
      </c>
      <c r="E44" s="2">
        <v>24</v>
      </c>
      <c r="F44" s="2">
        <v>2249678.31</v>
      </c>
      <c r="G44" s="2">
        <v>1446258.04</v>
      </c>
      <c r="H44" s="2">
        <v>803420.27</v>
      </c>
      <c r="I44" s="2">
        <v>35.71</v>
      </c>
      <c r="J44" s="2">
        <v>93736.6</v>
      </c>
      <c r="K44" s="2">
        <v>12</v>
      </c>
      <c r="L44" s="2">
        <v>50</v>
      </c>
      <c r="M44" s="2">
        <v>38</v>
      </c>
    </row>
    <row r="45" spans="1:13" x14ac:dyDescent="0.3">
      <c r="A45" s="3">
        <v>2022</v>
      </c>
      <c r="B45" s="3" t="s">
        <v>9722</v>
      </c>
      <c r="C45" s="3" t="s">
        <v>21</v>
      </c>
      <c r="D45" s="3" t="s">
        <v>39</v>
      </c>
      <c r="E45" s="3">
        <v>141</v>
      </c>
      <c r="F45" s="3">
        <v>4056884.42</v>
      </c>
      <c r="G45" s="3">
        <v>2750350.97</v>
      </c>
      <c r="H45" s="3">
        <v>1306533.45</v>
      </c>
      <c r="I45" s="3">
        <v>32.21</v>
      </c>
      <c r="J45" s="3">
        <v>28772.23</v>
      </c>
      <c r="K45" s="3">
        <v>23</v>
      </c>
      <c r="L45" s="3">
        <v>16.309999999999999</v>
      </c>
      <c r="M45" s="3">
        <v>23</v>
      </c>
    </row>
    <row r="46" spans="1:13" x14ac:dyDescent="0.3">
      <c r="A46" s="2">
        <v>2022</v>
      </c>
      <c r="B46" s="2" t="s">
        <v>9722</v>
      </c>
      <c r="C46" s="2" t="s">
        <v>19</v>
      </c>
      <c r="D46" s="2" t="s">
        <v>22</v>
      </c>
      <c r="E46" s="2">
        <v>225</v>
      </c>
      <c r="F46" s="2">
        <v>4207513.91</v>
      </c>
      <c r="G46" s="2">
        <v>2192405.04</v>
      </c>
      <c r="H46" s="2">
        <v>2015108.87</v>
      </c>
      <c r="I46" s="2">
        <v>47.89</v>
      </c>
      <c r="J46" s="2">
        <v>18700.060000000001</v>
      </c>
      <c r="K46" s="2">
        <v>5</v>
      </c>
      <c r="L46" s="2">
        <v>2.2200000000000002</v>
      </c>
      <c r="M46" s="2">
        <v>38</v>
      </c>
    </row>
    <row r="47" spans="1:13" x14ac:dyDescent="0.3">
      <c r="A47" s="3">
        <v>2022</v>
      </c>
      <c r="B47" s="3" t="s">
        <v>9722</v>
      </c>
      <c r="C47" s="3" t="s">
        <v>19</v>
      </c>
      <c r="D47" s="3" t="s">
        <v>29</v>
      </c>
      <c r="E47" s="3">
        <v>132</v>
      </c>
      <c r="F47" s="3">
        <v>4495506.41</v>
      </c>
      <c r="G47" s="3">
        <v>2376116.2999999998</v>
      </c>
      <c r="H47" s="3">
        <v>2119390.11</v>
      </c>
      <c r="I47" s="3">
        <v>47.14</v>
      </c>
      <c r="J47" s="3">
        <v>34056.870000000003</v>
      </c>
      <c r="K47" s="3">
        <v>4</v>
      </c>
      <c r="L47" s="3">
        <v>3.03</v>
      </c>
      <c r="M47" s="3">
        <v>37</v>
      </c>
    </row>
    <row r="48" spans="1:13" x14ac:dyDescent="0.3">
      <c r="A48" s="2">
        <v>2022</v>
      </c>
      <c r="B48" s="2" t="s">
        <v>9722</v>
      </c>
      <c r="C48" s="2" t="s">
        <v>19</v>
      </c>
      <c r="D48" s="2" t="s">
        <v>14</v>
      </c>
      <c r="E48" s="2">
        <v>161</v>
      </c>
      <c r="F48" s="2">
        <v>4324243.24</v>
      </c>
      <c r="G48" s="2">
        <v>2658567.88</v>
      </c>
      <c r="H48" s="2">
        <v>1665675.36</v>
      </c>
      <c r="I48" s="2">
        <v>38.520000000000003</v>
      </c>
      <c r="J48" s="2">
        <v>26858.65</v>
      </c>
      <c r="K48" s="2">
        <v>10</v>
      </c>
      <c r="L48" s="2">
        <v>6.21</v>
      </c>
      <c r="M48" s="2">
        <v>18</v>
      </c>
    </row>
    <row r="49" spans="1:13" x14ac:dyDescent="0.3">
      <c r="A49" s="3">
        <v>2022</v>
      </c>
      <c r="B49" s="3" t="s">
        <v>9722</v>
      </c>
      <c r="C49" s="3" t="s">
        <v>19</v>
      </c>
      <c r="D49" s="3" t="s">
        <v>39</v>
      </c>
      <c r="E49" s="3">
        <v>211</v>
      </c>
      <c r="F49" s="3">
        <v>1239631.07</v>
      </c>
      <c r="G49" s="3">
        <v>693495.91</v>
      </c>
      <c r="H49" s="3">
        <v>546135.16</v>
      </c>
      <c r="I49" s="3">
        <v>44.06</v>
      </c>
      <c r="J49" s="3">
        <v>5875.03</v>
      </c>
      <c r="K49" s="3">
        <v>1</v>
      </c>
      <c r="L49" s="3">
        <v>0.47</v>
      </c>
      <c r="M49" s="3">
        <v>27</v>
      </c>
    </row>
    <row r="50" spans="1:13" x14ac:dyDescent="0.3">
      <c r="A50" s="2">
        <v>2022</v>
      </c>
      <c r="B50" s="2" t="s">
        <v>9722</v>
      </c>
      <c r="C50" s="2" t="s">
        <v>13</v>
      </c>
      <c r="D50" s="2" t="s">
        <v>22</v>
      </c>
      <c r="E50" s="2">
        <v>179</v>
      </c>
      <c r="F50" s="2">
        <v>198455.07</v>
      </c>
      <c r="G50" s="2">
        <v>118320.21</v>
      </c>
      <c r="H50" s="2">
        <v>80134.86</v>
      </c>
      <c r="I50" s="2">
        <v>40.380000000000003</v>
      </c>
      <c r="J50" s="2">
        <v>1108.69</v>
      </c>
      <c r="K50" s="2">
        <v>5</v>
      </c>
      <c r="L50" s="2">
        <v>2.79</v>
      </c>
      <c r="M50" s="2">
        <v>97</v>
      </c>
    </row>
    <row r="51" spans="1:13" x14ac:dyDescent="0.3">
      <c r="A51" s="3">
        <v>2022</v>
      </c>
      <c r="B51" s="3" t="s">
        <v>9722</v>
      </c>
      <c r="C51" s="3" t="s">
        <v>13</v>
      </c>
      <c r="D51" s="3" t="s">
        <v>29</v>
      </c>
      <c r="E51" s="3">
        <v>222</v>
      </c>
      <c r="F51" s="3">
        <v>178909.58</v>
      </c>
      <c r="G51" s="3">
        <v>103660.57</v>
      </c>
      <c r="H51" s="3">
        <v>75249.009999999995</v>
      </c>
      <c r="I51" s="3">
        <v>42.06</v>
      </c>
      <c r="J51" s="3">
        <v>805.9</v>
      </c>
      <c r="K51" s="3">
        <v>11</v>
      </c>
      <c r="L51" s="3">
        <v>4.95</v>
      </c>
      <c r="M51" s="3">
        <v>93</v>
      </c>
    </row>
    <row r="52" spans="1:13" x14ac:dyDescent="0.3">
      <c r="A52" s="2">
        <v>2022</v>
      </c>
      <c r="B52" s="2" t="s">
        <v>9722</v>
      </c>
      <c r="C52" s="2" t="s">
        <v>13</v>
      </c>
      <c r="D52" s="2" t="s">
        <v>14</v>
      </c>
      <c r="E52" s="2">
        <v>157</v>
      </c>
      <c r="F52" s="2">
        <v>3706148.63</v>
      </c>
      <c r="G52" s="2">
        <v>2013134.5</v>
      </c>
      <c r="H52" s="2">
        <v>1693014.13</v>
      </c>
      <c r="I52" s="2">
        <v>45.68</v>
      </c>
      <c r="J52" s="2">
        <v>23606.04</v>
      </c>
      <c r="K52" s="2">
        <v>28</v>
      </c>
      <c r="L52" s="2">
        <v>17.829999999999998</v>
      </c>
      <c r="M52" s="2">
        <v>17</v>
      </c>
    </row>
    <row r="53" spans="1:13" x14ac:dyDescent="0.3">
      <c r="A53" s="3">
        <v>2022</v>
      </c>
      <c r="B53" s="3" t="s">
        <v>9722</v>
      </c>
      <c r="C53" s="3" t="s">
        <v>13</v>
      </c>
      <c r="D53" s="3" t="s">
        <v>39</v>
      </c>
      <c r="E53" s="3">
        <v>134</v>
      </c>
      <c r="F53" s="3">
        <v>3215259.3</v>
      </c>
      <c r="G53" s="3">
        <v>2103452.02</v>
      </c>
      <c r="H53" s="3">
        <v>1111807.28</v>
      </c>
      <c r="I53" s="3">
        <v>34.58</v>
      </c>
      <c r="J53" s="3">
        <v>23994.47</v>
      </c>
      <c r="K53" s="3">
        <v>19</v>
      </c>
      <c r="L53" s="3">
        <v>14.18</v>
      </c>
      <c r="M53" s="3">
        <v>57</v>
      </c>
    </row>
    <row r="54" spans="1:13" x14ac:dyDescent="0.3">
      <c r="A54" s="2">
        <v>2022</v>
      </c>
      <c r="B54" s="2" t="s">
        <v>9722</v>
      </c>
      <c r="C54" s="2" t="s">
        <v>27</v>
      </c>
      <c r="D54" s="2" t="s">
        <v>22</v>
      </c>
      <c r="E54" s="2">
        <v>142</v>
      </c>
      <c r="F54" s="2">
        <v>2234226.08</v>
      </c>
      <c r="G54" s="2">
        <v>1248691.18</v>
      </c>
      <c r="H54" s="2">
        <v>985534.9</v>
      </c>
      <c r="I54" s="2">
        <v>44.11</v>
      </c>
      <c r="J54" s="2">
        <v>15733.99</v>
      </c>
      <c r="K54" s="2">
        <v>24</v>
      </c>
      <c r="L54" s="2">
        <v>16.899999999999999</v>
      </c>
      <c r="M54" s="2">
        <v>90</v>
      </c>
    </row>
    <row r="55" spans="1:13" x14ac:dyDescent="0.3">
      <c r="A55" s="3">
        <v>2022</v>
      </c>
      <c r="B55" s="3" t="s">
        <v>9722</v>
      </c>
      <c r="C55" s="3" t="s">
        <v>27</v>
      </c>
      <c r="D55" s="3" t="s">
        <v>29</v>
      </c>
      <c r="E55" s="3">
        <v>62</v>
      </c>
      <c r="F55" s="3">
        <v>3058783.55</v>
      </c>
      <c r="G55" s="3">
        <v>1690981.81</v>
      </c>
      <c r="H55" s="3">
        <v>1367801.74</v>
      </c>
      <c r="I55" s="3">
        <v>44.72</v>
      </c>
      <c r="J55" s="3">
        <v>49335.22</v>
      </c>
      <c r="K55" s="3">
        <v>30</v>
      </c>
      <c r="L55" s="3">
        <v>48.39</v>
      </c>
      <c r="M55" s="3">
        <v>25</v>
      </c>
    </row>
    <row r="56" spans="1:13" x14ac:dyDescent="0.3">
      <c r="A56" s="2">
        <v>2022</v>
      </c>
      <c r="B56" s="2" t="s">
        <v>9722</v>
      </c>
      <c r="C56" s="2" t="s">
        <v>27</v>
      </c>
      <c r="D56" s="2" t="s">
        <v>14</v>
      </c>
      <c r="E56" s="2">
        <v>280</v>
      </c>
      <c r="F56" s="2">
        <v>1822768.73</v>
      </c>
      <c r="G56" s="2">
        <v>974780.66</v>
      </c>
      <c r="H56" s="2">
        <v>847988.07</v>
      </c>
      <c r="I56" s="2">
        <v>46.52</v>
      </c>
      <c r="J56" s="2">
        <v>6509.89</v>
      </c>
      <c r="K56" s="2">
        <v>9</v>
      </c>
      <c r="L56" s="2">
        <v>3.21</v>
      </c>
      <c r="M56" s="2">
        <v>30</v>
      </c>
    </row>
    <row r="57" spans="1:13" x14ac:dyDescent="0.3">
      <c r="A57" s="3">
        <v>2022</v>
      </c>
      <c r="B57" s="3" t="s">
        <v>9722</v>
      </c>
      <c r="C57" s="3" t="s">
        <v>27</v>
      </c>
      <c r="D57" s="3" t="s">
        <v>39</v>
      </c>
      <c r="E57" s="3">
        <v>139</v>
      </c>
      <c r="F57" s="3">
        <v>3553960.37</v>
      </c>
      <c r="G57" s="3">
        <v>2229725.52</v>
      </c>
      <c r="H57" s="3">
        <v>1324234.8500000001</v>
      </c>
      <c r="I57" s="3">
        <v>37.26</v>
      </c>
      <c r="J57" s="3">
        <v>25568.06</v>
      </c>
      <c r="K57" s="3">
        <v>12</v>
      </c>
      <c r="L57" s="3">
        <v>8.6300000000000008</v>
      </c>
      <c r="M57" s="3">
        <v>27</v>
      </c>
    </row>
    <row r="58" spans="1:13" x14ac:dyDescent="0.3">
      <c r="A58" s="2">
        <v>2022</v>
      </c>
      <c r="B58" s="2" t="s">
        <v>9722</v>
      </c>
      <c r="C58" s="2" t="s">
        <v>28</v>
      </c>
      <c r="D58" s="2" t="s">
        <v>22</v>
      </c>
      <c r="E58" s="2">
        <v>138</v>
      </c>
      <c r="F58" s="2">
        <v>345808.48</v>
      </c>
      <c r="G58" s="2">
        <v>194890.05</v>
      </c>
      <c r="H58" s="2">
        <v>150918.43</v>
      </c>
      <c r="I58" s="2">
        <v>43.64</v>
      </c>
      <c r="J58" s="2">
        <v>2505.86</v>
      </c>
      <c r="K58" s="2">
        <v>29</v>
      </c>
      <c r="L58" s="2">
        <v>21.01</v>
      </c>
      <c r="M58" s="2">
        <v>39</v>
      </c>
    </row>
    <row r="59" spans="1:13" x14ac:dyDescent="0.3">
      <c r="A59" s="3">
        <v>2022</v>
      </c>
      <c r="B59" s="3" t="s">
        <v>9722</v>
      </c>
      <c r="C59" s="3" t="s">
        <v>28</v>
      </c>
      <c r="D59" s="3" t="s">
        <v>29</v>
      </c>
      <c r="E59" s="3">
        <v>245</v>
      </c>
      <c r="F59" s="3">
        <v>2734982.36</v>
      </c>
      <c r="G59" s="3">
        <v>1883368.04</v>
      </c>
      <c r="H59" s="3">
        <v>851614.32</v>
      </c>
      <c r="I59" s="3">
        <v>31.14</v>
      </c>
      <c r="J59" s="3">
        <v>11163.19</v>
      </c>
      <c r="K59" s="3">
        <v>15</v>
      </c>
      <c r="L59" s="3">
        <v>6.12</v>
      </c>
      <c r="M59" s="3">
        <v>30</v>
      </c>
    </row>
    <row r="60" spans="1:13" x14ac:dyDescent="0.3">
      <c r="A60" s="2">
        <v>2022</v>
      </c>
      <c r="B60" s="2" t="s">
        <v>9722</v>
      </c>
      <c r="C60" s="2" t="s">
        <v>28</v>
      </c>
      <c r="D60" s="2" t="s">
        <v>14</v>
      </c>
      <c r="E60" s="2">
        <v>177</v>
      </c>
      <c r="F60" s="2">
        <v>3719003.08</v>
      </c>
      <c r="G60" s="2">
        <v>2204033.64</v>
      </c>
      <c r="H60" s="2">
        <v>1514969.44</v>
      </c>
      <c r="I60" s="2">
        <v>40.74</v>
      </c>
      <c r="J60" s="2">
        <v>21011.32</v>
      </c>
      <c r="K60" s="2">
        <v>30</v>
      </c>
      <c r="L60" s="2">
        <v>16.95</v>
      </c>
      <c r="M60" s="2">
        <v>30</v>
      </c>
    </row>
    <row r="61" spans="1:13" x14ac:dyDescent="0.3">
      <c r="A61" s="3">
        <v>2022</v>
      </c>
      <c r="B61" s="3" t="s">
        <v>9722</v>
      </c>
      <c r="C61" s="3" t="s">
        <v>28</v>
      </c>
      <c r="D61" s="3" t="s">
        <v>39</v>
      </c>
      <c r="E61" s="3">
        <v>165</v>
      </c>
      <c r="F61" s="3">
        <v>2148096.9900000002</v>
      </c>
      <c r="G61" s="3">
        <v>1209976.81</v>
      </c>
      <c r="H61" s="3">
        <v>938120.18</v>
      </c>
      <c r="I61" s="3">
        <v>43.67</v>
      </c>
      <c r="J61" s="3">
        <v>13018.77</v>
      </c>
      <c r="K61" s="3">
        <v>23</v>
      </c>
      <c r="L61" s="3">
        <v>13.94</v>
      </c>
      <c r="M61" s="3">
        <v>60</v>
      </c>
    </row>
    <row r="62" spans="1:13" x14ac:dyDescent="0.3">
      <c r="A62" s="2">
        <v>2022</v>
      </c>
      <c r="B62" s="2" t="s">
        <v>9723</v>
      </c>
      <c r="C62" s="2" t="s">
        <v>21</v>
      </c>
      <c r="D62" s="2" t="s">
        <v>22</v>
      </c>
      <c r="E62" s="2">
        <v>266</v>
      </c>
      <c r="F62" s="2">
        <v>3719418.36</v>
      </c>
      <c r="G62" s="2">
        <v>2359231.04</v>
      </c>
      <c r="H62" s="2">
        <v>1360187.32</v>
      </c>
      <c r="I62" s="2">
        <v>36.57</v>
      </c>
      <c r="J62" s="2">
        <v>13982.78</v>
      </c>
      <c r="K62" s="2">
        <v>19</v>
      </c>
      <c r="L62" s="2">
        <v>7.14</v>
      </c>
      <c r="M62" s="2">
        <v>81</v>
      </c>
    </row>
    <row r="63" spans="1:13" x14ac:dyDescent="0.3">
      <c r="A63" s="3">
        <v>2022</v>
      </c>
      <c r="B63" s="3" t="s">
        <v>9723</v>
      </c>
      <c r="C63" s="3" t="s">
        <v>21</v>
      </c>
      <c r="D63" s="3" t="s">
        <v>29</v>
      </c>
      <c r="E63" s="3">
        <v>284</v>
      </c>
      <c r="F63" s="3">
        <v>1250130.26</v>
      </c>
      <c r="G63" s="3">
        <v>834992.42</v>
      </c>
      <c r="H63" s="3">
        <v>415137.84</v>
      </c>
      <c r="I63" s="3">
        <v>33.21</v>
      </c>
      <c r="J63" s="3">
        <v>4401.87</v>
      </c>
      <c r="K63" s="3">
        <v>23</v>
      </c>
      <c r="L63" s="3">
        <v>8.1</v>
      </c>
      <c r="M63" s="3">
        <v>99</v>
      </c>
    </row>
    <row r="64" spans="1:13" x14ac:dyDescent="0.3">
      <c r="A64" s="2">
        <v>2022</v>
      </c>
      <c r="B64" s="2" t="s">
        <v>9723</v>
      </c>
      <c r="C64" s="2" t="s">
        <v>21</v>
      </c>
      <c r="D64" s="2" t="s">
        <v>14</v>
      </c>
      <c r="E64" s="2">
        <v>66</v>
      </c>
      <c r="F64" s="2">
        <v>3128425.71</v>
      </c>
      <c r="G64" s="2">
        <v>1642309.03</v>
      </c>
      <c r="H64" s="2">
        <v>1486116.68</v>
      </c>
      <c r="I64" s="2">
        <v>47.5</v>
      </c>
      <c r="J64" s="2">
        <v>47400.39</v>
      </c>
      <c r="K64" s="2">
        <v>14</v>
      </c>
      <c r="L64" s="2">
        <v>21.21</v>
      </c>
      <c r="M64" s="2">
        <v>36</v>
      </c>
    </row>
    <row r="65" spans="1:13" x14ac:dyDescent="0.3">
      <c r="A65" s="3">
        <v>2022</v>
      </c>
      <c r="B65" s="3" t="s">
        <v>9723</v>
      </c>
      <c r="C65" s="3" t="s">
        <v>21</v>
      </c>
      <c r="D65" s="3" t="s">
        <v>39</v>
      </c>
      <c r="E65" s="3">
        <v>258</v>
      </c>
      <c r="F65" s="3">
        <v>4170431.66</v>
      </c>
      <c r="G65" s="3">
        <v>2423469.4500000002</v>
      </c>
      <c r="H65" s="3">
        <v>1746962.21</v>
      </c>
      <c r="I65" s="3">
        <v>41.89</v>
      </c>
      <c r="J65" s="3">
        <v>16164.46</v>
      </c>
      <c r="K65" s="3">
        <v>13</v>
      </c>
      <c r="L65" s="3">
        <v>5.04</v>
      </c>
      <c r="M65" s="3">
        <v>26</v>
      </c>
    </row>
    <row r="66" spans="1:13" x14ac:dyDescent="0.3">
      <c r="A66" s="2">
        <v>2022</v>
      </c>
      <c r="B66" s="2" t="s">
        <v>9723</v>
      </c>
      <c r="C66" s="2" t="s">
        <v>19</v>
      </c>
      <c r="D66" s="2" t="s">
        <v>22</v>
      </c>
      <c r="E66" s="2">
        <v>208</v>
      </c>
      <c r="F66" s="2">
        <v>3003846.15</v>
      </c>
      <c r="G66" s="2">
        <v>1970873.91</v>
      </c>
      <c r="H66" s="2">
        <v>1032972.24</v>
      </c>
      <c r="I66" s="2">
        <v>34.39</v>
      </c>
      <c r="J66" s="2">
        <v>14441.57</v>
      </c>
      <c r="K66" s="2">
        <v>15</v>
      </c>
      <c r="L66" s="2">
        <v>7.21</v>
      </c>
      <c r="M66" s="2">
        <v>25</v>
      </c>
    </row>
    <row r="67" spans="1:13" x14ac:dyDescent="0.3">
      <c r="A67" s="3">
        <v>2022</v>
      </c>
      <c r="B67" s="3" t="s">
        <v>9723</v>
      </c>
      <c r="C67" s="3" t="s">
        <v>19</v>
      </c>
      <c r="D67" s="3" t="s">
        <v>29</v>
      </c>
      <c r="E67" s="3">
        <v>166</v>
      </c>
      <c r="F67" s="3">
        <v>1627132.01</v>
      </c>
      <c r="G67" s="3">
        <v>1078797.44</v>
      </c>
      <c r="H67" s="3">
        <v>548334.56999999995</v>
      </c>
      <c r="I67" s="3">
        <v>33.700000000000003</v>
      </c>
      <c r="J67" s="3">
        <v>9802</v>
      </c>
      <c r="K67" s="3">
        <v>8</v>
      </c>
      <c r="L67" s="3">
        <v>4.82</v>
      </c>
      <c r="M67" s="3">
        <v>20</v>
      </c>
    </row>
    <row r="68" spans="1:13" x14ac:dyDescent="0.3">
      <c r="A68" s="2">
        <v>2022</v>
      </c>
      <c r="B68" s="2" t="s">
        <v>9723</v>
      </c>
      <c r="C68" s="2" t="s">
        <v>19</v>
      </c>
      <c r="D68" s="2" t="s">
        <v>14</v>
      </c>
      <c r="E68" s="2">
        <v>199</v>
      </c>
      <c r="F68" s="2">
        <v>1089755.05</v>
      </c>
      <c r="G68" s="2">
        <v>626732.51</v>
      </c>
      <c r="H68" s="2">
        <v>463022.54</v>
      </c>
      <c r="I68" s="2">
        <v>42.49</v>
      </c>
      <c r="J68" s="2">
        <v>5476.16</v>
      </c>
      <c r="K68" s="2">
        <v>12</v>
      </c>
      <c r="L68" s="2">
        <v>6.03</v>
      </c>
      <c r="M68" s="2">
        <v>9</v>
      </c>
    </row>
    <row r="69" spans="1:13" x14ac:dyDescent="0.3">
      <c r="A69" s="3">
        <v>2022</v>
      </c>
      <c r="B69" s="3" t="s">
        <v>9723</v>
      </c>
      <c r="C69" s="3" t="s">
        <v>19</v>
      </c>
      <c r="D69" s="3" t="s">
        <v>39</v>
      </c>
      <c r="E69" s="3">
        <v>289</v>
      </c>
      <c r="F69" s="3">
        <v>3914804.27</v>
      </c>
      <c r="G69" s="3">
        <v>1991979.82</v>
      </c>
      <c r="H69" s="3">
        <v>1922824.45</v>
      </c>
      <c r="I69" s="3">
        <v>49.12</v>
      </c>
      <c r="J69" s="3">
        <v>13546.04</v>
      </c>
      <c r="K69" s="3">
        <v>9</v>
      </c>
      <c r="L69" s="3">
        <v>3.11</v>
      </c>
      <c r="M69" s="3">
        <v>70</v>
      </c>
    </row>
    <row r="70" spans="1:13" x14ac:dyDescent="0.3">
      <c r="A70" s="2">
        <v>2022</v>
      </c>
      <c r="B70" s="2" t="s">
        <v>9723</v>
      </c>
      <c r="C70" s="2" t="s">
        <v>13</v>
      </c>
      <c r="D70" s="2" t="s">
        <v>22</v>
      </c>
      <c r="E70" s="2">
        <v>150</v>
      </c>
      <c r="F70" s="2">
        <v>75609.87</v>
      </c>
      <c r="G70" s="2">
        <v>38958.65</v>
      </c>
      <c r="H70" s="2">
        <v>36651.22</v>
      </c>
      <c r="I70" s="2">
        <v>48.47</v>
      </c>
      <c r="J70" s="2">
        <v>504.07</v>
      </c>
      <c r="K70" s="2">
        <v>11</v>
      </c>
      <c r="L70" s="2">
        <v>7.33</v>
      </c>
      <c r="M70" s="2">
        <v>16</v>
      </c>
    </row>
    <row r="71" spans="1:13" x14ac:dyDescent="0.3">
      <c r="A71" s="3">
        <v>2022</v>
      </c>
      <c r="B71" s="3" t="s">
        <v>9723</v>
      </c>
      <c r="C71" s="3" t="s">
        <v>13</v>
      </c>
      <c r="D71" s="3" t="s">
        <v>29</v>
      </c>
      <c r="E71" s="3">
        <v>170</v>
      </c>
      <c r="F71" s="3">
        <v>3911577.06</v>
      </c>
      <c r="G71" s="3">
        <v>2288782.92</v>
      </c>
      <c r="H71" s="3">
        <v>1622794.14</v>
      </c>
      <c r="I71" s="3">
        <v>41.49</v>
      </c>
      <c r="J71" s="3">
        <v>23009.279999999999</v>
      </c>
      <c r="K71" s="3">
        <v>17</v>
      </c>
      <c r="L71" s="3">
        <v>10</v>
      </c>
      <c r="M71" s="3">
        <v>63</v>
      </c>
    </row>
    <row r="72" spans="1:13" x14ac:dyDescent="0.3">
      <c r="A72" s="2">
        <v>2022</v>
      </c>
      <c r="B72" s="2" t="s">
        <v>9723</v>
      </c>
      <c r="C72" s="2" t="s">
        <v>13</v>
      </c>
      <c r="D72" s="2" t="s">
        <v>14</v>
      </c>
      <c r="E72" s="2">
        <v>119</v>
      </c>
      <c r="F72" s="2">
        <v>4771472.03</v>
      </c>
      <c r="G72" s="2">
        <v>2903904.56</v>
      </c>
      <c r="H72" s="2">
        <v>1867567.47</v>
      </c>
      <c r="I72" s="2">
        <v>39.14</v>
      </c>
      <c r="J72" s="2">
        <v>40096.400000000001</v>
      </c>
      <c r="K72" s="2">
        <v>30</v>
      </c>
      <c r="L72" s="2">
        <v>25.21</v>
      </c>
      <c r="M72" s="2">
        <v>99</v>
      </c>
    </row>
    <row r="73" spans="1:13" x14ac:dyDescent="0.3">
      <c r="A73" s="3">
        <v>2022</v>
      </c>
      <c r="B73" s="3" t="s">
        <v>9723</v>
      </c>
      <c r="C73" s="3" t="s">
        <v>13</v>
      </c>
      <c r="D73" s="3" t="s">
        <v>39</v>
      </c>
      <c r="E73" s="3">
        <v>171</v>
      </c>
      <c r="F73" s="3">
        <v>1617174.82</v>
      </c>
      <c r="G73" s="3">
        <v>836679.86</v>
      </c>
      <c r="H73" s="3">
        <v>780494.96</v>
      </c>
      <c r="I73" s="3">
        <v>48.26</v>
      </c>
      <c r="J73" s="3">
        <v>9457.16</v>
      </c>
      <c r="K73" s="3">
        <v>19</v>
      </c>
      <c r="L73" s="3">
        <v>11.11</v>
      </c>
      <c r="M73" s="3">
        <v>90</v>
      </c>
    </row>
    <row r="74" spans="1:13" x14ac:dyDescent="0.3">
      <c r="A74" s="2">
        <v>2022</v>
      </c>
      <c r="B74" s="2" t="s">
        <v>9723</v>
      </c>
      <c r="C74" s="2" t="s">
        <v>27</v>
      </c>
      <c r="D74" s="2" t="s">
        <v>22</v>
      </c>
      <c r="E74" s="2">
        <v>52</v>
      </c>
      <c r="F74" s="2">
        <v>3738644.4</v>
      </c>
      <c r="G74" s="2">
        <v>2044762.28</v>
      </c>
      <c r="H74" s="2">
        <v>1693882.12</v>
      </c>
      <c r="I74" s="2">
        <v>45.31</v>
      </c>
      <c r="J74" s="2">
        <v>71897.009999999995</v>
      </c>
      <c r="K74" s="2">
        <v>19</v>
      </c>
      <c r="L74" s="2">
        <v>36.54</v>
      </c>
      <c r="M74" s="2">
        <v>98</v>
      </c>
    </row>
    <row r="75" spans="1:13" x14ac:dyDescent="0.3">
      <c r="A75" s="3">
        <v>2022</v>
      </c>
      <c r="B75" s="3" t="s">
        <v>9723</v>
      </c>
      <c r="C75" s="3" t="s">
        <v>27</v>
      </c>
      <c r="D75" s="3" t="s">
        <v>29</v>
      </c>
      <c r="E75" s="3">
        <v>121</v>
      </c>
      <c r="F75" s="3">
        <v>3575049.53</v>
      </c>
      <c r="G75" s="3">
        <v>2304597.59</v>
      </c>
      <c r="H75" s="3">
        <v>1270451.94</v>
      </c>
      <c r="I75" s="3">
        <v>35.54</v>
      </c>
      <c r="J75" s="3">
        <v>29545.86</v>
      </c>
      <c r="K75" s="3">
        <v>27</v>
      </c>
      <c r="L75" s="3">
        <v>22.31</v>
      </c>
      <c r="M75" s="3">
        <v>65</v>
      </c>
    </row>
    <row r="76" spans="1:13" x14ac:dyDescent="0.3">
      <c r="A76" s="2">
        <v>2022</v>
      </c>
      <c r="B76" s="2" t="s">
        <v>9723</v>
      </c>
      <c r="C76" s="2" t="s">
        <v>27</v>
      </c>
      <c r="D76" s="2" t="s">
        <v>14</v>
      </c>
      <c r="E76" s="2">
        <v>208</v>
      </c>
      <c r="F76" s="2">
        <v>1652610.49</v>
      </c>
      <c r="G76" s="2">
        <v>836326.61</v>
      </c>
      <c r="H76" s="2">
        <v>816283.88</v>
      </c>
      <c r="I76" s="2">
        <v>49.39</v>
      </c>
      <c r="J76" s="2">
        <v>7945.24</v>
      </c>
      <c r="K76" s="2">
        <v>6</v>
      </c>
      <c r="L76" s="2">
        <v>2.88</v>
      </c>
      <c r="M76" s="2">
        <v>89</v>
      </c>
    </row>
    <row r="77" spans="1:13" x14ac:dyDescent="0.3">
      <c r="A77" s="3">
        <v>2022</v>
      </c>
      <c r="B77" s="3" t="s">
        <v>9723</v>
      </c>
      <c r="C77" s="3" t="s">
        <v>27</v>
      </c>
      <c r="D77" s="3" t="s">
        <v>39</v>
      </c>
      <c r="E77" s="3">
        <v>74</v>
      </c>
      <c r="F77" s="3">
        <v>4640799.3899999997</v>
      </c>
      <c r="G77" s="3">
        <v>2888471.97</v>
      </c>
      <c r="H77" s="3">
        <v>1752327.42</v>
      </c>
      <c r="I77" s="3">
        <v>37.76</v>
      </c>
      <c r="J77" s="3">
        <v>62713.51</v>
      </c>
      <c r="K77" s="3">
        <v>16</v>
      </c>
      <c r="L77" s="3">
        <v>21.62</v>
      </c>
      <c r="M77" s="3">
        <v>74</v>
      </c>
    </row>
    <row r="78" spans="1:13" x14ac:dyDescent="0.3">
      <c r="A78" s="2">
        <v>2022</v>
      </c>
      <c r="B78" s="2" t="s">
        <v>9723</v>
      </c>
      <c r="C78" s="2" t="s">
        <v>28</v>
      </c>
      <c r="D78" s="2" t="s">
        <v>22</v>
      </c>
      <c r="E78" s="2">
        <v>283</v>
      </c>
      <c r="F78" s="2">
        <v>954855.02</v>
      </c>
      <c r="G78" s="2">
        <v>546882.36</v>
      </c>
      <c r="H78" s="2">
        <v>407972.66</v>
      </c>
      <c r="I78" s="2">
        <v>42.73</v>
      </c>
      <c r="J78" s="2">
        <v>3374.05</v>
      </c>
      <c r="K78" s="2">
        <v>6</v>
      </c>
      <c r="L78" s="2">
        <v>2.12</v>
      </c>
      <c r="M78" s="2">
        <v>63</v>
      </c>
    </row>
    <row r="79" spans="1:13" x14ac:dyDescent="0.3">
      <c r="A79" s="3">
        <v>2022</v>
      </c>
      <c r="B79" s="3" t="s">
        <v>9723</v>
      </c>
      <c r="C79" s="3" t="s">
        <v>28</v>
      </c>
      <c r="D79" s="3" t="s">
        <v>29</v>
      </c>
      <c r="E79" s="3">
        <v>262</v>
      </c>
      <c r="F79" s="3">
        <v>1177975.2</v>
      </c>
      <c r="G79" s="3">
        <v>766138.69</v>
      </c>
      <c r="H79" s="3">
        <v>411836.51</v>
      </c>
      <c r="I79" s="3">
        <v>34.96</v>
      </c>
      <c r="J79" s="3">
        <v>4496.09</v>
      </c>
      <c r="K79" s="3">
        <v>24</v>
      </c>
      <c r="L79" s="3">
        <v>9.16</v>
      </c>
      <c r="M79" s="3">
        <v>67</v>
      </c>
    </row>
    <row r="80" spans="1:13" x14ac:dyDescent="0.3">
      <c r="A80" s="2">
        <v>2022</v>
      </c>
      <c r="B80" s="2" t="s">
        <v>9723</v>
      </c>
      <c r="C80" s="2" t="s">
        <v>28</v>
      </c>
      <c r="D80" s="2" t="s">
        <v>14</v>
      </c>
      <c r="E80" s="2">
        <v>291</v>
      </c>
      <c r="F80" s="2">
        <v>2863651.18</v>
      </c>
      <c r="G80" s="2">
        <v>1729390.67</v>
      </c>
      <c r="H80" s="2">
        <v>1134260.51</v>
      </c>
      <c r="I80" s="2">
        <v>39.61</v>
      </c>
      <c r="J80" s="2">
        <v>9840.73</v>
      </c>
      <c r="K80" s="2">
        <v>17</v>
      </c>
      <c r="L80" s="2">
        <v>5.84</v>
      </c>
      <c r="M80" s="2">
        <v>7</v>
      </c>
    </row>
    <row r="81" spans="1:13" x14ac:dyDescent="0.3">
      <c r="A81" s="3">
        <v>2022</v>
      </c>
      <c r="B81" s="3" t="s">
        <v>9723</v>
      </c>
      <c r="C81" s="3" t="s">
        <v>28</v>
      </c>
      <c r="D81" s="3" t="s">
        <v>39</v>
      </c>
      <c r="E81" s="3">
        <v>69</v>
      </c>
      <c r="F81" s="3">
        <v>2949517.15</v>
      </c>
      <c r="G81" s="3">
        <v>1716889.23</v>
      </c>
      <c r="H81" s="3">
        <v>1232627.92</v>
      </c>
      <c r="I81" s="3">
        <v>41.79</v>
      </c>
      <c r="J81" s="3">
        <v>42746.63</v>
      </c>
      <c r="K81" s="3">
        <v>5</v>
      </c>
      <c r="L81" s="3">
        <v>7.25</v>
      </c>
      <c r="M81" s="3">
        <v>27</v>
      </c>
    </row>
    <row r="82" spans="1:13" x14ac:dyDescent="0.3">
      <c r="A82" s="2">
        <v>2022</v>
      </c>
      <c r="B82" s="2" t="s">
        <v>9724</v>
      </c>
      <c r="C82" s="2" t="s">
        <v>21</v>
      </c>
      <c r="D82" s="2" t="s">
        <v>22</v>
      </c>
      <c r="E82" s="2">
        <v>124</v>
      </c>
      <c r="F82" s="2">
        <v>520807.38</v>
      </c>
      <c r="G82" s="2">
        <v>273922.23</v>
      </c>
      <c r="H82" s="2">
        <v>246885.15</v>
      </c>
      <c r="I82" s="2">
        <v>47.4</v>
      </c>
      <c r="J82" s="2">
        <v>4200.0600000000004</v>
      </c>
      <c r="K82" s="2">
        <v>30</v>
      </c>
      <c r="L82" s="2">
        <v>24.19</v>
      </c>
      <c r="M82" s="2">
        <v>18</v>
      </c>
    </row>
    <row r="83" spans="1:13" x14ac:dyDescent="0.3">
      <c r="A83" s="3">
        <v>2022</v>
      </c>
      <c r="B83" s="3" t="s">
        <v>9724</v>
      </c>
      <c r="C83" s="3" t="s">
        <v>21</v>
      </c>
      <c r="D83" s="3" t="s">
        <v>29</v>
      </c>
      <c r="E83" s="3">
        <v>70</v>
      </c>
      <c r="F83" s="3">
        <v>4974829.24</v>
      </c>
      <c r="G83" s="3">
        <v>3324704.89</v>
      </c>
      <c r="H83" s="3">
        <v>1650124.35</v>
      </c>
      <c r="I83" s="3">
        <v>33.17</v>
      </c>
      <c r="J83" s="3">
        <v>71068.990000000005</v>
      </c>
      <c r="K83" s="3">
        <v>5</v>
      </c>
      <c r="L83" s="3">
        <v>7.14</v>
      </c>
      <c r="M83" s="3">
        <v>47</v>
      </c>
    </row>
    <row r="84" spans="1:13" x14ac:dyDescent="0.3">
      <c r="A84" s="2">
        <v>2022</v>
      </c>
      <c r="B84" s="2" t="s">
        <v>9724</v>
      </c>
      <c r="C84" s="2" t="s">
        <v>21</v>
      </c>
      <c r="D84" s="2" t="s">
        <v>14</v>
      </c>
      <c r="E84" s="2">
        <v>143</v>
      </c>
      <c r="F84" s="2">
        <v>4984960.5599999996</v>
      </c>
      <c r="G84" s="2">
        <v>3373272.09</v>
      </c>
      <c r="H84" s="2">
        <v>1611688.47</v>
      </c>
      <c r="I84" s="2">
        <v>32.33</v>
      </c>
      <c r="J84" s="2">
        <v>34859.86</v>
      </c>
      <c r="K84" s="2">
        <v>8</v>
      </c>
      <c r="L84" s="2">
        <v>5.59</v>
      </c>
      <c r="M84" s="2">
        <v>38</v>
      </c>
    </row>
    <row r="85" spans="1:13" x14ac:dyDescent="0.3">
      <c r="A85" s="3">
        <v>2022</v>
      </c>
      <c r="B85" s="3" t="s">
        <v>9724</v>
      </c>
      <c r="C85" s="3" t="s">
        <v>21</v>
      </c>
      <c r="D85" s="3" t="s">
        <v>39</v>
      </c>
      <c r="E85" s="3">
        <v>158</v>
      </c>
      <c r="F85" s="3">
        <v>3179104.35</v>
      </c>
      <c r="G85" s="3">
        <v>1589832.04</v>
      </c>
      <c r="H85" s="3">
        <v>1589272.31</v>
      </c>
      <c r="I85" s="3">
        <v>49.99</v>
      </c>
      <c r="J85" s="3">
        <v>20120.91</v>
      </c>
      <c r="K85" s="3">
        <v>14</v>
      </c>
      <c r="L85" s="3">
        <v>8.86</v>
      </c>
      <c r="M85" s="3">
        <v>21</v>
      </c>
    </row>
    <row r="86" spans="1:13" x14ac:dyDescent="0.3">
      <c r="A86" s="2">
        <v>2022</v>
      </c>
      <c r="B86" s="2" t="s">
        <v>9724</v>
      </c>
      <c r="C86" s="2" t="s">
        <v>19</v>
      </c>
      <c r="D86" s="2" t="s">
        <v>22</v>
      </c>
      <c r="E86" s="2">
        <v>65</v>
      </c>
      <c r="F86" s="2">
        <v>4232587.6900000004</v>
      </c>
      <c r="G86" s="2">
        <v>2835957.52</v>
      </c>
      <c r="H86" s="2">
        <v>1396630.17</v>
      </c>
      <c r="I86" s="2">
        <v>33</v>
      </c>
      <c r="J86" s="2">
        <v>65116.73</v>
      </c>
      <c r="K86" s="2">
        <v>23</v>
      </c>
      <c r="L86" s="2">
        <v>35.380000000000003</v>
      </c>
      <c r="M86" s="2">
        <v>20</v>
      </c>
    </row>
    <row r="87" spans="1:13" x14ac:dyDescent="0.3">
      <c r="A87" s="3">
        <v>2022</v>
      </c>
      <c r="B87" s="3" t="s">
        <v>9724</v>
      </c>
      <c r="C87" s="3" t="s">
        <v>19</v>
      </c>
      <c r="D87" s="3" t="s">
        <v>29</v>
      </c>
      <c r="E87" s="3">
        <v>109</v>
      </c>
      <c r="F87" s="3">
        <v>1630893.96</v>
      </c>
      <c r="G87" s="3">
        <v>938839.16</v>
      </c>
      <c r="H87" s="3">
        <v>692054.8</v>
      </c>
      <c r="I87" s="3">
        <v>42.43</v>
      </c>
      <c r="J87" s="3">
        <v>14962.33</v>
      </c>
      <c r="K87" s="3">
        <v>25</v>
      </c>
      <c r="L87" s="3">
        <v>22.94</v>
      </c>
      <c r="M87" s="3">
        <v>55</v>
      </c>
    </row>
    <row r="88" spans="1:13" x14ac:dyDescent="0.3">
      <c r="A88" s="2">
        <v>2022</v>
      </c>
      <c r="B88" s="2" t="s">
        <v>9724</v>
      </c>
      <c r="C88" s="2" t="s">
        <v>19</v>
      </c>
      <c r="D88" s="2" t="s">
        <v>14</v>
      </c>
      <c r="E88" s="2">
        <v>251</v>
      </c>
      <c r="F88" s="2">
        <v>4308840.6399999997</v>
      </c>
      <c r="G88" s="2">
        <v>2824486.5</v>
      </c>
      <c r="H88" s="2">
        <v>1484354.14</v>
      </c>
      <c r="I88" s="2">
        <v>34.450000000000003</v>
      </c>
      <c r="J88" s="2">
        <v>17166.7</v>
      </c>
      <c r="K88" s="2">
        <v>11</v>
      </c>
      <c r="L88" s="2">
        <v>4.38</v>
      </c>
      <c r="M88" s="2">
        <v>57</v>
      </c>
    </row>
    <row r="89" spans="1:13" x14ac:dyDescent="0.3">
      <c r="A89" s="3">
        <v>2022</v>
      </c>
      <c r="B89" s="3" t="s">
        <v>9724</v>
      </c>
      <c r="C89" s="3" t="s">
        <v>19</v>
      </c>
      <c r="D89" s="3" t="s">
        <v>39</v>
      </c>
      <c r="E89" s="3">
        <v>70</v>
      </c>
      <c r="F89" s="3">
        <v>663269.55000000005</v>
      </c>
      <c r="G89" s="3">
        <v>412618.17</v>
      </c>
      <c r="H89" s="3">
        <v>250651.38</v>
      </c>
      <c r="I89" s="3">
        <v>37.79</v>
      </c>
      <c r="J89" s="3">
        <v>9475.2800000000007</v>
      </c>
      <c r="K89" s="3">
        <v>22</v>
      </c>
      <c r="L89" s="3">
        <v>31.43</v>
      </c>
      <c r="M89" s="3">
        <v>49</v>
      </c>
    </row>
    <row r="90" spans="1:13" x14ac:dyDescent="0.3">
      <c r="A90" s="2">
        <v>2022</v>
      </c>
      <c r="B90" s="2" t="s">
        <v>9724</v>
      </c>
      <c r="C90" s="2" t="s">
        <v>13</v>
      </c>
      <c r="D90" s="2" t="s">
        <v>22</v>
      </c>
      <c r="E90" s="2">
        <v>142</v>
      </c>
      <c r="F90" s="2">
        <v>266214.28999999998</v>
      </c>
      <c r="G90" s="2">
        <v>164100.39000000001</v>
      </c>
      <c r="H90" s="2">
        <v>102113.9</v>
      </c>
      <c r="I90" s="2">
        <v>38.36</v>
      </c>
      <c r="J90" s="2">
        <v>1874.75</v>
      </c>
      <c r="K90" s="2">
        <v>25</v>
      </c>
      <c r="L90" s="2">
        <v>17.61</v>
      </c>
      <c r="M90" s="2">
        <v>56</v>
      </c>
    </row>
    <row r="91" spans="1:13" x14ac:dyDescent="0.3">
      <c r="A91" s="3">
        <v>2022</v>
      </c>
      <c r="B91" s="3" t="s">
        <v>9724</v>
      </c>
      <c r="C91" s="3" t="s">
        <v>13</v>
      </c>
      <c r="D91" s="3" t="s">
        <v>29</v>
      </c>
      <c r="E91" s="3">
        <v>130</v>
      </c>
      <c r="F91" s="3">
        <v>1109924.6399999999</v>
      </c>
      <c r="G91" s="3">
        <v>628994.34</v>
      </c>
      <c r="H91" s="3">
        <v>480930.3</v>
      </c>
      <c r="I91" s="3">
        <v>43.33</v>
      </c>
      <c r="J91" s="3">
        <v>8537.8799999999992</v>
      </c>
      <c r="K91" s="3">
        <v>15</v>
      </c>
      <c r="L91" s="3">
        <v>11.54</v>
      </c>
      <c r="M91" s="3">
        <v>51</v>
      </c>
    </row>
    <row r="92" spans="1:13" x14ac:dyDescent="0.3">
      <c r="A92" s="2">
        <v>2022</v>
      </c>
      <c r="B92" s="2" t="s">
        <v>9724</v>
      </c>
      <c r="C92" s="2" t="s">
        <v>13</v>
      </c>
      <c r="D92" s="2" t="s">
        <v>14</v>
      </c>
      <c r="E92" s="2">
        <v>263</v>
      </c>
      <c r="F92" s="2">
        <v>2397402.44</v>
      </c>
      <c r="G92" s="2">
        <v>1486880.97</v>
      </c>
      <c r="H92" s="2">
        <v>910521.47</v>
      </c>
      <c r="I92" s="2">
        <v>37.979999999999997</v>
      </c>
      <c r="J92" s="2">
        <v>9115.6</v>
      </c>
      <c r="K92" s="2">
        <v>15</v>
      </c>
      <c r="L92" s="2">
        <v>5.7</v>
      </c>
      <c r="M92" s="2">
        <v>92</v>
      </c>
    </row>
    <row r="93" spans="1:13" x14ac:dyDescent="0.3">
      <c r="A93" s="3">
        <v>2022</v>
      </c>
      <c r="B93" s="3" t="s">
        <v>9724</v>
      </c>
      <c r="C93" s="3" t="s">
        <v>13</v>
      </c>
      <c r="D93" s="3" t="s">
        <v>39</v>
      </c>
      <c r="E93" s="3">
        <v>272</v>
      </c>
      <c r="F93" s="3">
        <v>3606514.93</v>
      </c>
      <c r="G93" s="3">
        <v>2081893.73</v>
      </c>
      <c r="H93" s="3">
        <v>1524621.2</v>
      </c>
      <c r="I93" s="3">
        <v>42.27</v>
      </c>
      <c r="J93" s="3">
        <v>13259.25</v>
      </c>
      <c r="K93" s="3">
        <v>5</v>
      </c>
      <c r="L93" s="3">
        <v>1.84</v>
      </c>
      <c r="M93" s="3">
        <v>61</v>
      </c>
    </row>
    <row r="94" spans="1:13" x14ac:dyDescent="0.3">
      <c r="A94" s="2">
        <v>2022</v>
      </c>
      <c r="B94" s="2" t="s">
        <v>9724</v>
      </c>
      <c r="C94" s="2" t="s">
        <v>27</v>
      </c>
      <c r="D94" s="2" t="s">
        <v>22</v>
      </c>
      <c r="E94" s="2">
        <v>234</v>
      </c>
      <c r="F94" s="2">
        <v>1833530.39</v>
      </c>
      <c r="G94" s="2">
        <v>1260316.0900000001</v>
      </c>
      <c r="H94" s="2">
        <v>573214.30000000005</v>
      </c>
      <c r="I94" s="2">
        <v>31.26</v>
      </c>
      <c r="J94" s="2">
        <v>7835.6</v>
      </c>
      <c r="K94" s="2">
        <v>8</v>
      </c>
      <c r="L94" s="2">
        <v>3.42</v>
      </c>
      <c r="M94" s="2">
        <v>93</v>
      </c>
    </row>
    <row r="95" spans="1:13" x14ac:dyDescent="0.3">
      <c r="A95" s="3">
        <v>2022</v>
      </c>
      <c r="B95" s="3" t="s">
        <v>9724</v>
      </c>
      <c r="C95" s="3" t="s">
        <v>27</v>
      </c>
      <c r="D95" s="3" t="s">
        <v>29</v>
      </c>
      <c r="E95" s="3">
        <v>101</v>
      </c>
      <c r="F95" s="3">
        <v>1589953.13</v>
      </c>
      <c r="G95" s="3">
        <v>1053367.92</v>
      </c>
      <c r="H95" s="3">
        <v>536585.21</v>
      </c>
      <c r="I95" s="3">
        <v>33.75</v>
      </c>
      <c r="J95" s="3">
        <v>15742.11</v>
      </c>
      <c r="K95" s="3">
        <v>29</v>
      </c>
      <c r="L95" s="3">
        <v>28.71</v>
      </c>
      <c r="M95" s="3">
        <v>18</v>
      </c>
    </row>
    <row r="96" spans="1:13" x14ac:dyDescent="0.3">
      <c r="A96" s="2">
        <v>2022</v>
      </c>
      <c r="B96" s="2" t="s">
        <v>9724</v>
      </c>
      <c r="C96" s="2" t="s">
        <v>27</v>
      </c>
      <c r="D96" s="2" t="s">
        <v>14</v>
      </c>
      <c r="E96" s="2">
        <v>23</v>
      </c>
      <c r="F96" s="2">
        <v>348722.87</v>
      </c>
      <c r="G96" s="2">
        <v>214500.15</v>
      </c>
      <c r="H96" s="2">
        <v>134222.72</v>
      </c>
      <c r="I96" s="2">
        <v>38.49</v>
      </c>
      <c r="J96" s="2">
        <v>15161.86</v>
      </c>
      <c r="K96" s="2">
        <v>19</v>
      </c>
      <c r="L96" s="2">
        <v>82.61</v>
      </c>
      <c r="M96" s="2">
        <v>9</v>
      </c>
    </row>
    <row r="97" spans="1:13" x14ac:dyDescent="0.3">
      <c r="A97" s="3">
        <v>2022</v>
      </c>
      <c r="B97" s="3" t="s">
        <v>9724</v>
      </c>
      <c r="C97" s="3" t="s">
        <v>27</v>
      </c>
      <c r="D97" s="3" t="s">
        <v>39</v>
      </c>
      <c r="E97" s="3">
        <v>29</v>
      </c>
      <c r="F97" s="3">
        <v>4157859.35</v>
      </c>
      <c r="G97" s="3">
        <v>2149509.0299999998</v>
      </c>
      <c r="H97" s="3">
        <v>2008350.32</v>
      </c>
      <c r="I97" s="3">
        <v>48.3</v>
      </c>
      <c r="J97" s="3">
        <v>143374.46</v>
      </c>
      <c r="K97" s="3">
        <v>2</v>
      </c>
      <c r="L97" s="3">
        <v>6.9</v>
      </c>
      <c r="M97" s="3">
        <v>85</v>
      </c>
    </row>
    <row r="98" spans="1:13" x14ac:dyDescent="0.3">
      <c r="A98" s="2">
        <v>2022</v>
      </c>
      <c r="B98" s="2" t="s">
        <v>9724</v>
      </c>
      <c r="C98" s="2" t="s">
        <v>28</v>
      </c>
      <c r="D98" s="2" t="s">
        <v>22</v>
      </c>
      <c r="E98" s="2">
        <v>143</v>
      </c>
      <c r="F98" s="2">
        <v>2094280.95</v>
      </c>
      <c r="G98" s="2">
        <v>1411738.92</v>
      </c>
      <c r="H98" s="2">
        <v>682542.03</v>
      </c>
      <c r="I98" s="2">
        <v>32.590000000000003</v>
      </c>
      <c r="J98" s="2">
        <v>14645.32</v>
      </c>
      <c r="K98" s="2">
        <v>1</v>
      </c>
      <c r="L98" s="2">
        <v>0.7</v>
      </c>
      <c r="M98" s="2">
        <v>57</v>
      </c>
    </row>
    <row r="99" spans="1:13" x14ac:dyDescent="0.3">
      <c r="A99" s="3">
        <v>2022</v>
      </c>
      <c r="B99" s="3" t="s">
        <v>9724</v>
      </c>
      <c r="C99" s="3" t="s">
        <v>28</v>
      </c>
      <c r="D99" s="3" t="s">
        <v>29</v>
      </c>
      <c r="E99" s="3">
        <v>217</v>
      </c>
      <c r="F99" s="3">
        <v>4149767.18</v>
      </c>
      <c r="G99" s="3">
        <v>2147172.06</v>
      </c>
      <c r="H99" s="3">
        <v>2002595.12</v>
      </c>
      <c r="I99" s="3">
        <v>48.26</v>
      </c>
      <c r="J99" s="3">
        <v>19123.349999999999</v>
      </c>
      <c r="K99" s="3">
        <v>27</v>
      </c>
      <c r="L99" s="3">
        <v>12.44</v>
      </c>
      <c r="M99" s="3">
        <v>26</v>
      </c>
    </row>
    <row r="100" spans="1:13" x14ac:dyDescent="0.3">
      <c r="A100" s="2">
        <v>2022</v>
      </c>
      <c r="B100" s="2" t="s">
        <v>9724</v>
      </c>
      <c r="C100" s="2" t="s">
        <v>28</v>
      </c>
      <c r="D100" s="2" t="s">
        <v>14</v>
      </c>
      <c r="E100" s="2">
        <v>40</v>
      </c>
      <c r="F100" s="2">
        <v>449463.28</v>
      </c>
      <c r="G100" s="2">
        <v>287741.34000000003</v>
      </c>
      <c r="H100" s="2">
        <v>161721.94</v>
      </c>
      <c r="I100" s="2">
        <v>35.979999999999997</v>
      </c>
      <c r="J100" s="2">
        <v>11236.58</v>
      </c>
      <c r="K100" s="2">
        <v>8</v>
      </c>
      <c r="L100" s="2">
        <v>20</v>
      </c>
      <c r="M100" s="2">
        <v>51</v>
      </c>
    </row>
    <row r="101" spans="1:13" x14ac:dyDescent="0.3">
      <c r="A101" s="3">
        <v>2022</v>
      </c>
      <c r="B101" s="3" t="s">
        <v>9724</v>
      </c>
      <c r="C101" s="3" t="s">
        <v>28</v>
      </c>
      <c r="D101" s="3" t="s">
        <v>39</v>
      </c>
      <c r="E101" s="3">
        <v>78</v>
      </c>
      <c r="F101" s="3">
        <v>3384739.23</v>
      </c>
      <c r="G101" s="3">
        <v>2198346.06</v>
      </c>
      <c r="H101" s="3">
        <v>1186393.17</v>
      </c>
      <c r="I101" s="3">
        <v>35.049999999999997</v>
      </c>
      <c r="J101" s="3">
        <v>43394.09</v>
      </c>
      <c r="K101" s="3">
        <v>20</v>
      </c>
      <c r="L101" s="3">
        <v>25.64</v>
      </c>
      <c r="M101" s="3">
        <v>72</v>
      </c>
    </row>
    <row r="102" spans="1:13" x14ac:dyDescent="0.3">
      <c r="A102" s="2">
        <v>2022</v>
      </c>
      <c r="B102" s="2" t="s">
        <v>9725</v>
      </c>
      <c r="C102" s="2" t="s">
        <v>21</v>
      </c>
      <c r="D102" s="2" t="s">
        <v>22</v>
      </c>
      <c r="E102" s="2">
        <v>145</v>
      </c>
      <c r="F102" s="2">
        <v>1355941.29</v>
      </c>
      <c r="G102" s="2">
        <v>802296.78</v>
      </c>
      <c r="H102" s="2">
        <v>553644.51</v>
      </c>
      <c r="I102" s="2">
        <v>40.83</v>
      </c>
      <c r="J102" s="2">
        <v>9351.32</v>
      </c>
      <c r="K102" s="2">
        <v>2</v>
      </c>
      <c r="L102" s="2">
        <v>1.38</v>
      </c>
      <c r="M102" s="2">
        <v>12</v>
      </c>
    </row>
    <row r="103" spans="1:13" x14ac:dyDescent="0.3">
      <c r="A103" s="3">
        <v>2022</v>
      </c>
      <c r="B103" s="3" t="s">
        <v>9725</v>
      </c>
      <c r="C103" s="3" t="s">
        <v>21</v>
      </c>
      <c r="D103" s="3" t="s">
        <v>29</v>
      </c>
      <c r="E103" s="3">
        <v>74</v>
      </c>
      <c r="F103" s="3">
        <v>441276.67</v>
      </c>
      <c r="G103" s="3">
        <v>223378.74</v>
      </c>
      <c r="H103" s="3">
        <v>217897.93</v>
      </c>
      <c r="I103" s="3">
        <v>49.38</v>
      </c>
      <c r="J103" s="3">
        <v>5963.2</v>
      </c>
      <c r="K103" s="3">
        <v>1</v>
      </c>
      <c r="L103" s="3">
        <v>1.35</v>
      </c>
      <c r="M103" s="3">
        <v>5</v>
      </c>
    </row>
    <row r="104" spans="1:13" x14ac:dyDescent="0.3">
      <c r="A104" s="2">
        <v>2022</v>
      </c>
      <c r="B104" s="2" t="s">
        <v>9725</v>
      </c>
      <c r="C104" s="2" t="s">
        <v>21</v>
      </c>
      <c r="D104" s="2" t="s">
        <v>14</v>
      </c>
      <c r="E104" s="2">
        <v>138</v>
      </c>
      <c r="F104" s="2">
        <v>79865.460000000006</v>
      </c>
      <c r="G104" s="2">
        <v>55720.57</v>
      </c>
      <c r="H104" s="2">
        <v>24144.89</v>
      </c>
      <c r="I104" s="2">
        <v>30.23</v>
      </c>
      <c r="J104" s="2">
        <v>578.74</v>
      </c>
      <c r="K104" s="2">
        <v>10</v>
      </c>
      <c r="L104" s="2">
        <v>7.25</v>
      </c>
      <c r="M104" s="2">
        <v>79</v>
      </c>
    </row>
    <row r="105" spans="1:13" x14ac:dyDescent="0.3">
      <c r="A105" s="3">
        <v>2022</v>
      </c>
      <c r="B105" s="3" t="s">
        <v>9725</v>
      </c>
      <c r="C105" s="3" t="s">
        <v>21</v>
      </c>
      <c r="D105" s="3" t="s">
        <v>39</v>
      </c>
      <c r="E105" s="3">
        <v>262</v>
      </c>
      <c r="F105" s="3">
        <v>1157958.52</v>
      </c>
      <c r="G105" s="3">
        <v>589136.16</v>
      </c>
      <c r="H105" s="3">
        <v>568822.36</v>
      </c>
      <c r="I105" s="3">
        <v>49.12</v>
      </c>
      <c r="J105" s="3">
        <v>4419.6899999999996</v>
      </c>
      <c r="K105" s="3">
        <v>3</v>
      </c>
      <c r="L105" s="3">
        <v>1.1499999999999999</v>
      </c>
      <c r="M105" s="3">
        <v>27</v>
      </c>
    </row>
    <row r="106" spans="1:13" x14ac:dyDescent="0.3">
      <c r="A106" s="2">
        <v>2022</v>
      </c>
      <c r="B106" s="2" t="s">
        <v>9725</v>
      </c>
      <c r="C106" s="2" t="s">
        <v>19</v>
      </c>
      <c r="D106" s="2" t="s">
        <v>22</v>
      </c>
      <c r="E106" s="2">
        <v>162</v>
      </c>
      <c r="F106" s="2">
        <v>1671674.17</v>
      </c>
      <c r="G106" s="2">
        <v>953721.71</v>
      </c>
      <c r="H106" s="2">
        <v>717952.46</v>
      </c>
      <c r="I106" s="2">
        <v>42.95</v>
      </c>
      <c r="J106" s="2">
        <v>10318.98</v>
      </c>
      <c r="K106" s="2">
        <v>18</v>
      </c>
      <c r="L106" s="2">
        <v>11.11</v>
      </c>
      <c r="M106" s="2">
        <v>51</v>
      </c>
    </row>
    <row r="107" spans="1:13" x14ac:dyDescent="0.3">
      <c r="A107" s="3">
        <v>2022</v>
      </c>
      <c r="B107" s="3" t="s">
        <v>9725</v>
      </c>
      <c r="C107" s="3" t="s">
        <v>19</v>
      </c>
      <c r="D107" s="3" t="s">
        <v>29</v>
      </c>
      <c r="E107" s="3">
        <v>52</v>
      </c>
      <c r="F107" s="3">
        <v>1149850.05</v>
      </c>
      <c r="G107" s="3">
        <v>755759.4</v>
      </c>
      <c r="H107" s="3">
        <v>394090.65</v>
      </c>
      <c r="I107" s="3">
        <v>34.270000000000003</v>
      </c>
      <c r="J107" s="3">
        <v>22112.5</v>
      </c>
      <c r="K107" s="3">
        <v>23</v>
      </c>
      <c r="L107" s="3">
        <v>44.23</v>
      </c>
      <c r="M107" s="3">
        <v>21</v>
      </c>
    </row>
    <row r="108" spans="1:13" x14ac:dyDescent="0.3">
      <c r="A108" s="2">
        <v>2022</v>
      </c>
      <c r="B108" s="2" t="s">
        <v>9725</v>
      </c>
      <c r="C108" s="2" t="s">
        <v>19</v>
      </c>
      <c r="D108" s="2" t="s">
        <v>14</v>
      </c>
      <c r="E108" s="2">
        <v>103</v>
      </c>
      <c r="F108" s="2">
        <v>3246713.7</v>
      </c>
      <c r="G108" s="2">
        <v>1897022.82</v>
      </c>
      <c r="H108" s="2">
        <v>1349690.88</v>
      </c>
      <c r="I108" s="2">
        <v>41.57</v>
      </c>
      <c r="J108" s="2">
        <v>31521.49</v>
      </c>
      <c r="K108" s="2">
        <v>27</v>
      </c>
      <c r="L108" s="2">
        <v>26.21</v>
      </c>
      <c r="M108" s="2">
        <v>47</v>
      </c>
    </row>
    <row r="109" spans="1:13" x14ac:dyDescent="0.3">
      <c r="A109" s="3">
        <v>2022</v>
      </c>
      <c r="B109" s="3" t="s">
        <v>9725</v>
      </c>
      <c r="C109" s="3" t="s">
        <v>19</v>
      </c>
      <c r="D109" s="3" t="s">
        <v>39</v>
      </c>
      <c r="E109" s="3">
        <v>41</v>
      </c>
      <c r="F109" s="3">
        <v>3030135.1</v>
      </c>
      <c r="G109" s="3">
        <v>1842881.04</v>
      </c>
      <c r="H109" s="3">
        <v>1187254.06</v>
      </c>
      <c r="I109" s="3">
        <v>39.18</v>
      </c>
      <c r="J109" s="3">
        <v>73905.73</v>
      </c>
      <c r="K109" s="3">
        <v>3</v>
      </c>
      <c r="L109" s="3">
        <v>7.32</v>
      </c>
      <c r="M109" s="3">
        <v>66</v>
      </c>
    </row>
    <row r="110" spans="1:13" x14ac:dyDescent="0.3">
      <c r="A110" s="2">
        <v>2022</v>
      </c>
      <c r="B110" s="2" t="s">
        <v>9725</v>
      </c>
      <c r="C110" s="2" t="s">
        <v>13</v>
      </c>
      <c r="D110" s="2" t="s">
        <v>22</v>
      </c>
      <c r="E110" s="2">
        <v>47</v>
      </c>
      <c r="F110" s="2">
        <v>4083016.51</v>
      </c>
      <c r="G110" s="2">
        <v>2604290.96</v>
      </c>
      <c r="H110" s="2">
        <v>1478725.55</v>
      </c>
      <c r="I110" s="2">
        <v>36.22</v>
      </c>
      <c r="J110" s="2">
        <v>86872.69</v>
      </c>
      <c r="K110" s="2">
        <v>13</v>
      </c>
      <c r="L110" s="2">
        <v>27.66</v>
      </c>
      <c r="M110" s="2">
        <v>77</v>
      </c>
    </row>
    <row r="111" spans="1:13" x14ac:dyDescent="0.3">
      <c r="A111" s="3">
        <v>2022</v>
      </c>
      <c r="B111" s="3" t="s">
        <v>9725</v>
      </c>
      <c r="C111" s="3" t="s">
        <v>13</v>
      </c>
      <c r="D111" s="3" t="s">
        <v>29</v>
      </c>
      <c r="E111" s="3">
        <v>171</v>
      </c>
      <c r="F111" s="3">
        <v>3014034.82</v>
      </c>
      <c r="G111" s="3">
        <v>1947631.75</v>
      </c>
      <c r="H111" s="3">
        <v>1066403.07</v>
      </c>
      <c r="I111" s="3">
        <v>35.380000000000003</v>
      </c>
      <c r="J111" s="3">
        <v>17625.93</v>
      </c>
      <c r="K111" s="3">
        <v>8</v>
      </c>
      <c r="L111" s="3">
        <v>4.68</v>
      </c>
      <c r="M111" s="3">
        <v>46</v>
      </c>
    </row>
    <row r="112" spans="1:13" x14ac:dyDescent="0.3">
      <c r="A112" s="2">
        <v>2022</v>
      </c>
      <c r="B112" s="2" t="s">
        <v>9725</v>
      </c>
      <c r="C112" s="2" t="s">
        <v>13</v>
      </c>
      <c r="D112" s="2" t="s">
        <v>14</v>
      </c>
      <c r="E112" s="2">
        <v>246</v>
      </c>
      <c r="F112" s="2">
        <v>4045931.93</v>
      </c>
      <c r="G112" s="2">
        <v>2647630.61</v>
      </c>
      <c r="H112" s="2">
        <v>1398301.32</v>
      </c>
      <c r="I112" s="2">
        <v>34.56</v>
      </c>
      <c r="J112" s="2">
        <v>16446.88</v>
      </c>
      <c r="K112" s="2">
        <v>8</v>
      </c>
      <c r="L112" s="2">
        <v>3.25</v>
      </c>
      <c r="M112" s="2">
        <v>67</v>
      </c>
    </row>
    <row r="113" spans="1:13" x14ac:dyDescent="0.3">
      <c r="A113" s="3">
        <v>2022</v>
      </c>
      <c r="B113" s="3" t="s">
        <v>9725</v>
      </c>
      <c r="C113" s="3" t="s">
        <v>13</v>
      </c>
      <c r="D113" s="3" t="s">
        <v>39</v>
      </c>
      <c r="E113" s="3">
        <v>80</v>
      </c>
      <c r="F113" s="3">
        <v>1328194.23</v>
      </c>
      <c r="G113" s="3">
        <v>719893.02</v>
      </c>
      <c r="H113" s="3">
        <v>608301.21</v>
      </c>
      <c r="I113" s="3">
        <v>45.8</v>
      </c>
      <c r="J113" s="3">
        <v>16602.43</v>
      </c>
      <c r="K113" s="3">
        <v>2</v>
      </c>
      <c r="L113" s="3">
        <v>2.5</v>
      </c>
      <c r="M113" s="3">
        <v>27</v>
      </c>
    </row>
    <row r="114" spans="1:13" x14ac:dyDescent="0.3">
      <c r="A114" s="2">
        <v>2022</v>
      </c>
      <c r="B114" s="2" t="s">
        <v>9725</v>
      </c>
      <c r="C114" s="2" t="s">
        <v>27</v>
      </c>
      <c r="D114" s="2" t="s">
        <v>22</v>
      </c>
      <c r="E114" s="2">
        <v>26</v>
      </c>
      <c r="F114" s="2">
        <v>281191.2</v>
      </c>
      <c r="G114" s="2">
        <v>188941.15</v>
      </c>
      <c r="H114" s="2">
        <v>92250.05</v>
      </c>
      <c r="I114" s="2">
        <v>32.81</v>
      </c>
      <c r="J114" s="2">
        <v>10815.05</v>
      </c>
      <c r="K114" s="2">
        <v>11</v>
      </c>
      <c r="L114" s="2">
        <v>42.31</v>
      </c>
      <c r="M114" s="2">
        <v>96</v>
      </c>
    </row>
    <row r="115" spans="1:13" x14ac:dyDescent="0.3">
      <c r="A115" s="3">
        <v>2022</v>
      </c>
      <c r="B115" s="3" t="s">
        <v>9725</v>
      </c>
      <c r="C115" s="3" t="s">
        <v>27</v>
      </c>
      <c r="D115" s="3" t="s">
        <v>29</v>
      </c>
      <c r="E115" s="3">
        <v>83</v>
      </c>
      <c r="F115" s="3">
        <v>1613372.53</v>
      </c>
      <c r="G115" s="3">
        <v>863584.28</v>
      </c>
      <c r="H115" s="3">
        <v>749788.25</v>
      </c>
      <c r="I115" s="3">
        <v>46.47</v>
      </c>
      <c r="J115" s="3">
        <v>19438.22</v>
      </c>
      <c r="K115" s="3">
        <v>17</v>
      </c>
      <c r="L115" s="3">
        <v>20.48</v>
      </c>
      <c r="M115" s="3">
        <v>44</v>
      </c>
    </row>
    <row r="116" spans="1:13" x14ac:dyDescent="0.3">
      <c r="A116" s="2">
        <v>2022</v>
      </c>
      <c r="B116" s="2" t="s">
        <v>9725</v>
      </c>
      <c r="C116" s="2" t="s">
        <v>27</v>
      </c>
      <c r="D116" s="2" t="s">
        <v>14</v>
      </c>
      <c r="E116" s="2">
        <v>133</v>
      </c>
      <c r="F116" s="2">
        <v>4080997.89</v>
      </c>
      <c r="G116" s="2">
        <v>2309776.64</v>
      </c>
      <c r="H116" s="2">
        <v>1771221.25</v>
      </c>
      <c r="I116" s="2">
        <v>43.4</v>
      </c>
      <c r="J116" s="2">
        <v>30684.19</v>
      </c>
      <c r="K116" s="2">
        <v>30</v>
      </c>
      <c r="L116" s="2">
        <v>22.56</v>
      </c>
      <c r="M116" s="2">
        <v>69</v>
      </c>
    </row>
    <row r="117" spans="1:13" x14ac:dyDescent="0.3">
      <c r="A117" s="3">
        <v>2022</v>
      </c>
      <c r="B117" s="3" t="s">
        <v>9725</v>
      </c>
      <c r="C117" s="3" t="s">
        <v>27</v>
      </c>
      <c r="D117" s="3" t="s">
        <v>39</v>
      </c>
      <c r="E117" s="3">
        <v>209</v>
      </c>
      <c r="F117" s="3">
        <v>3619132.95</v>
      </c>
      <c r="G117" s="3">
        <v>2361037.46</v>
      </c>
      <c r="H117" s="3">
        <v>1258095.49</v>
      </c>
      <c r="I117" s="3">
        <v>34.76</v>
      </c>
      <c r="J117" s="3">
        <v>17316.43</v>
      </c>
      <c r="K117" s="3">
        <v>12</v>
      </c>
      <c r="L117" s="3">
        <v>5.74</v>
      </c>
      <c r="M117" s="3">
        <v>84</v>
      </c>
    </row>
    <row r="118" spans="1:13" x14ac:dyDescent="0.3">
      <c r="A118" s="2">
        <v>2022</v>
      </c>
      <c r="B118" s="2" t="s">
        <v>9725</v>
      </c>
      <c r="C118" s="2" t="s">
        <v>28</v>
      </c>
      <c r="D118" s="2" t="s">
        <v>22</v>
      </c>
      <c r="E118" s="2">
        <v>267</v>
      </c>
      <c r="F118" s="2">
        <v>4112726.23</v>
      </c>
      <c r="G118" s="2">
        <v>2267570.5699999998</v>
      </c>
      <c r="H118" s="2">
        <v>1845155.66</v>
      </c>
      <c r="I118" s="2">
        <v>44.86</v>
      </c>
      <c r="J118" s="2">
        <v>15403.47</v>
      </c>
      <c r="K118" s="2">
        <v>24</v>
      </c>
      <c r="L118" s="2">
        <v>8.99</v>
      </c>
      <c r="M118" s="2">
        <v>34</v>
      </c>
    </row>
    <row r="119" spans="1:13" x14ac:dyDescent="0.3">
      <c r="A119" s="3">
        <v>2022</v>
      </c>
      <c r="B119" s="3" t="s">
        <v>9725</v>
      </c>
      <c r="C119" s="3" t="s">
        <v>28</v>
      </c>
      <c r="D119" s="3" t="s">
        <v>29</v>
      </c>
      <c r="E119" s="3">
        <v>35</v>
      </c>
      <c r="F119" s="3">
        <v>792698.32</v>
      </c>
      <c r="G119" s="3">
        <v>477604.22</v>
      </c>
      <c r="H119" s="3">
        <v>315094.09999999998</v>
      </c>
      <c r="I119" s="3">
        <v>39.75</v>
      </c>
      <c r="J119" s="3">
        <v>22648.52</v>
      </c>
      <c r="K119" s="3">
        <v>30</v>
      </c>
      <c r="L119" s="3">
        <v>85.71</v>
      </c>
      <c r="M119" s="3">
        <v>17</v>
      </c>
    </row>
    <row r="120" spans="1:13" x14ac:dyDescent="0.3">
      <c r="A120" s="2">
        <v>2022</v>
      </c>
      <c r="B120" s="2" t="s">
        <v>9725</v>
      </c>
      <c r="C120" s="2" t="s">
        <v>28</v>
      </c>
      <c r="D120" s="2" t="s">
        <v>14</v>
      </c>
      <c r="E120" s="2">
        <v>59</v>
      </c>
      <c r="F120" s="2">
        <v>2323970.12</v>
      </c>
      <c r="G120" s="2">
        <v>1578186.02</v>
      </c>
      <c r="H120" s="2">
        <v>745784.1</v>
      </c>
      <c r="I120" s="2">
        <v>32.090000000000003</v>
      </c>
      <c r="J120" s="2">
        <v>39389.32</v>
      </c>
      <c r="K120" s="2">
        <v>10</v>
      </c>
      <c r="L120" s="2">
        <v>16.95</v>
      </c>
      <c r="M120" s="2">
        <v>60</v>
      </c>
    </row>
    <row r="121" spans="1:13" x14ac:dyDescent="0.3">
      <c r="A121" s="3">
        <v>2022</v>
      </c>
      <c r="B121" s="3" t="s">
        <v>9725</v>
      </c>
      <c r="C121" s="3" t="s">
        <v>28</v>
      </c>
      <c r="D121" s="3" t="s">
        <v>39</v>
      </c>
      <c r="E121" s="3">
        <v>75</v>
      </c>
      <c r="F121" s="3">
        <v>3150515.65</v>
      </c>
      <c r="G121" s="3">
        <v>1784538.81</v>
      </c>
      <c r="H121" s="3">
        <v>1365976.84</v>
      </c>
      <c r="I121" s="3">
        <v>43.36</v>
      </c>
      <c r="J121" s="3">
        <v>42006.879999999997</v>
      </c>
      <c r="K121" s="3">
        <v>5</v>
      </c>
      <c r="L121" s="3">
        <v>6.67</v>
      </c>
      <c r="M121" s="3">
        <v>7</v>
      </c>
    </row>
    <row r="122" spans="1:13" x14ac:dyDescent="0.3">
      <c r="A122" s="2">
        <v>2022</v>
      </c>
      <c r="B122" s="2" t="s">
        <v>9726</v>
      </c>
      <c r="C122" s="2" t="s">
        <v>21</v>
      </c>
      <c r="D122" s="2" t="s">
        <v>22</v>
      </c>
      <c r="E122" s="2">
        <v>211</v>
      </c>
      <c r="F122" s="2">
        <v>1346745.22</v>
      </c>
      <c r="G122" s="2">
        <v>745602.92</v>
      </c>
      <c r="H122" s="2">
        <v>601142.30000000005</v>
      </c>
      <c r="I122" s="2">
        <v>44.64</v>
      </c>
      <c r="J122" s="2">
        <v>6382.68</v>
      </c>
      <c r="K122" s="2">
        <v>6</v>
      </c>
      <c r="L122" s="2">
        <v>2.84</v>
      </c>
      <c r="M122" s="2">
        <v>44</v>
      </c>
    </row>
    <row r="123" spans="1:13" x14ac:dyDescent="0.3">
      <c r="A123" s="3">
        <v>2022</v>
      </c>
      <c r="B123" s="3" t="s">
        <v>9726</v>
      </c>
      <c r="C123" s="3" t="s">
        <v>21</v>
      </c>
      <c r="D123" s="3" t="s">
        <v>29</v>
      </c>
      <c r="E123" s="3">
        <v>199</v>
      </c>
      <c r="F123" s="3">
        <v>3218515.69</v>
      </c>
      <c r="G123" s="3">
        <v>1907253.53</v>
      </c>
      <c r="H123" s="3">
        <v>1311262.1599999999</v>
      </c>
      <c r="I123" s="3">
        <v>40.74</v>
      </c>
      <c r="J123" s="3">
        <v>16173.45</v>
      </c>
      <c r="K123" s="3">
        <v>29</v>
      </c>
      <c r="L123" s="3">
        <v>14.57</v>
      </c>
      <c r="M123" s="3">
        <v>73</v>
      </c>
    </row>
    <row r="124" spans="1:13" x14ac:dyDescent="0.3">
      <c r="A124" s="2">
        <v>2022</v>
      </c>
      <c r="B124" s="2" t="s">
        <v>9726</v>
      </c>
      <c r="C124" s="2" t="s">
        <v>21</v>
      </c>
      <c r="D124" s="2" t="s">
        <v>14</v>
      </c>
      <c r="E124" s="2">
        <v>87</v>
      </c>
      <c r="F124" s="2">
        <v>4447088.7</v>
      </c>
      <c r="G124" s="2">
        <v>2529199.13</v>
      </c>
      <c r="H124" s="2">
        <v>1917889.57</v>
      </c>
      <c r="I124" s="2">
        <v>43.13</v>
      </c>
      <c r="J124" s="2">
        <v>51115.96</v>
      </c>
      <c r="K124" s="2">
        <v>2</v>
      </c>
      <c r="L124" s="2">
        <v>2.2999999999999998</v>
      </c>
      <c r="M124" s="2">
        <v>33</v>
      </c>
    </row>
    <row r="125" spans="1:13" x14ac:dyDescent="0.3">
      <c r="A125" s="3">
        <v>2022</v>
      </c>
      <c r="B125" s="3" t="s">
        <v>9726</v>
      </c>
      <c r="C125" s="3" t="s">
        <v>21</v>
      </c>
      <c r="D125" s="3" t="s">
        <v>39</v>
      </c>
      <c r="E125" s="3">
        <v>106</v>
      </c>
      <c r="F125" s="3">
        <v>409977.69</v>
      </c>
      <c r="G125" s="3">
        <v>260929.25</v>
      </c>
      <c r="H125" s="3">
        <v>149048.44</v>
      </c>
      <c r="I125" s="3">
        <v>36.36</v>
      </c>
      <c r="J125" s="3">
        <v>3867.71</v>
      </c>
      <c r="K125" s="3">
        <v>1</v>
      </c>
      <c r="L125" s="3">
        <v>0.94</v>
      </c>
      <c r="M125" s="3">
        <v>66</v>
      </c>
    </row>
    <row r="126" spans="1:13" x14ac:dyDescent="0.3">
      <c r="A126" s="2">
        <v>2022</v>
      </c>
      <c r="B126" s="2" t="s">
        <v>9726</v>
      </c>
      <c r="C126" s="2" t="s">
        <v>19</v>
      </c>
      <c r="D126" s="2" t="s">
        <v>22</v>
      </c>
      <c r="E126" s="2">
        <v>263</v>
      </c>
      <c r="F126" s="2">
        <v>2833690.94</v>
      </c>
      <c r="G126" s="2">
        <v>1954723.38</v>
      </c>
      <c r="H126" s="2">
        <v>878967.56</v>
      </c>
      <c r="I126" s="2">
        <v>31.02</v>
      </c>
      <c r="J126" s="2">
        <v>10774.49</v>
      </c>
      <c r="K126" s="2">
        <v>28</v>
      </c>
      <c r="L126" s="2">
        <v>10.65</v>
      </c>
      <c r="M126" s="2">
        <v>76</v>
      </c>
    </row>
    <row r="127" spans="1:13" x14ac:dyDescent="0.3">
      <c r="A127" s="3">
        <v>2022</v>
      </c>
      <c r="B127" s="3" t="s">
        <v>9726</v>
      </c>
      <c r="C127" s="3" t="s">
        <v>19</v>
      </c>
      <c r="D127" s="3" t="s">
        <v>29</v>
      </c>
      <c r="E127" s="3">
        <v>165</v>
      </c>
      <c r="F127" s="3">
        <v>1056126.55</v>
      </c>
      <c r="G127" s="3">
        <v>655428.27</v>
      </c>
      <c r="H127" s="3">
        <v>400698.28</v>
      </c>
      <c r="I127" s="3">
        <v>37.94</v>
      </c>
      <c r="J127" s="3">
        <v>6400.77</v>
      </c>
      <c r="K127" s="3">
        <v>7</v>
      </c>
      <c r="L127" s="3">
        <v>4.24</v>
      </c>
      <c r="M127" s="3">
        <v>83</v>
      </c>
    </row>
    <row r="128" spans="1:13" x14ac:dyDescent="0.3">
      <c r="A128" s="2">
        <v>2022</v>
      </c>
      <c r="B128" s="2" t="s">
        <v>9726</v>
      </c>
      <c r="C128" s="2" t="s">
        <v>19</v>
      </c>
      <c r="D128" s="2" t="s">
        <v>14</v>
      </c>
      <c r="E128" s="2">
        <v>208</v>
      </c>
      <c r="F128" s="2">
        <v>4155326.2</v>
      </c>
      <c r="G128" s="2">
        <v>2444024.2799999998</v>
      </c>
      <c r="H128" s="2">
        <v>1711301.92</v>
      </c>
      <c r="I128" s="2">
        <v>41.18</v>
      </c>
      <c r="J128" s="2">
        <v>19977.53</v>
      </c>
      <c r="K128" s="2">
        <v>17</v>
      </c>
      <c r="L128" s="2">
        <v>8.17</v>
      </c>
      <c r="M128" s="2">
        <v>38</v>
      </c>
    </row>
    <row r="129" spans="1:13" x14ac:dyDescent="0.3">
      <c r="A129" s="3">
        <v>2022</v>
      </c>
      <c r="B129" s="3" t="s">
        <v>9726</v>
      </c>
      <c r="C129" s="3" t="s">
        <v>19</v>
      </c>
      <c r="D129" s="3" t="s">
        <v>39</v>
      </c>
      <c r="E129" s="3">
        <v>246</v>
      </c>
      <c r="F129" s="3">
        <v>2076993.92</v>
      </c>
      <c r="G129" s="3">
        <v>1183490.22</v>
      </c>
      <c r="H129" s="3">
        <v>893503.7</v>
      </c>
      <c r="I129" s="3">
        <v>43.02</v>
      </c>
      <c r="J129" s="3">
        <v>8443.06</v>
      </c>
      <c r="K129" s="3">
        <v>10</v>
      </c>
      <c r="L129" s="3">
        <v>4.07</v>
      </c>
      <c r="M129" s="3">
        <v>43</v>
      </c>
    </row>
    <row r="130" spans="1:13" x14ac:dyDescent="0.3">
      <c r="A130" s="2">
        <v>2022</v>
      </c>
      <c r="B130" s="2" t="s">
        <v>9726</v>
      </c>
      <c r="C130" s="2" t="s">
        <v>13</v>
      </c>
      <c r="D130" s="2" t="s">
        <v>22</v>
      </c>
      <c r="E130" s="2">
        <v>275</v>
      </c>
      <c r="F130" s="2">
        <v>1910034.72</v>
      </c>
      <c r="G130" s="2">
        <v>1055947.97</v>
      </c>
      <c r="H130" s="2">
        <v>854086.75</v>
      </c>
      <c r="I130" s="2">
        <v>44.72</v>
      </c>
      <c r="J130" s="2">
        <v>6945.58</v>
      </c>
      <c r="K130" s="2">
        <v>8</v>
      </c>
      <c r="L130" s="2">
        <v>2.91</v>
      </c>
      <c r="M130" s="2">
        <v>88</v>
      </c>
    </row>
    <row r="131" spans="1:13" x14ac:dyDescent="0.3">
      <c r="A131" s="3">
        <v>2022</v>
      </c>
      <c r="B131" s="3" t="s">
        <v>9726</v>
      </c>
      <c r="C131" s="3" t="s">
        <v>13</v>
      </c>
      <c r="D131" s="3" t="s">
        <v>29</v>
      </c>
      <c r="E131" s="3">
        <v>192</v>
      </c>
      <c r="F131" s="3">
        <v>1108253.94</v>
      </c>
      <c r="G131" s="3">
        <v>608661.59</v>
      </c>
      <c r="H131" s="3">
        <v>499592.35</v>
      </c>
      <c r="I131" s="3">
        <v>45.08</v>
      </c>
      <c r="J131" s="3">
        <v>5772.16</v>
      </c>
      <c r="K131" s="3">
        <v>25</v>
      </c>
      <c r="L131" s="3">
        <v>13.02</v>
      </c>
      <c r="M131" s="3">
        <v>69</v>
      </c>
    </row>
    <row r="132" spans="1:13" x14ac:dyDescent="0.3">
      <c r="A132" s="2">
        <v>2022</v>
      </c>
      <c r="B132" s="2" t="s">
        <v>9726</v>
      </c>
      <c r="C132" s="2" t="s">
        <v>13</v>
      </c>
      <c r="D132" s="2" t="s">
        <v>14</v>
      </c>
      <c r="E132" s="2">
        <v>233</v>
      </c>
      <c r="F132" s="2">
        <v>2425384.1</v>
      </c>
      <c r="G132" s="2">
        <v>1273862.3700000001</v>
      </c>
      <c r="H132" s="2">
        <v>1151521.73</v>
      </c>
      <c r="I132" s="2">
        <v>47.48</v>
      </c>
      <c r="J132" s="2">
        <v>10409.370000000001</v>
      </c>
      <c r="K132" s="2">
        <v>13</v>
      </c>
      <c r="L132" s="2">
        <v>5.58</v>
      </c>
      <c r="M132" s="2">
        <v>27</v>
      </c>
    </row>
    <row r="133" spans="1:13" x14ac:dyDescent="0.3">
      <c r="A133" s="3">
        <v>2022</v>
      </c>
      <c r="B133" s="3" t="s">
        <v>9726</v>
      </c>
      <c r="C133" s="3" t="s">
        <v>13</v>
      </c>
      <c r="D133" s="3" t="s">
        <v>39</v>
      </c>
      <c r="E133" s="3">
        <v>273</v>
      </c>
      <c r="F133" s="3">
        <v>4944369.82</v>
      </c>
      <c r="G133" s="3">
        <v>3110277.03</v>
      </c>
      <c r="H133" s="3">
        <v>1834092.79</v>
      </c>
      <c r="I133" s="3">
        <v>37.090000000000003</v>
      </c>
      <c r="J133" s="3">
        <v>18111.240000000002</v>
      </c>
      <c r="K133" s="3">
        <v>8</v>
      </c>
      <c r="L133" s="3">
        <v>2.93</v>
      </c>
      <c r="M133" s="3">
        <v>98</v>
      </c>
    </row>
    <row r="134" spans="1:13" x14ac:dyDescent="0.3">
      <c r="A134" s="2">
        <v>2022</v>
      </c>
      <c r="B134" s="2" t="s">
        <v>9726</v>
      </c>
      <c r="C134" s="2" t="s">
        <v>27</v>
      </c>
      <c r="D134" s="2" t="s">
        <v>22</v>
      </c>
      <c r="E134" s="2">
        <v>95</v>
      </c>
      <c r="F134" s="2">
        <v>3185882.55</v>
      </c>
      <c r="G134" s="2">
        <v>2116157.33</v>
      </c>
      <c r="H134" s="2">
        <v>1069725.22</v>
      </c>
      <c r="I134" s="2">
        <v>33.58</v>
      </c>
      <c r="J134" s="2">
        <v>33535.61</v>
      </c>
      <c r="K134" s="2">
        <v>21</v>
      </c>
      <c r="L134" s="2">
        <v>22.11</v>
      </c>
      <c r="M134" s="2">
        <v>42</v>
      </c>
    </row>
    <row r="135" spans="1:13" x14ac:dyDescent="0.3">
      <c r="A135" s="3">
        <v>2022</v>
      </c>
      <c r="B135" s="3" t="s">
        <v>9726</v>
      </c>
      <c r="C135" s="3" t="s">
        <v>27</v>
      </c>
      <c r="D135" s="3" t="s">
        <v>29</v>
      </c>
      <c r="E135" s="3">
        <v>40</v>
      </c>
      <c r="F135" s="3">
        <v>1600274.62</v>
      </c>
      <c r="G135" s="3">
        <v>829067.04</v>
      </c>
      <c r="H135" s="3">
        <v>771207.58</v>
      </c>
      <c r="I135" s="3">
        <v>48.19</v>
      </c>
      <c r="J135" s="3">
        <v>40006.870000000003</v>
      </c>
      <c r="K135" s="3">
        <v>22</v>
      </c>
      <c r="L135" s="3">
        <v>55</v>
      </c>
      <c r="M135" s="3">
        <v>14</v>
      </c>
    </row>
    <row r="136" spans="1:13" x14ac:dyDescent="0.3">
      <c r="A136" s="2">
        <v>2022</v>
      </c>
      <c r="B136" s="2" t="s">
        <v>9726</v>
      </c>
      <c r="C136" s="2" t="s">
        <v>27</v>
      </c>
      <c r="D136" s="2" t="s">
        <v>14</v>
      </c>
      <c r="E136" s="2">
        <v>244</v>
      </c>
      <c r="F136" s="2">
        <v>1842562.92</v>
      </c>
      <c r="G136" s="2">
        <v>1282546.1399999999</v>
      </c>
      <c r="H136" s="2">
        <v>560016.78</v>
      </c>
      <c r="I136" s="2">
        <v>30.39</v>
      </c>
      <c r="J136" s="2">
        <v>7551.49</v>
      </c>
      <c r="K136" s="2">
        <v>27</v>
      </c>
      <c r="L136" s="2">
        <v>11.07</v>
      </c>
      <c r="M136" s="2">
        <v>34</v>
      </c>
    </row>
    <row r="137" spans="1:13" x14ac:dyDescent="0.3">
      <c r="A137" s="3">
        <v>2022</v>
      </c>
      <c r="B137" s="3" t="s">
        <v>9726</v>
      </c>
      <c r="C137" s="3" t="s">
        <v>27</v>
      </c>
      <c r="D137" s="3" t="s">
        <v>39</v>
      </c>
      <c r="E137" s="3">
        <v>100</v>
      </c>
      <c r="F137" s="3">
        <v>774336.47</v>
      </c>
      <c r="G137" s="3">
        <v>417057.49</v>
      </c>
      <c r="H137" s="3">
        <v>357278.98</v>
      </c>
      <c r="I137" s="3">
        <v>46.14</v>
      </c>
      <c r="J137" s="3">
        <v>7743.36</v>
      </c>
      <c r="K137" s="3">
        <v>3</v>
      </c>
      <c r="L137" s="3">
        <v>3</v>
      </c>
      <c r="M137" s="3">
        <v>30</v>
      </c>
    </row>
    <row r="138" spans="1:13" x14ac:dyDescent="0.3">
      <c r="A138" s="2">
        <v>2022</v>
      </c>
      <c r="B138" s="2" t="s">
        <v>9726</v>
      </c>
      <c r="C138" s="2" t="s">
        <v>28</v>
      </c>
      <c r="D138" s="2" t="s">
        <v>22</v>
      </c>
      <c r="E138" s="2">
        <v>286</v>
      </c>
      <c r="F138" s="2">
        <v>592361.65</v>
      </c>
      <c r="G138" s="2">
        <v>317765.33</v>
      </c>
      <c r="H138" s="2">
        <v>274596.32</v>
      </c>
      <c r="I138" s="2">
        <v>46.36</v>
      </c>
      <c r="J138" s="2">
        <v>2071.19</v>
      </c>
      <c r="K138" s="2">
        <v>21</v>
      </c>
      <c r="L138" s="2">
        <v>7.34</v>
      </c>
      <c r="M138" s="2">
        <v>11</v>
      </c>
    </row>
    <row r="139" spans="1:13" x14ac:dyDescent="0.3">
      <c r="A139" s="3">
        <v>2022</v>
      </c>
      <c r="B139" s="3" t="s">
        <v>9726</v>
      </c>
      <c r="C139" s="3" t="s">
        <v>28</v>
      </c>
      <c r="D139" s="3" t="s">
        <v>29</v>
      </c>
      <c r="E139" s="3">
        <v>87</v>
      </c>
      <c r="F139" s="3">
        <v>2754200.4</v>
      </c>
      <c r="G139" s="3">
        <v>1738991.74</v>
      </c>
      <c r="H139" s="3">
        <v>1015208.66</v>
      </c>
      <c r="I139" s="3">
        <v>36.86</v>
      </c>
      <c r="J139" s="3">
        <v>31657.48</v>
      </c>
      <c r="K139" s="3">
        <v>7</v>
      </c>
      <c r="L139" s="3">
        <v>8.0500000000000007</v>
      </c>
      <c r="M139" s="3">
        <v>92</v>
      </c>
    </row>
    <row r="140" spans="1:13" x14ac:dyDescent="0.3">
      <c r="A140" s="2">
        <v>2022</v>
      </c>
      <c r="B140" s="2" t="s">
        <v>9726</v>
      </c>
      <c r="C140" s="2" t="s">
        <v>28</v>
      </c>
      <c r="D140" s="2" t="s">
        <v>14</v>
      </c>
      <c r="E140" s="2">
        <v>165</v>
      </c>
      <c r="F140" s="2">
        <v>3623275.89</v>
      </c>
      <c r="G140" s="2">
        <v>2491016.23</v>
      </c>
      <c r="H140" s="2">
        <v>1132259.6599999999</v>
      </c>
      <c r="I140" s="2">
        <v>31.25</v>
      </c>
      <c r="J140" s="2">
        <v>21959.25</v>
      </c>
      <c r="K140" s="2">
        <v>13</v>
      </c>
      <c r="L140" s="2">
        <v>7.88</v>
      </c>
      <c r="M140" s="2">
        <v>28</v>
      </c>
    </row>
    <row r="141" spans="1:13" x14ac:dyDescent="0.3">
      <c r="A141" s="3">
        <v>2022</v>
      </c>
      <c r="B141" s="3" t="s">
        <v>9726</v>
      </c>
      <c r="C141" s="3" t="s">
        <v>28</v>
      </c>
      <c r="D141" s="3" t="s">
        <v>39</v>
      </c>
      <c r="E141" s="3">
        <v>267</v>
      </c>
      <c r="F141" s="3">
        <v>3155161.39</v>
      </c>
      <c r="G141" s="3">
        <v>1823572.46</v>
      </c>
      <c r="H141" s="3">
        <v>1331588.93</v>
      </c>
      <c r="I141" s="3">
        <v>42.2</v>
      </c>
      <c r="J141" s="3">
        <v>11817.08</v>
      </c>
      <c r="K141" s="3">
        <v>18</v>
      </c>
      <c r="L141" s="3">
        <v>6.74</v>
      </c>
      <c r="M141" s="3">
        <v>49</v>
      </c>
    </row>
    <row r="142" spans="1:13" x14ac:dyDescent="0.3">
      <c r="A142" s="2">
        <v>2022</v>
      </c>
      <c r="B142" s="2" t="s">
        <v>9727</v>
      </c>
      <c r="C142" s="2" t="s">
        <v>21</v>
      </c>
      <c r="D142" s="2" t="s">
        <v>22</v>
      </c>
      <c r="E142" s="2">
        <v>97</v>
      </c>
      <c r="F142" s="2">
        <v>684213.27</v>
      </c>
      <c r="G142" s="2">
        <v>456474</v>
      </c>
      <c r="H142" s="2">
        <v>227739.27</v>
      </c>
      <c r="I142" s="2">
        <v>33.28</v>
      </c>
      <c r="J142" s="2">
        <v>7053.75</v>
      </c>
      <c r="K142" s="2">
        <v>9</v>
      </c>
      <c r="L142" s="2">
        <v>9.2799999999999994</v>
      </c>
      <c r="M142" s="2">
        <v>21</v>
      </c>
    </row>
    <row r="143" spans="1:13" x14ac:dyDescent="0.3">
      <c r="A143" s="3">
        <v>2022</v>
      </c>
      <c r="B143" s="3" t="s">
        <v>9727</v>
      </c>
      <c r="C143" s="3" t="s">
        <v>21</v>
      </c>
      <c r="D143" s="3" t="s">
        <v>29</v>
      </c>
      <c r="E143" s="3">
        <v>133</v>
      </c>
      <c r="F143" s="3">
        <v>767598.53</v>
      </c>
      <c r="G143" s="3">
        <v>454275</v>
      </c>
      <c r="H143" s="3">
        <v>313323.53000000003</v>
      </c>
      <c r="I143" s="3">
        <v>40.82</v>
      </c>
      <c r="J143" s="3">
        <v>5771.42</v>
      </c>
      <c r="K143" s="3">
        <v>22</v>
      </c>
      <c r="L143" s="3">
        <v>16.54</v>
      </c>
      <c r="M143" s="3">
        <v>47</v>
      </c>
    </row>
    <row r="144" spans="1:13" x14ac:dyDescent="0.3">
      <c r="A144" s="2">
        <v>2022</v>
      </c>
      <c r="B144" s="2" t="s">
        <v>9727</v>
      </c>
      <c r="C144" s="2" t="s">
        <v>21</v>
      </c>
      <c r="D144" s="2" t="s">
        <v>14</v>
      </c>
      <c r="E144" s="2">
        <v>98</v>
      </c>
      <c r="F144" s="2">
        <v>4254150.1900000004</v>
      </c>
      <c r="G144" s="2">
        <v>2170528.4300000002</v>
      </c>
      <c r="H144" s="2">
        <v>2083621.76</v>
      </c>
      <c r="I144" s="2">
        <v>48.98</v>
      </c>
      <c r="J144" s="2">
        <v>43409.7</v>
      </c>
      <c r="K144" s="2">
        <v>4</v>
      </c>
      <c r="L144" s="2">
        <v>4.08</v>
      </c>
      <c r="M144" s="2">
        <v>59</v>
      </c>
    </row>
    <row r="145" spans="1:13" x14ac:dyDescent="0.3">
      <c r="A145" s="3">
        <v>2022</v>
      </c>
      <c r="B145" s="3" t="s">
        <v>9727</v>
      </c>
      <c r="C145" s="3" t="s">
        <v>21</v>
      </c>
      <c r="D145" s="3" t="s">
        <v>39</v>
      </c>
      <c r="E145" s="3">
        <v>33</v>
      </c>
      <c r="F145" s="3">
        <v>2447033.13</v>
      </c>
      <c r="G145" s="3">
        <v>1514303.64</v>
      </c>
      <c r="H145" s="3">
        <v>932729.49</v>
      </c>
      <c r="I145" s="3">
        <v>38.119999999999997</v>
      </c>
      <c r="J145" s="3">
        <v>74152.52</v>
      </c>
      <c r="K145" s="3">
        <v>26</v>
      </c>
      <c r="L145" s="3">
        <v>78.790000000000006</v>
      </c>
      <c r="M145" s="3">
        <v>70</v>
      </c>
    </row>
    <row r="146" spans="1:13" x14ac:dyDescent="0.3">
      <c r="A146" s="2">
        <v>2022</v>
      </c>
      <c r="B146" s="2" t="s">
        <v>9727</v>
      </c>
      <c r="C146" s="2" t="s">
        <v>19</v>
      </c>
      <c r="D146" s="2" t="s">
        <v>22</v>
      </c>
      <c r="E146" s="2">
        <v>74</v>
      </c>
      <c r="F146" s="2">
        <v>2257355.06</v>
      </c>
      <c r="G146" s="2">
        <v>1423358.78</v>
      </c>
      <c r="H146" s="2">
        <v>833996.28</v>
      </c>
      <c r="I146" s="2">
        <v>36.950000000000003</v>
      </c>
      <c r="J146" s="2">
        <v>30504.799999999999</v>
      </c>
      <c r="K146" s="2">
        <v>2</v>
      </c>
      <c r="L146" s="2">
        <v>2.7</v>
      </c>
      <c r="M146" s="2">
        <v>17</v>
      </c>
    </row>
    <row r="147" spans="1:13" x14ac:dyDescent="0.3">
      <c r="A147" s="3">
        <v>2022</v>
      </c>
      <c r="B147" s="3" t="s">
        <v>9727</v>
      </c>
      <c r="C147" s="3" t="s">
        <v>19</v>
      </c>
      <c r="D147" s="3" t="s">
        <v>29</v>
      </c>
      <c r="E147" s="3">
        <v>243</v>
      </c>
      <c r="F147" s="3">
        <v>176785.5</v>
      </c>
      <c r="G147" s="3">
        <v>91194.48</v>
      </c>
      <c r="H147" s="3">
        <v>85591.02</v>
      </c>
      <c r="I147" s="3">
        <v>48.42</v>
      </c>
      <c r="J147" s="3">
        <v>727.51</v>
      </c>
      <c r="K147" s="3">
        <v>26</v>
      </c>
      <c r="L147" s="3">
        <v>10.7</v>
      </c>
      <c r="M147" s="3">
        <v>21</v>
      </c>
    </row>
    <row r="148" spans="1:13" x14ac:dyDescent="0.3">
      <c r="A148" s="2">
        <v>2022</v>
      </c>
      <c r="B148" s="2" t="s">
        <v>9727</v>
      </c>
      <c r="C148" s="2" t="s">
        <v>19</v>
      </c>
      <c r="D148" s="2" t="s">
        <v>14</v>
      </c>
      <c r="E148" s="2">
        <v>167</v>
      </c>
      <c r="F148" s="2">
        <v>4612881.5</v>
      </c>
      <c r="G148" s="2">
        <v>2972450.58</v>
      </c>
      <c r="H148" s="2">
        <v>1640430.92</v>
      </c>
      <c r="I148" s="2">
        <v>35.56</v>
      </c>
      <c r="J148" s="2">
        <v>27622.04</v>
      </c>
      <c r="K148" s="2">
        <v>24</v>
      </c>
      <c r="L148" s="2">
        <v>14.37</v>
      </c>
      <c r="M148" s="2">
        <v>29</v>
      </c>
    </row>
    <row r="149" spans="1:13" x14ac:dyDescent="0.3">
      <c r="A149" s="3">
        <v>2022</v>
      </c>
      <c r="B149" s="3" t="s">
        <v>9727</v>
      </c>
      <c r="C149" s="3" t="s">
        <v>19</v>
      </c>
      <c r="D149" s="3" t="s">
        <v>39</v>
      </c>
      <c r="E149" s="3">
        <v>238</v>
      </c>
      <c r="F149" s="3">
        <v>319412.13</v>
      </c>
      <c r="G149" s="3">
        <v>186521.73</v>
      </c>
      <c r="H149" s="3">
        <v>132890.4</v>
      </c>
      <c r="I149" s="3">
        <v>41.6</v>
      </c>
      <c r="J149" s="3">
        <v>1342.07</v>
      </c>
      <c r="K149" s="3">
        <v>17</v>
      </c>
      <c r="L149" s="3">
        <v>7.14</v>
      </c>
      <c r="M149" s="3">
        <v>23</v>
      </c>
    </row>
    <row r="150" spans="1:13" x14ac:dyDescent="0.3">
      <c r="A150" s="2">
        <v>2022</v>
      </c>
      <c r="B150" s="2" t="s">
        <v>9727</v>
      </c>
      <c r="C150" s="2" t="s">
        <v>13</v>
      </c>
      <c r="D150" s="2" t="s">
        <v>22</v>
      </c>
      <c r="E150" s="2">
        <v>260</v>
      </c>
      <c r="F150" s="2">
        <v>2611250.0299999998</v>
      </c>
      <c r="G150" s="2">
        <v>1488256.44</v>
      </c>
      <c r="H150" s="2">
        <v>1122993.5900000001</v>
      </c>
      <c r="I150" s="2">
        <v>43.01</v>
      </c>
      <c r="J150" s="2">
        <v>10043.27</v>
      </c>
      <c r="K150" s="2">
        <v>22</v>
      </c>
      <c r="L150" s="2">
        <v>8.4600000000000009</v>
      </c>
      <c r="M150" s="2">
        <v>61</v>
      </c>
    </row>
    <row r="151" spans="1:13" x14ac:dyDescent="0.3">
      <c r="A151" s="3">
        <v>2022</v>
      </c>
      <c r="B151" s="3" t="s">
        <v>9727</v>
      </c>
      <c r="C151" s="3" t="s">
        <v>13</v>
      </c>
      <c r="D151" s="3" t="s">
        <v>29</v>
      </c>
      <c r="E151" s="3">
        <v>203</v>
      </c>
      <c r="F151" s="3">
        <v>3503200.27</v>
      </c>
      <c r="G151" s="3">
        <v>1945669.42</v>
      </c>
      <c r="H151" s="3">
        <v>1557530.85</v>
      </c>
      <c r="I151" s="3">
        <v>44.46</v>
      </c>
      <c r="J151" s="3">
        <v>17257.14</v>
      </c>
      <c r="K151" s="3">
        <v>17</v>
      </c>
      <c r="L151" s="3">
        <v>8.3699999999999992</v>
      </c>
      <c r="M151" s="3">
        <v>65</v>
      </c>
    </row>
    <row r="152" spans="1:13" x14ac:dyDescent="0.3">
      <c r="A152" s="2">
        <v>2022</v>
      </c>
      <c r="B152" s="2" t="s">
        <v>9727</v>
      </c>
      <c r="C152" s="2" t="s">
        <v>13</v>
      </c>
      <c r="D152" s="2" t="s">
        <v>14</v>
      </c>
      <c r="E152" s="2">
        <v>202</v>
      </c>
      <c r="F152" s="2">
        <v>3602448.82</v>
      </c>
      <c r="G152" s="2">
        <v>2370508.7000000002</v>
      </c>
      <c r="H152" s="2">
        <v>1231940.1200000001</v>
      </c>
      <c r="I152" s="2">
        <v>34.200000000000003</v>
      </c>
      <c r="J152" s="2">
        <v>17833.91</v>
      </c>
      <c r="K152" s="2">
        <v>25</v>
      </c>
      <c r="L152" s="2">
        <v>12.38</v>
      </c>
      <c r="M152" s="2">
        <v>85</v>
      </c>
    </row>
    <row r="153" spans="1:13" x14ac:dyDescent="0.3">
      <c r="A153" s="3">
        <v>2022</v>
      </c>
      <c r="B153" s="3" t="s">
        <v>9727</v>
      </c>
      <c r="C153" s="3" t="s">
        <v>13</v>
      </c>
      <c r="D153" s="3" t="s">
        <v>39</v>
      </c>
      <c r="E153" s="3">
        <v>101</v>
      </c>
      <c r="F153" s="3">
        <v>2634412.2999999998</v>
      </c>
      <c r="G153" s="3">
        <v>1353733.82</v>
      </c>
      <c r="H153" s="3">
        <v>1280678.48</v>
      </c>
      <c r="I153" s="3">
        <v>48.61</v>
      </c>
      <c r="J153" s="3">
        <v>26083.29</v>
      </c>
      <c r="K153" s="3">
        <v>1</v>
      </c>
      <c r="L153" s="3">
        <v>0.99</v>
      </c>
      <c r="M153" s="3">
        <v>89</v>
      </c>
    </row>
    <row r="154" spans="1:13" x14ac:dyDescent="0.3">
      <c r="A154" s="2">
        <v>2022</v>
      </c>
      <c r="B154" s="2" t="s">
        <v>9727</v>
      </c>
      <c r="C154" s="2" t="s">
        <v>27</v>
      </c>
      <c r="D154" s="2" t="s">
        <v>22</v>
      </c>
      <c r="E154" s="2">
        <v>127</v>
      </c>
      <c r="F154" s="2">
        <v>586599.91</v>
      </c>
      <c r="G154" s="2">
        <v>364116.78</v>
      </c>
      <c r="H154" s="2">
        <v>222483.13</v>
      </c>
      <c r="I154" s="2">
        <v>37.93</v>
      </c>
      <c r="J154" s="2">
        <v>4618.8999999999996</v>
      </c>
      <c r="K154" s="2">
        <v>7</v>
      </c>
      <c r="L154" s="2">
        <v>5.51</v>
      </c>
      <c r="M154" s="2">
        <v>70</v>
      </c>
    </row>
    <row r="155" spans="1:13" x14ac:dyDescent="0.3">
      <c r="A155" s="3">
        <v>2022</v>
      </c>
      <c r="B155" s="3" t="s">
        <v>9727</v>
      </c>
      <c r="C155" s="3" t="s">
        <v>27</v>
      </c>
      <c r="D155" s="3" t="s">
        <v>29</v>
      </c>
      <c r="E155" s="3">
        <v>225</v>
      </c>
      <c r="F155" s="3">
        <v>1170744.05</v>
      </c>
      <c r="G155" s="3">
        <v>672438.47</v>
      </c>
      <c r="H155" s="3">
        <v>498305.58</v>
      </c>
      <c r="I155" s="3">
        <v>42.56</v>
      </c>
      <c r="J155" s="3">
        <v>5203.3100000000004</v>
      </c>
      <c r="K155" s="3">
        <v>7</v>
      </c>
      <c r="L155" s="3">
        <v>3.11</v>
      </c>
      <c r="M155" s="3">
        <v>16</v>
      </c>
    </row>
    <row r="156" spans="1:13" x14ac:dyDescent="0.3">
      <c r="A156" s="2">
        <v>2022</v>
      </c>
      <c r="B156" s="2" t="s">
        <v>9727</v>
      </c>
      <c r="C156" s="2" t="s">
        <v>27</v>
      </c>
      <c r="D156" s="2" t="s">
        <v>14</v>
      </c>
      <c r="E156" s="2">
        <v>136</v>
      </c>
      <c r="F156" s="2">
        <v>1243209.25</v>
      </c>
      <c r="G156" s="2">
        <v>862214.31</v>
      </c>
      <c r="H156" s="2">
        <v>380994.94</v>
      </c>
      <c r="I156" s="2">
        <v>30.65</v>
      </c>
      <c r="J156" s="2">
        <v>9141.24</v>
      </c>
      <c r="K156" s="2">
        <v>16</v>
      </c>
      <c r="L156" s="2">
        <v>11.76</v>
      </c>
      <c r="M156" s="2">
        <v>97</v>
      </c>
    </row>
    <row r="157" spans="1:13" x14ac:dyDescent="0.3">
      <c r="A157" s="3">
        <v>2022</v>
      </c>
      <c r="B157" s="3" t="s">
        <v>9727</v>
      </c>
      <c r="C157" s="3" t="s">
        <v>27</v>
      </c>
      <c r="D157" s="3" t="s">
        <v>39</v>
      </c>
      <c r="E157" s="3">
        <v>234</v>
      </c>
      <c r="F157" s="3">
        <v>921261.78</v>
      </c>
      <c r="G157" s="3">
        <v>554057.61</v>
      </c>
      <c r="H157" s="3">
        <v>367204.17</v>
      </c>
      <c r="I157" s="3">
        <v>39.86</v>
      </c>
      <c r="J157" s="3">
        <v>3937.02</v>
      </c>
      <c r="K157" s="3">
        <v>11</v>
      </c>
      <c r="L157" s="3">
        <v>4.7</v>
      </c>
      <c r="M157" s="3">
        <v>7</v>
      </c>
    </row>
    <row r="158" spans="1:13" x14ac:dyDescent="0.3">
      <c r="A158" s="2">
        <v>2022</v>
      </c>
      <c r="B158" s="2" t="s">
        <v>9727</v>
      </c>
      <c r="C158" s="2" t="s">
        <v>28</v>
      </c>
      <c r="D158" s="2" t="s">
        <v>22</v>
      </c>
      <c r="E158" s="2">
        <v>139</v>
      </c>
      <c r="F158" s="2">
        <v>4203104.54</v>
      </c>
      <c r="G158" s="2">
        <v>2377087.64</v>
      </c>
      <c r="H158" s="2">
        <v>1826016.9</v>
      </c>
      <c r="I158" s="2">
        <v>43.44</v>
      </c>
      <c r="J158" s="2">
        <v>30238.16</v>
      </c>
      <c r="K158" s="2">
        <v>24</v>
      </c>
      <c r="L158" s="2">
        <v>17.27</v>
      </c>
      <c r="M158" s="2">
        <v>6</v>
      </c>
    </row>
    <row r="159" spans="1:13" x14ac:dyDescent="0.3">
      <c r="A159" s="3">
        <v>2022</v>
      </c>
      <c r="B159" s="3" t="s">
        <v>9727</v>
      </c>
      <c r="C159" s="3" t="s">
        <v>28</v>
      </c>
      <c r="D159" s="3" t="s">
        <v>29</v>
      </c>
      <c r="E159" s="3">
        <v>163</v>
      </c>
      <c r="F159" s="3">
        <v>4922104.2699999996</v>
      </c>
      <c r="G159" s="3">
        <v>3255386.59</v>
      </c>
      <c r="H159" s="3">
        <v>1666717.68</v>
      </c>
      <c r="I159" s="3">
        <v>33.86</v>
      </c>
      <c r="J159" s="3">
        <v>30196.959999999999</v>
      </c>
      <c r="K159" s="3">
        <v>27</v>
      </c>
      <c r="L159" s="3">
        <v>16.559999999999999</v>
      </c>
      <c r="M159" s="3">
        <v>76</v>
      </c>
    </row>
    <row r="160" spans="1:13" x14ac:dyDescent="0.3">
      <c r="A160" s="2">
        <v>2022</v>
      </c>
      <c r="B160" s="2" t="s">
        <v>9727</v>
      </c>
      <c r="C160" s="2" t="s">
        <v>28</v>
      </c>
      <c r="D160" s="2" t="s">
        <v>14</v>
      </c>
      <c r="E160" s="2">
        <v>215</v>
      </c>
      <c r="F160" s="2">
        <v>3282813.83</v>
      </c>
      <c r="G160" s="2">
        <v>1711039.74</v>
      </c>
      <c r="H160" s="2">
        <v>1571774.09</v>
      </c>
      <c r="I160" s="2">
        <v>47.88</v>
      </c>
      <c r="J160" s="2">
        <v>15268.9</v>
      </c>
      <c r="K160" s="2">
        <v>2</v>
      </c>
      <c r="L160" s="2">
        <v>0.93</v>
      </c>
      <c r="M160" s="2">
        <v>56</v>
      </c>
    </row>
    <row r="161" spans="1:13" x14ac:dyDescent="0.3">
      <c r="A161" s="3">
        <v>2022</v>
      </c>
      <c r="B161" s="3" t="s">
        <v>9727</v>
      </c>
      <c r="C161" s="3" t="s">
        <v>28</v>
      </c>
      <c r="D161" s="3" t="s">
        <v>39</v>
      </c>
      <c r="E161" s="3">
        <v>125</v>
      </c>
      <c r="F161" s="3">
        <v>781709.04</v>
      </c>
      <c r="G161" s="3">
        <v>400001.35</v>
      </c>
      <c r="H161" s="3">
        <v>381707.69</v>
      </c>
      <c r="I161" s="3">
        <v>48.83</v>
      </c>
      <c r="J161" s="3">
        <v>6253.67</v>
      </c>
      <c r="K161" s="3">
        <v>1</v>
      </c>
      <c r="L161" s="3">
        <v>0.8</v>
      </c>
      <c r="M161" s="3">
        <v>44</v>
      </c>
    </row>
    <row r="162" spans="1:13" x14ac:dyDescent="0.3">
      <c r="A162" s="2">
        <v>2022</v>
      </c>
      <c r="B162" s="2" t="s">
        <v>9728</v>
      </c>
      <c r="C162" s="2" t="s">
        <v>21</v>
      </c>
      <c r="D162" s="2" t="s">
        <v>22</v>
      </c>
      <c r="E162" s="2">
        <v>104</v>
      </c>
      <c r="F162" s="2">
        <v>565981.93999999994</v>
      </c>
      <c r="G162" s="2">
        <v>349381.11</v>
      </c>
      <c r="H162" s="2">
        <v>216600.83</v>
      </c>
      <c r="I162" s="2">
        <v>38.270000000000003</v>
      </c>
      <c r="J162" s="2">
        <v>5442.13</v>
      </c>
      <c r="K162" s="2">
        <v>17</v>
      </c>
      <c r="L162" s="2">
        <v>16.350000000000001</v>
      </c>
      <c r="M162" s="2">
        <v>85</v>
      </c>
    </row>
    <row r="163" spans="1:13" x14ac:dyDescent="0.3">
      <c r="A163" s="3">
        <v>2022</v>
      </c>
      <c r="B163" s="3" t="s">
        <v>9728</v>
      </c>
      <c r="C163" s="3" t="s">
        <v>21</v>
      </c>
      <c r="D163" s="3" t="s">
        <v>29</v>
      </c>
      <c r="E163" s="3">
        <v>131</v>
      </c>
      <c r="F163" s="3">
        <v>4546304.37</v>
      </c>
      <c r="G163" s="3">
        <v>2625238.7400000002</v>
      </c>
      <c r="H163" s="3">
        <v>1921065.63</v>
      </c>
      <c r="I163" s="3">
        <v>42.26</v>
      </c>
      <c r="J163" s="3">
        <v>34704.61</v>
      </c>
      <c r="K163" s="3">
        <v>23</v>
      </c>
      <c r="L163" s="3">
        <v>17.559999999999999</v>
      </c>
      <c r="M163" s="3">
        <v>10</v>
      </c>
    </row>
    <row r="164" spans="1:13" x14ac:dyDescent="0.3">
      <c r="A164" s="2">
        <v>2022</v>
      </c>
      <c r="B164" s="2" t="s">
        <v>9728</v>
      </c>
      <c r="C164" s="2" t="s">
        <v>21</v>
      </c>
      <c r="D164" s="2" t="s">
        <v>14</v>
      </c>
      <c r="E164" s="2">
        <v>271</v>
      </c>
      <c r="F164" s="2">
        <v>1008544.2</v>
      </c>
      <c r="G164" s="2">
        <v>527045.68999999994</v>
      </c>
      <c r="H164" s="2">
        <v>481498.51</v>
      </c>
      <c r="I164" s="2">
        <v>47.74</v>
      </c>
      <c r="J164" s="2">
        <v>3721.57</v>
      </c>
      <c r="K164" s="2">
        <v>11</v>
      </c>
      <c r="L164" s="2">
        <v>4.0599999999999996</v>
      </c>
      <c r="M164" s="2">
        <v>58</v>
      </c>
    </row>
    <row r="165" spans="1:13" x14ac:dyDescent="0.3">
      <c r="A165" s="3">
        <v>2022</v>
      </c>
      <c r="B165" s="3" t="s">
        <v>9728</v>
      </c>
      <c r="C165" s="3" t="s">
        <v>21</v>
      </c>
      <c r="D165" s="3" t="s">
        <v>39</v>
      </c>
      <c r="E165" s="3">
        <v>220</v>
      </c>
      <c r="F165" s="3">
        <v>406128.03</v>
      </c>
      <c r="G165" s="3">
        <v>224546</v>
      </c>
      <c r="H165" s="3">
        <v>181582.03</v>
      </c>
      <c r="I165" s="3">
        <v>44.71</v>
      </c>
      <c r="J165" s="3">
        <v>1846.04</v>
      </c>
      <c r="K165" s="3">
        <v>4</v>
      </c>
      <c r="L165" s="3">
        <v>1.82</v>
      </c>
      <c r="M165" s="3">
        <v>10</v>
      </c>
    </row>
    <row r="166" spans="1:13" x14ac:dyDescent="0.3">
      <c r="A166" s="2">
        <v>2022</v>
      </c>
      <c r="B166" s="2" t="s">
        <v>9728</v>
      </c>
      <c r="C166" s="2" t="s">
        <v>19</v>
      </c>
      <c r="D166" s="2" t="s">
        <v>22</v>
      </c>
      <c r="E166" s="2">
        <v>216</v>
      </c>
      <c r="F166" s="2">
        <v>677493.75</v>
      </c>
      <c r="G166" s="2">
        <v>374539.15</v>
      </c>
      <c r="H166" s="2">
        <v>302954.59999999998</v>
      </c>
      <c r="I166" s="2">
        <v>44.72</v>
      </c>
      <c r="J166" s="2">
        <v>3136.55</v>
      </c>
      <c r="K166" s="2">
        <v>1</v>
      </c>
      <c r="L166" s="2">
        <v>0.46</v>
      </c>
      <c r="M166" s="2">
        <v>24</v>
      </c>
    </row>
    <row r="167" spans="1:13" x14ac:dyDescent="0.3">
      <c r="A167" s="3">
        <v>2022</v>
      </c>
      <c r="B167" s="3" t="s">
        <v>9728</v>
      </c>
      <c r="C167" s="3" t="s">
        <v>19</v>
      </c>
      <c r="D167" s="3" t="s">
        <v>29</v>
      </c>
      <c r="E167" s="3">
        <v>157</v>
      </c>
      <c r="F167" s="3">
        <v>2903478.74</v>
      </c>
      <c r="G167" s="3">
        <v>1837140.32</v>
      </c>
      <c r="H167" s="3">
        <v>1066338.42</v>
      </c>
      <c r="I167" s="3">
        <v>36.729999999999997</v>
      </c>
      <c r="J167" s="3">
        <v>18493.5</v>
      </c>
      <c r="K167" s="3">
        <v>26</v>
      </c>
      <c r="L167" s="3">
        <v>16.559999999999999</v>
      </c>
      <c r="M167" s="3">
        <v>74</v>
      </c>
    </row>
    <row r="168" spans="1:13" x14ac:dyDescent="0.3">
      <c r="A168" s="2">
        <v>2022</v>
      </c>
      <c r="B168" s="2" t="s">
        <v>9728</v>
      </c>
      <c r="C168" s="2" t="s">
        <v>19</v>
      </c>
      <c r="D168" s="2" t="s">
        <v>14</v>
      </c>
      <c r="E168" s="2">
        <v>147</v>
      </c>
      <c r="F168" s="2">
        <v>4250859.51</v>
      </c>
      <c r="G168" s="2">
        <v>2679417</v>
      </c>
      <c r="H168" s="2">
        <v>1571442.51</v>
      </c>
      <c r="I168" s="2">
        <v>36.97</v>
      </c>
      <c r="J168" s="2">
        <v>28917.41</v>
      </c>
      <c r="K168" s="2">
        <v>21</v>
      </c>
      <c r="L168" s="2">
        <v>14.29</v>
      </c>
      <c r="M168" s="2">
        <v>21</v>
      </c>
    </row>
    <row r="169" spans="1:13" x14ac:dyDescent="0.3">
      <c r="A169" s="3">
        <v>2022</v>
      </c>
      <c r="B169" s="3" t="s">
        <v>9728</v>
      </c>
      <c r="C169" s="3" t="s">
        <v>19</v>
      </c>
      <c r="D169" s="3" t="s">
        <v>39</v>
      </c>
      <c r="E169" s="3">
        <v>74</v>
      </c>
      <c r="F169" s="3">
        <v>4581996.57</v>
      </c>
      <c r="G169" s="3">
        <v>3048891.36</v>
      </c>
      <c r="H169" s="3">
        <v>1533105.21</v>
      </c>
      <c r="I169" s="3">
        <v>33.46</v>
      </c>
      <c r="J169" s="3">
        <v>61918.87</v>
      </c>
      <c r="K169" s="3">
        <v>3</v>
      </c>
      <c r="L169" s="3">
        <v>4.05</v>
      </c>
      <c r="M169" s="3">
        <v>89</v>
      </c>
    </row>
    <row r="170" spans="1:13" x14ac:dyDescent="0.3">
      <c r="A170" s="2">
        <v>2022</v>
      </c>
      <c r="B170" s="2" t="s">
        <v>9728</v>
      </c>
      <c r="C170" s="2" t="s">
        <v>13</v>
      </c>
      <c r="D170" s="2" t="s">
        <v>22</v>
      </c>
      <c r="E170" s="2">
        <v>80</v>
      </c>
      <c r="F170" s="2">
        <v>1636602.84</v>
      </c>
      <c r="G170" s="2">
        <v>867845.23</v>
      </c>
      <c r="H170" s="2">
        <v>768757.61</v>
      </c>
      <c r="I170" s="2">
        <v>46.97</v>
      </c>
      <c r="J170" s="2">
        <v>20457.54</v>
      </c>
      <c r="K170" s="2">
        <v>3</v>
      </c>
      <c r="L170" s="2">
        <v>3.75</v>
      </c>
      <c r="M170" s="2">
        <v>28</v>
      </c>
    </row>
    <row r="171" spans="1:13" x14ac:dyDescent="0.3">
      <c r="A171" s="3">
        <v>2022</v>
      </c>
      <c r="B171" s="3" t="s">
        <v>9728</v>
      </c>
      <c r="C171" s="3" t="s">
        <v>13</v>
      </c>
      <c r="D171" s="3" t="s">
        <v>29</v>
      </c>
      <c r="E171" s="3">
        <v>295</v>
      </c>
      <c r="F171" s="3">
        <v>3274122.41</v>
      </c>
      <c r="G171" s="3">
        <v>2136735.1</v>
      </c>
      <c r="H171" s="3">
        <v>1137387.31</v>
      </c>
      <c r="I171" s="3">
        <v>34.74</v>
      </c>
      <c r="J171" s="3">
        <v>11098.72</v>
      </c>
      <c r="K171" s="3">
        <v>2</v>
      </c>
      <c r="L171" s="3">
        <v>0.68</v>
      </c>
      <c r="M171" s="3">
        <v>51</v>
      </c>
    </row>
    <row r="172" spans="1:13" x14ac:dyDescent="0.3">
      <c r="A172" s="2">
        <v>2022</v>
      </c>
      <c r="B172" s="2" t="s">
        <v>9728</v>
      </c>
      <c r="C172" s="2" t="s">
        <v>13</v>
      </c>
      <c r="D172" s="2" t="s">
        <v>14</v>
      </c>
      <c r="E172" s="2">
        <v>113</v>
      </c>
      <c r="F172" s="2">
        <v>2325442.16</v>
      </c>
      <c r="G172" s="2">
        <v>1623808.74</v>
      </c>
      <c r="H172" s="2">
        <v>701633.42</v>
      </c>
      <c r="I172" s="2">
        <v>30.17</v>
      </c>
      <c r="J172" s="2">
        <v>20579.13</v>
      </c>
      <c r="K172" s="2">
        <v>11</v>
      </c>
      <c r="L172" s="2">
        <v>9.73</v>
      </c>
      <c r="M172" s="2">
        <v>97</v>
      </c>
    </row>
    <row r="173" spans="1:13" x14ac:dyDescent="0.3">
      <c r="A173" s="3">
        <v>2022</v>
      </c>
      <c r="B173" s="3" t="s">
        <v>9728</v>
      </c>
      <c r="C173" s="3" t="s">
        <v>13</v>
      </c>
      <c r="D173" s="3" t="s">
        <v>39</v>
      </c>
      <c r="E173" s="3">
        <v>203</v>
      </c>
      <c r="F173" s="3">
        <v>4057677.88</v>
      </c>
      <c r="G173" s="3">
        <v>2688411.17</v>
      </c>
      <c r="H173" s="3">
        <v>1369266.71</v>
      </c>
      <c r="I173" s="3">
        <v>33.75</v>
      </c>
      <c r="J173" s="3">
        <v>19988.560000000001</v>
      </c>
      <c r="K173" s="3">
        <v>30</v>
      </c>
      <c r="L173" s="3">
        <v>14.78</v>
      </c>
      <c r="M173" s="3">
        <v>51</v>
      </c>
    </row>
    <row r="174" spans="1:13" x14ac:dyDescent="0.3">
      <c r="A174" s="2">
        <v>2022</v>
      </c>
      <c r="B174" s="2" t="s">
        <v>9728</v>
      </c>
      <c r="C174" s="2" t="s">
        <v>27</v>
      </c>
      <c r="D174" s="2" t="s">
        <v>22</v>
      </c>
      <c r="E174" s="2">
        <v>147</v>
      </c>
      <c r="F174" s="2">
        <v>3791701.48</v>
      </c>
      <c r="G174" s="2">
        <v>2517624.84</v>
      </c>
      <c r="H174" s="2">
        <v>1274076.6399999999</v>
      </c>
      <c r="I174" s="2">
        <v>33.6</v>
      </c>
      <c r="J174" s="2">
        <v>25793.89</v>
      </c>
      <c r="K174" s="2">
        <v>30</v>
      </c>
      <c r="L174" s="2">
        <v>20.41</v>
      </c>
      <c r="M174" s="2">
        <v>39</v>
      </c>
    </row>
    <row r="175" spans="1:13" x14ac:dyDescent="0.3">
      <c r="A175" s="3">
        <v>2022</v>
      </c>
      <c r="B175" s="3" t="s">
        <v>9728</v>
      </c>
      <c r="C175" s="3" t="s">
        <v>27</v>
      </c>
      <c r="D175" s="3" t="s">
        <v>29</v>
      </c>
      <c r="E175" s="3">
        <v>104</v>
      </c>
      <c r="F175" s="3">
        <v>1620809.69</v>
      </c>
      <c r="G175" s="3">
        <v>1075537.26</v>
      </c>
      <c r="H175" s="3">
        <v>545272.43000000005</v>
      </c>
      <c r="I175" s="3">
        <v>33.64</v>
      </c>
      <c r="J175" s="3">
        <v>15584.71</v>
      </c>
      <c r="K175" s="3">
        <v>22</v>
      </c>
      <c r="L175" s="3">
        <v>21.15</v>
      </c>
      <c r="M175" s="3">
        <v>61</v>
      </c>
    </row>
    <row r="176" spans="1:13" x14ac:dyDescent="0.3">
      <c r="A176" s="2">
        <v>2022</v>
      </c>
      <c r="B176" s="2" t="s">
        <v>9728</v>
      </c>
      <c r="C176" s="2" t="s">
        <v>27</v>
      </c>
      <c r="D176" s="2" t="s">
        <v>14</v>
      </c>
      <c r="E176" s="2">
        <v>202</v>
      </c>
      <c r="F176" s="2">
        <v>2876160.62</v>
      </c>
      <c r="G176" s="2">
        <v>1709541.3</v>
      </c>
      <c r="H176" s="2">
        <v>1166619.32</v>
      </c>
      <c r="I176" s="2">
        <v>40.56</v>
      </c>
      <c r="J176" s="2">
        <v>14238.42</v>
      </c>
      <c r="K176" s="2">
        <v>5</v>
      </c>
      <c r="L176" s="2">
        <v>2.48</v>
      </c>
      <c r="M176" s="2">
        <v>43</v>
      </c>
    </row>
    <row r="177" spans="1:13" x14ac:dyDescent="0.3">
      <c r="A177" s="3">
        <v>2022</v>
      </c>
      <c r="B177" s="3" t="s">
        <v>9728</v>
      </c>
      <c r="C177" s="3" t="s">
        <v>27</v>
      </c>
      <c r="D177" s="3" t="s">
        <v>39</v>
      </c>
      <c r="E177" s="3">
        <v>110</v>
      </c>
      <c r="F177" s="3">
        <v>2992014.99</v>
      </c>
      <c r="G177" s="3">
        <v>2062046.66</v>
      </c>
      <c r="H177" s="3">
        <v>929968.33</v>
      </c>
      <c r="I177" s="3">
        <v>31.08</v>
      </c>
      <c r="J177" s="3">
        <v>27200.14</v>
      </c>
      <c r="K177" s="3">
        <v>19</v>
      </c>
      <c r="L177" s="3">
        <v>17.27</v>
      </c>
      <c r="M177" s="3">
        <v>58</v>
      </c>
    </row>
    <row r="178" spans="1:13" x14ac:dyDescent="0.3">
      <c r="A178" s="2">
        <v>2022</v>
      </c>
      <c r="B178" s="2" t="s">
        <v>9728</v>
      </c>
      <c r="C178" s="2" t="s">
        <v>28</v>
      </c>
      <c r="D178" s="2" t="s">
        <v>22</v>
      </c>
      <c r="E178" s="2">
        <v>74</v>
      </c>
      <c r="F178" s="2">
        <v>2631531.61</v>
      </c>
      <c r="G178" s="2">
        <v>1556310.02</v>
      </c>
      <c r="H178" s="2">
        <v>1075221.5900000001</v>
      </c>
      <c r="I178" s="2">
        <v>40.86</v>
      </c>
      <c r="J178" s="2">
        <v>35561.24</v>
      </c>
      <c r="K178" s="2">
        <v>5</v>
      </c>
      <c r="L178" s="2">
        <v>6.76</v>
      </c>
      <c r="M178" s="2">
        <v>71</v>
      </c>
    </row>
    <row r="179" spans="1:13" x14ac:dyDescent="0.3">
      <c r="A179" s="3">
        <v>2022</v>
      </c>
      <c r="B179" s="3" t="s">
        <v>9728</v>
      </c>
      <c r="C179" s="3" t="s">
        <v>28</v>
      </c>
      <c r="D179" s="3" t="s">
        <v>29</v>
      </c>
      <c r="E179" s="3">
        <v>112</v>
      </c>
      <c r="F179" s="3">
        <v>2608556</v>
      </c>
      <c r="G179" s="3">
        <v>1536550.2</v>
      </c>
      <c r="H179" s="3">
        <v>1072005.8</v>
      </c>
      <c r="I179" s="3">
        <v>41.1</v>
      </c>
      <c r="J179" s="3">
        <v>23290.68</v>
      </c>
      <c r="K179" s="3">
        <v>5</v>
      </c>
      <c r="L179" s="3">
        <v>4.46</v>
      </c>
      <c r="M179" s="3">
        <v>59</v>
      </c>
    </row>
    <row r="180" spans="1:13" x14ac:dyDescent="0.3">
      <c r="A180" s="2">
        <v>2022</v>
      </c>
      <c r="B180" s="2" t="s">
        <v>9728</v>
      </c>
      <c r="C180" s="2" t="s">
        <v>28</v>
      </c>
      <c r="D180" s="2" t="s">
        <v>14</v>
      </c>
      <c r="E180" s="2">
        <v>87</v>
      </c>
      <c r="F180" s="2">
        <v>1379894.75</v>
      </c>
      <c r="G180" s="2">
        <v>839819.62</v>
      </c>
      <c r="H180" s="2">
        <v>540075.13</v>
      </c>
      <c r="I180" s="2">
        <v>39.14</v>
      </c>
      <c r="J180" s="2">
        <v>15860.86</v>
      </c>
      <c r="K180" s="2">
        <v>4</v>
      </c>
      <c r="L180" s="2">
        <v>4.5999999999999996</v>
      </c>
      <c r="M180" s="2">
        <v>24</v>
      </c>
    </row>
    <row r="181" spans="1:13" x14ac:dyDescent="0.3">
      <c r="A181" s="3">
        <v>2022</v>
      </c>
      <c r="B181" s="3" t="s">
        <v>9728</v>
      </c>
      <c r="C181" s="3" t="s">
        <v>28</v>
      </c>
      <c r="D181" s="3" t="s">
        <v>39</v>
      </c>
      <c r="E181" s="3">
        <v>170</v>
      </c>
      <c r="F181" s="3">
        <v>4126803.73</v>
      </c>
      <c r="G181" s="3">
        <v>2250285.48</v>
      </c>
      <c r="H181" s="3">
        <v>1876518.25</v>
      </c>
      <c r="I181" s="3">
        <v>45.47</v>
      </c>
      <c r="J181" s="3">
        <v>24275.32</v>
      </c>
      <c r="K181" s="3">
        <v>13</v>
      </c>
      <c r="L181" s="3">
        <v>7.65</v>
      </c>
      <c r="M181" s="3">
        <v>62</v>
      </c>
    </row>
    <row r="182" spans="1:13" x14ac:dyDescent="0.3">
      <c r="A182" s="2">
        <v>2022</v>
      </c>
      <c r="B182" s="2" t="s">
        <v>9729</v>
      </c>
      <c r="C182" s="2" t="s">
        <v>21</v>
      </c>
      <c r="D182" s="2" t="s">
        <v>22</v>
      </c>
      <c r="E182" s="2">
        <v>87</v>
      </c>
      <c r="F182" s="2">
        <v>308602.65999999997</v>
      </c>
      <c r="G182" s="2">
        <v>168486.84</v>
      </c>
      <c r="H182" s="2">
        <v>140115.82</v>
      </c>
      <c r="I182" s="2">
        <v>45.4</v>
      </c>
      <c r="J182" s="2">
        <v>3547.16</v>
      </c>
      <c r="K182" s="2">
        <v>17</v>
      </c>
      <c r="L182" s="2">
        <v>19.54</v>
      </c>
      <c r="M182" s="2">
        <v>71</v>
      </c>
    </row>
    <row r="183" spans="1:13" x14ac:dyDescent="0.3">
      <c r="A183" s="3">
        <v>2022</v>
      </c>
      <c r="B183" s="3" t="s">
        <v>9729</v>
      </c>
      <c r="C183" s="3" t="s">
        <v>21</v>
      </c>
      <c r="D183" s="3" t="s">
        <v>29</v>
      </c>
      <c r="E183" s="3">
        <v>285</v>
      </c>
      <c r="F183" s="3">
        <v>1530911.71</v>
      </c>
      <c r="G183" s="3">
        <v>966666.19</v>
      </c>
      <c r="H183" s="3">
        <v>564245.52</v>
      </c>
      <c r="I183" s="3">
        <v>36.86</v>
      </c>
      <c r="J183" s="3">
        <v>5371.62</v>
      </c>
      <c r="K183" s="3">
        <v>13</v>
      </c>
      <c r="L183" s="3">
        <v>4.5599999999999996</v>
      </c>
      <c r="M183" s="3">
        <v>16</v>
      </c>
    </row>
    <row r="184" spans="1:13" x14ac:dyDescent="0.3">
      <c r="A184" s="2">
        <v>2022</v>
      </c>
      <c r="B184" s="2" t="s">
        <v>9729</v>
      </c>
      <c r="C184" s="2" t="s">
        <v>21</v>
      </c>
      <c r="D184" s="2" t="s">
        <v>14</v>
      </c>
      <c r="E184" s="2">
        <v>30</v>
      </c>
      <c r="F184" s="2">
        <v>2627662.33</v>
      </c>
      <c r="G184" s="2">
        <v>1403658.76</v>
      </c>
      <c r="H184" s="2">
        <v>1224003.57</v>
      </c>
      <c r="I184" s="2">
        <v>46.58</v>
      </c>
      <c r="J184" s="2">
        <v>87588.74</v>
      </c>
      <c r="K184" s="2">
        <v>5</v>
      </c>
      <c r="L184" s="2">
        <v>16.670000000000002</v>
      </c>
      <c r="M184" s="2">
        <v>57</v>
      </c>
    </row>
    <row r="185" spans="1:13" x14ac:dyDescent="0.3">
      <c r="A185" s="3">
        <v>2022</v>
      </c>
      <c r="B185" s="3" t="s">
        <v>9729</v>
      </c>
      <c r="C185" s="3" t="s">
        <v>21</v>
      </c>
      <c r="D185" s="3" t="s">
        <v>39</v>
      </c>
      <c r="E185" s="3">
        <v>184</v>
      </c>
      <c r="F185" s="3">
        <v>3064356.74</v>
      </c>
      <c r="G185" s="3">
        <v>1899535.84</v>
      </c>
      <c r="H185" s="3">
        <v>1164820.8999999999</v>
      </c>
      <c r="I185" s="3">
        <v>38.01</v>
      </c>
      <c r="J185" s="3">
        <v>16654.11</v>
      </c>
      <c r="K185" s="3">
        <v>0</v>
      </c>
      <c r="L185" s="3">
        <v>0</v>
      </c>
      <c r="M185" s="3">
        <v>100</v>
      </c>
    </row>
    <row r="186" spans="1:13" x14ac:dyDescent="0.3">
      <c r="A186" s="2">
        <v>2022</v>
      </c>
      <c r="B186" s="2" t="s">
        <v>9729</v>
      </c>
      <c r="C186" s="2" t="s">
        <v>19</v>
      </c>
      <c r="D186" s="2" t="s">
        <v>22</v>
      </c>
      <c r="E186" s="2">
        <v>232</v>
      </c>
      <c r="F186" s="2">
        <v>4471716.32</v>
      </c>
      <c r="G186" s="2">
        <v>2794679.08</v>
      </c>
      <c r="H186" s="2">
        <v>1677037.24</v>
      </c>
      <c r="I186" s="2">
        <v>37.5</v>
      </c>
      <c r="J186" s="2">
        <v>19274.64</v>
      </c>
      <c r="K186" s="2">
        <v>8</v>
      </c>
      <c r="L186" s="2">
        <v>3.45</v>
      </c>
      <c r="M186" s="2">
        <v>22</v>
      </c>
    </row>
    <row r="187" spans="1:13" x14ac:dyDescent="0.3">
      <c r="A187" s="3">
        <v>2022</v>
      </c>
      <c r="B187" s="3" t="s">
        <v>9729</v>
      </c>
      <c r="C187" s="3" t="s">
        <v>19</v>
      </c>
      <c r="D187" s="3" t="s">
        <v>29</v>
      </c>
      <c r="E187" s="3">
        <v>187</v>
      </c>
      <c r="F187" s="3">
        <v>4463794.88</v>
      </c>
      <c r="G187" s="3">
        <v>2990564.63</v>
      </c>
      <c r="H187" s="3">
        <v>1473230.25</v>
      </c>
      <c r="I187" s="3">
        <v>33</v>
      </c>
      <c r="J187" s="3">
        <v>23870.560000000001</v>
      </c>
      <c r="K187" s="3">
        <v>10</v>
      </c>
      <c r="L187" s="3">
        <v>5.35</v>
      </c>
      <c r="M187" s="3">
        <v>53</v>
      </c>
    </row>
    <row r="188" spans="1:13" x14ac:dyDescent="0.3">
      <c r="A188" s="2">
        <v>2022</v>
      </c>
      <c r="B188" s="2" t="s">
        <v>9729</v>
      </c>
      <c r="C188" s="2" t="s">
        <v>19</v>
      </c>
      <c r="D188" s="2" t="s">
        <v>14</v>
      </c>
      <c r="E188" s="2">
        <v>97</v>
      </c>
      <c r="F188" s="2">
        <v>2917638.18</v>
      </c>
      <c r="G188" s="2">
        <v>2022114.17</v>
      </c>
      <c r="H188" s="2">
        <v>895524.01</v>
      </c>
      <c r="I188" s="2">
        <v>30.69</v>
      </c>
      <c r="J188" s="2">
        <v>30078.74</v>
      </c>
      <c r="K188" s="2">
        <v>11</v>
      </c>
      <c r="L188" s="2">
        <v>11.34</v>
      </c>
      <c r="M188" s="2">
        <v>80</v>
      </c>
    </row>
    <row r="189" spans="1:13" x14ac:dyDescent="0.3">
      <c r="A189" s="3">
        <v>2022</v>
      </c>
      <c r="B189" s="3" t="s">
        <v>9729</v>
      </c>
      <c r="C189" s="3" t="s">
        <v>19</v>
      </c>
      <c r="D189" s="3" t="s">
        <v>39</v>
      </c>
      <c r="E189" s="3">
        <v>136</v>
      </c>
      <c r="F189" s="3">
        <v>4821910.3600000003</v>
      </c>
      <c r="G189" s="3">
        <v>2945872.37</v>
      </c>
      <c r="H189" s="3">
        <v>1876037.99</v>
      </c>
      <c r="I189" s="3">
        <v>38.909999999999997</v>
      </c>
      <c r="J189" s="3">
        <v>35455.22</v>
      </c>
      <c r="K189" s="3">
        <v>3</v>
      </c>
      <c r="L189" s="3">
        <v>2.21</v>
      </c>
      <c r="M189" s="3">
        <v>79</v>
      </c>
    </row>
    <row r="190" spans="1:13" x14ac:dyDescent="0.3">
      <c r="A190" s="2">
        <v>2022</v>
      </c>
      <c r="B190" s="2" t="s">
        <v>9729</v>
      </c>
      <c r="C190" s="2" t="s">
        <v>13</v>
      </c>
      <c r="D190" s="2" t="s">
        <v>22</v>
      </c>
      <c r="E190" s="2">
        <v>242</v>
      </c>
      <c r="F190" s="2">
        <v>870911.25</v>
      </c>
      <c r="G190" s="2">
        <v>595262.68000000005</v>
      </c>
      <c r="H190" s="2">
        <v>275648.57</v>
      </c>
      <c r="I190" s="2">
        <v>31.65</v>
      </c>
      <c r="J190" s="2">
        <v>3598.81</v>
      </c>
      <c r="K190" s="2">
        <v>16</v>
      </c>
      <c r="L190" s="2">
        <v>6.61</v>
      </c>
      <c r="M190" s="2">
        <v>49</v>
      </c>
    </row>
    <row r="191" spans="1:13" x14ac:dyDescent="0.3">
      <c r="A191" s="3">
        <v>2022</v>
      </c>
      <c r="B191" s="3" t="s">
        <v>9729</v>
      </c>
      <c r="C191" s="3" t="s">
        <v>13</v>
      </c>
      <c r="D191" s="3" t="s">
        <v>29</v>
      </c>
      <c r="E191" s="3">
        <v>81</v>
      </c>
      <c r="F191" s="3">
        <v>1731628.56</v>
      </c>
      <c r="G191" s="3">
        <v>1083984.99</v>
      </c>
      <c r="H191" s="3">
        <v>647643.56999999995</v>
      </c>
      <c r="I191" s="3">
        <v>37.4</v>
      </c>
      <c r="J191" s="3">
        <v>21378.13</v>
      </c>
      <c r="K191" s="3">
        <v>23</v>
      </c>
      <c r="L191" s="3">
        <v>28.4</v>
      </c>
      <c r="M191" s="3">
        <v>94</v>
      </c>
    </row>
    <row r="192" spans="1:13" x14ac:dyDescent="0.3">
      <c r="A192" s="2">
        <v>2022</v>
      </c>
      <c r="B192" s="2" t="s">
        <v>9729</v>
      </c>
      <c r="C192" s="2" t="s">
        <v>13</v>
      </c>
      <c r="D192" s="2" t="s">
        <v>14</v>
      </c>
      <c r="E192" s="2">
        <v>116</v>
      </c>
      <c r="F192" s="2">
        <v>2797266.48</v>
      </c>
      <c r="G192" s="2">
        <v>1685926.38</v>
      </c>
      <c r="H192" s="2">
        <v>1111340.1000000001</v>
      </c>
      <c r="I192" s="2">
        <v>39.729999999999997</v>
      </c>
      <c r="J192" s="2">
        <v>24114.37</v>
      </c>
      <c r="K192" s="2">
        <v>24</v>
      </c>
      <c r="L192" s="2">
        <v>20.69</v>
      </c>
      <c r="M192" s="2">
        <v>60</v>
      </c>
    </row>
    <row r="193" spans="1:13" x14ac:dyDescent="0.3">
      <c r="A193" s="3">
        <v>2022</v>
      </c>
      <c r="B193" s="3" t="s">
        <v>9729</v>
      </c>
      <c r="C193" s="3" t="s">
        <v>13</v>
      </c>
      <c r="D193" s="3" t="s">
        <v>39</v>
      </c>
      <c r="E193" s="3">
        <v>251</v>
      </c>
      <c r="F193" s="3">
        <v>1777747.85</v>
      </c>
      <c r="G193" s="3">
        <v>1125824.26</v>
      </c>
      <c r="H193" s="3">
        <v>651923.59</v>
      </c>
      <c r="I193" s="3">
        <v>36.67</v>
      </c>
      <c r="J193" s="3">
        <v>7082.66</v>
      </c>
      <c r="K193" s="3">
        <v>16</v>
      </c>
      <c r="L193" s="3">
        <v>6.37</v>
      </c>
      <c r="M193" s="3">
        <v>42</v>
      </c>
    </row>
    <row r="194" spans="1:13" x14ac:dyDescent="0.3">
      <c r="A194" s="2">
        <v>2022</v>
      </c>
      <c r="B194" s="2" t="s">
        <v>9729</v>
      </c>
      <c r="C194" s="2" t="s">
        <v>27</v>
      </c>
      <c r="D194" s="2" t="s">
        <v>22</v>
      </c>
      <c r="E194" s="2">
        <v>257</v>
      </c>
      <c r="F194" s="2">
        <v>4948801.49</v>
      </c>
      <c r="G194" s="2">
        <v>2856022.09</v>
      </c>
      <c r="H194" s="2">
        <v>2092779.4</v>
      </c>
      <c r="I194" s="2">
        <v>42.29</v>
      </c>
      <c r="J194" s="2">
        <v>19256.04</v>
      </c>
      <c r="K194" s="2">
        <v>10</v>
      </c>
      <c r="L194" s="2">
        <v>3.89</v>
      </c>
      <c r="M194" s="2">
        <v>77</v>
      </c>
    </row>
    <row r="195" spans="1:13" x14ac:dyDescent="0.3">
      <c r="A195" s="3">
        <v>2022</v>
      </c>
      <c r="B195" s="3" t="s">
        <v>9729</v>
      </c>
      <c r="C195" s="3" t="s">
        <v>27</v>
      </c>
      <c r="D195" s="3" t="s">
        <v>29</v>
      </c>
      <c r="E195" s="3">
        <v>107</v>
      </c>
      <c r="F195" s="3">
        <v>2494668.61</v>
      </c>
      <c r="G195" s="3">
        <v>1462061.22</v>
      </c>
      <c r="H195" s="3">
        <v>1032607.39</v>
      </c>
      <c r="I195" s="3">
        <v>41.39</v>
      </c>
      <c r="J195" s="3">
        <v>23314.66</v>
      </c>
      <c r="K195" s="3">
        <v>30</v>
      </c>
      <c r="L195" s="3">
        <v>28.04</v>
      </c>
      <c r="M195" s="3">
        <v>13</v>
      </c>
    </row>
    <row r="196" spans="1:13" x14ac:dyDescent="0.3">
      <c r="A196" s="2">
        <v>2022</v>
      </c>
      <c r="B196" s="2" t="s">
        <v>9729</v>
      </c>
      <c r="C196" s="2" t="s">
        <v>27</v>
      </c>
      <c r="D196" s="2" t="s">
        <v>14</v>
      </c>
      <c r="E196" s="2">
        <v>82</v>
      </c>
      <c r="F196" s="2">
        <v>4588512.49</v>
      </c>
      <c r="G196" s="2">
        <v>2479275.52</v>
      </c>
      <c r="H196" s="2">
        <v>2109236.9700000002</v>
      </c>
      <c r="I196" s="2">
        <v>45.97</v>
      </c>
      <c r="J196" s="2">
        <v>55957.47</v>
      </c>
      <c r="K196" s="2">
        <v>23</v>
      </c>
      <c r="L196" s="2">
        <v>28.05</v>
      </c>
      <c r="M196" s="2">
        <v>66</v>
      </c>
    </row>
    <row r="197" spans="1:13" x14ac:dyDescent="0.3">
      <c r="A197" s="3">
        <v>2022</v>
      </c>
      <c r="B197" s="3" t="s">
        <v>9729</v>
      </c>
      <c r="C197" s="3" t="s">
        <v>27</v>
      </c>
      <c r="D197" s="3" t="s">
        <v>39</v>
      </c>
      <c r="E197" s="3">
        <v>217</v>
      </c>
      <c r="F197" s="3">
        <v>3811056.59</v>
      </c>
      <c r="G197" s="3">
        <v>1997997.56</v>
      </c>
      <c r="H197" s="3">
        <v>1813059.03</v>
      </c>
      <c r="I197" s="3">
        <v>47.57</v>
      </c>
      <c r="J197" s="3">
        <v>17562.47</v>
      </c>
      <c r="K197" s="3">
        <v>10</v>
      </c>
      <c r="L197" s="3">
        <v>4.6100000000000003</v>
      </c>
      <c r="M197" s="3">
        <v>99</v>
      </c>
    </row>
    <row r="198" spans="1:13" x14ac:dyDescent="0.3">
      <c r="A198" s="2">
        <v>2022</v>
      </c>
      <c r="B198" s="2" t="s">
        <v>9729</v>
      </c>
      <c r="C198" s="2" t="s">
        <v>28</v>
      </c>
      <c r="D198" s="2" t="s">
        <v>22</v>
      </c>
      <c r="E198" s="2">
        <v>276</v>
      </c>
      <c r="F198" s="2">
        <v>3760061.56</v>
      </c>
      <c r="G198" s="2">
        <v>2155187.65</v>
      </c>
      <c r="H198" s="2">
        <v>1604873.91</v>
      </c>
      <c r="I198" s="2">
        <v>42.68</v>
      </c>
      <c r="J198" s="2">
        <v>13623.41</v>
      </c>
      <c r="K198" s="2">
        <v>22</v>
      </c>
      <c r="L198" s="2">
        <v>7.97</v>
      </c>
      <c r="M198" s="2">
        <v>5</v>
      </c>
    </row>
    <row r="199" spans="1:13" x14ac:dyDescent="0.3">
      <c r="A199" s="3">
        <v>2022</v>
      </c>
      <c r="B199" s="3" t="s">
        <v>9729</v>
      </c>
      <c r="C199" s="3" t="s">
        <v>28</v>
      </c>
      <c r="D199" s="3" t="s">
        <v>29</v>
      </c>
      <c r="E199" s="3">
        <v>159</v>
      </c>
      <c r="F199" s="3">
        <v>3553314.55</v>
      </c>
      <c r="G199" s="3">
        <v>2135430.12</v>
      </c>
      <c r="H199" s="3">
        <v>1417884.43</v>
      </c>
      <c r="I199" s="3">
        <v>39.9</v>
      </c>
      <c r="J199" s="3">
        <v>22347.89</v>
      </c>
      <c r="K199" s="3">
        <v>15</v>
      </c>
      <c r="L199" s="3">
        <v>9.43</v>
      </c>
      <c r="M199" s="3">
        <v>12</v>
      </c>
    </row>
    <row r="200" spans="1:13" x14ac:dyDescent="0.3">
      <c r="A200" s="2">
        <v>2022</v>
      </c>
      <c r="B200" s="2" t="s">
        <v>9729</v>
      </c>
      <c r="C200" s="2" t="s">
        <v>28</v>
      </c>
      <c r="D200" s="2" t="s">
        <v>14</v>
      </c>
      <c r="E200" s="2">
        <v>248</v>
      </c>
      <c r="F200" s="2">
        <v>4928787.7300000004</v>
      </c>
      <c r="G200" s="2">
        <v>3358261.66</v>
      </c>
      <c r="H200" s="2">
        <v>1570526.07</v>
      </c>
      <c r="I200" s="2">
        <v>31.86</v>
      </c>
      <c r="J200" s="2">
        <v>19874.14</v>
      </c>
      <c r="K200" s="2">
        <v>20</v>
      </c>
      <c r="L200" s="2">
        <v>8.06</v>
      </c>
      <c r="M200" s="2">
        <v>41</v>
      </c>
    </row>
    <row r="201" spans="1:13" x14ac:dyDescent="0.3">
      <c r="A201" s="3">
        <v>2022</v>
      </c>
      <c r="B201" s="3" t="s">
        <v>9729</v>
      </c>
      <c r="C201" s="3" t="s">
        <v>28</v>
      </c>
      <c r="D201" s="3" t="s">
        <v>39</v>
      </c>
      <c r="E201" s="3">
        <v>41</v>
      </c>
      <c r="F201" s="3">
        <v>4948696.01</v>
      </c>
      <c r="G201" s="3">
        <v>2486003.25</v>
      </c>
      <c r="H201" s="3">
        <v>2462692.7599999998</v>
      </c>
      <c r="I201" s="3">
        <v>49.76</v>
      </c>
      <c r="J201" s="3">
        <v>120699.9</v>
      </c>
      <c r="K201" s="3">
        <v>13</v>
      </c>
      <c r="L201" s="3">
        <v>31.71</v>
      </c>
      <c r="M201" s="3">
        <v>64</v>
      </c>
    </row>
    <row r="202" spans="1:13" x14ac:dyDescent="0.3">
      <c r="A202" s="2">
        <v>2022</v>
      </c>
      <c r="B202" s="2" t="s">
        <v>9730</v>
      </c>
      <c r="C202" s="2" t="s">
        <v>21</v>
      </c>
      <c r="D202" s="2" t="s">
        <v>22</v>
      </c>
      <c r="E202" s="2">
        <v>220</v>
      </c>
      <c r="F202" s="2">
        <v>1404137.61</v>
      </c>
      <c r="G202" s="2">
        <v>878758.93</v>
      </c>
      <c r="H202" s="2">
        <v>525378.68000000005</v>
      </c>
      <c r="I202" s="2">
        <v>37.42</v>
      </c>
      <c r="J202" s="2">
        <v>6382.44</v>
      </c>
      <c r="K202" s="2">
        <v>11</v>
      </c>
      <c r="L202" s="2">
        <v>5</v>
      </c>
      <c r="M202" s="2">
        <v>89</v>
      </c>
    </row>
    <row r="203" spans="1:13" x14ac:dyDescent="0.3">
      <c r="A203" s="3">
        <v>2022</v>
      </c>
      <c r="B203" s="3" t="s">
        <v>9730</v>
      </c>
      <c r="C203" s="3" t="s">
        <v>21</v>
      </c>
      <c r="D203" s="3" t="s">
        <v>29</v>
      </c>
      <c r="E203" s="3">
        <v>160</v>
      </c>
      <c r="F203" s="3">
        <v>214760.24</v>
      </c>
      <c r="G203" s="3">
        <v>125660.58</v>
      </c>
      <c r="H203" s="3">
        <v>89099.66</v>
      </c>
      <c r="I203" s="3">
        <v>41.49</v>
      </c>
      <c r="J203" s="3">
        <v>1342.25</v>
      </c>
      <c r="K203" s="3">
        <v>29</v>
      </c>
      <c r="L203" s="3">
        <v>18.12</v>
      </c>
      <c r="M203" s="3">
        <v>26</v>
      </c>
    </row>
    <row r="204" spans="1:13" x14ac:dyDescent="0.3">
      <c r="A204" s="2">
        <v>2022</v>
      </c>
      <c r="B204" s="2" t="s">
        <v>9730</v>
      </c>
      <c r="C204" s="2" t="s">
        <v>21</v>
      </c>
      <c r="D204" s="2" t="s">
        <v>14</v>
      </c>
      <c r="E204" s="2">
        <v>49</v>
      </c>
      <c r="F204" s="2">
        <v>4677072.96</v>
      </c>
      <c r="G204" s="2">
        <v>2963619.35</v>
      </c>
      <c r="H204" s="2">
        <v>1713453.61</v>
      </c>
      <c r="I204" s="2">
        <v>36.64</v>
      </c>
      <c r="J204" s="2">
        <v>95450.47</v>
      </c>
      <c r="K204" s="2">
        <v>2</v>
      </c>
      <c r="L204" s="2">
        <v>4.08</v>
      </c>
      <c r="M204" s="2">
        <v>72</v>
      </c>
    </row>
    <row r="205" spans="1:13" x14ac:dyDescent="0.3">
      <c r="A205" s="3">
        <v>2022</v>
      </c>
      <c r="B205" s="3" t="s">
        <v>9730</v>
      </c>
      <c r="C205" s="3" t="s">
        <v>21</v>
      </c>
      <c r="D205" s="3" t="s">
        <v>39</v>
      </c>
      <c r="E205" s="3">
        <v>246</v>
      </c>
      <c r="F205" s="3">
        <v>1071439.43</v>
      </c>
      <c r="G205" s="3">
        <v>727091.3</v>
      </c>
      <c r="H205" s="3">
        <v>344348.13</v>
      </c>
      <c r="I205" s="3">
        <v>32.14</v>
      </c>
      <c r="J205" s="3">
        <v>4355.4399999999996</v>
      </c>
      <c r="K205" s="3">
        <v>26</v>
      </c>
      <c r="L205" s="3">
        <v>10.57</v>
      </c>
      <c r="M205" s="3">
        <v>47</v>
      </c>
    </row>
    <row r="206" spans="1:13" x14ac:dyDescent="0.3">
      <c r="A206" s="2">
        <v>2022</v>
      </c>
      <c r="B206" s="2" t="s">
        <v>9730</v>
      </c>
      <c r="C206" s="2" t="s">
        <v>19</v>
      </c>
      <c r="D206" s="2" t="s">
        <v>22</v>
      </c>
      <c r="E206" s="2">
        <v>223</v>
      </c>
      <c r="F206" s="2">
        <v>1668512.98</v>
      </c>
      <c r="G206" s="2">
        <v>1020263.19</v>
      </c>
      <c r="H206" s="2">
        <v>648249.79</v>
      </c>
      <c r="I206" s="2">
        <v>38.85</v>
      </c>
      <c r="J206" s="2">
        <v>7482.12</v>
      </c>
      <c r="K206" s="2">
        <v>1</v>
      </c>
      <c r="L206" s="2">
        <v>0.45</v>
      </c>
      <c r="M206" s="2">
        <v>86</v>
      </c>
    </row>
    <row r="207" spans="1:13" x14ac:dyDescent="0.3">
      <c r="A207" s="3">
        <v>2022</v>
      </c>
      <c r="B207" s="3" t="s">
        <v>9730</v>
      </c>
      <c r="C207" s="3" t="s">
        <v>19</v>
      </c>
      <c r="D207" s="3" t="s">
        <v>29</v>
      </c>
      <c r="E207" s="3">
        <v>48</v>
      </c>
      <c r="F207" s="3">
        <v>1783301.11</v>
      </c>
      <c r="G207" s="3">
        <v>1182946.6499999999</v>
      </c>
      <c r="H207" s="3">
        <v>600354.46</v>
      </c>
      <c r="I207" s="3">
        <v>33.67</v>
      </c>
      <c r="J207" s="3">
        <v>37152.11</v>
      </c>
      <c r="K207" s="3">
        <v>7</v>
      </c>
      <c r="L207" s="3">
        <v>14.58</v>
      </c>
      <c r="M207" s="3">
        <v>70</v>
      </c>
    </row>
    <row r="208" spans="1:13" x14ac:dyDescent="0.3">
      <c r="A208" s="2">
        <v>2022</v>
      </c>
      <c r="B208" s="2" t="s">
        <v>9730</v>
      </c>
      <c r="C208" s="2" t="s">
        <v>19</v>
      </c>
      <c r="D208" s="2" t="s">
        <v>14</v>
      </c>
      <c r="E208" s="2">
        <v>27</v>
      </c>
      <c r="F208" s="2">
        <v>1772545.61</v>
      </c>
      <c r="G208" s="2">
        <v>965024.66</v>
      </c>
      <c r="H208" s="2">
        <v>807520.95</v>
      </c>
      <c r="I208" s="2">
        <v>45.56</v>
      </c>
      <c r="J208" s="2">
        <v>65649.84</v>
      </c>
      <c r="K208" s="2">
        <v>13</v>
      </c>
      <c r="L208" s="2">
        <v>48.15</v>
      </c>
      <c r="M208" s="2">
        <v>47</v>
      </c>
    </row>
    <row r="209" spans="1:13" x14ac:dyDescent="0.3">
      <c r="A209" s="3">
        <v>2022</v>
      </c>
      <c r="B209" s="3" t="s">
        <v>9730</v>
      </c>
      <c r="C209" s="3" t="s">
        <v>19</v>
      </c>
      <c r="D209" s="3" t="s">
        <v>39</v>
      </c>
      <c r="E209" s="3">
        <v>34</v>
      </c>
      <c r="F209" s="3">
        <v>4740414.2699999996</v>
      </c>
      <c r="G209" s="3">
        <v>3229724.68</v>
      </c>
      <c r="H209" s="3">
        <v>1510689.59</v>
      </c>
      <c r="I209" s="3">
        <v>31.87</v>
      </c>
      <c r="J209" s="3">
        <v>139423.95000000001</v>
      </c>
      <c r="K209" s="3">
        <v>4</v>
      </c>
      <c r="L209" s="3">
        <v>11.76</v>
      </c>
      <c r="M209" s="3">
        <v>42</v>
      </c>
    </row>
    <row r="210" spans="1:13" x14ac:dyDescent="0.3">
      <c r="A210" s="2">
        <v>2022</v>
      </c>
      <c r="B210" s="2" t="s">
        <v>9730</v>
      </c>
      <c r="C210" s="2" t="s">
        <v>13</v>
      </c>
      <c r="D210" s="2" t="s">
        <v>22</v>
      </c>
      <c r="E210" s="2">
        <v>32</v>
      </c>
      <c r="F210" s="2">
        <v>4269431.43</v>
      </c>
      <c r="G210" s="2">
        <v>2929823.91</v>
      </c>
      <c r="H210" s="2">
        <v>1339607.52</v>
      </c>
      <c r="I210" s="2">
        <v>31.38</v>
      </c>
      <c r="J210" s="2">
        <v>133419.73000000001</v>
      </c>
      <c r="K210" s="2">
        <v>0</v>
      </c>
      <c r="L210" s="2">
        <v>0</v>
      </c>
      <c r="M210" s="2">
        <v>65</v>
      </c>
    </row>
    <row r="211" spans="1:13" x14ac:dyDescent="0.3">
      <c r="A211" s="3">
        <v>2022</v>
      </c>
      <c r="B211" s="3" t="s">
        <v>9730</v>
      </c>
      <c r="C211" s="3" t="s">
        <v>13</v>
      </c>
      <c r="D211" s="3" t="s">
        <v>29</v>
      </c>
      <c r="E211" s="3">
        <v>25</v>
      </c>
      <c r="F211" s="3">
        <v>3526531.85</v>
      </c>
      <c r="G211" s="3">
        <v>1793878.19</v>
      </c>
      <c r="H211" s="3">
        <v>1732653.66</v>
      </c>
      <c r="I211" s="3">
        <v>49.13</v>
      </c>
      <c r="J211" s="3">
        <v>141061.26999999999</v>
      </c>
      <c r="K211" s="3">
        <v>16</v>
      </c>
      <c r="L211" s="3">
        <v>64</v>
      </c>
      <c r="M211" s="3">
        <v>92</v>
      </c>
    </row>
    <row r="212" spans="1:13" x14ac:dyDescent="0.3">
      <c r="A212" s="2">
        <v>2022</v>
      </c>
      <c r="B212" s="2" t="s">
        <v>9730</v>
      </c>
      <c r="C212" s="2" t="s">
        <v>13</v>
      </c>
      <c r="D212" s="2" t="s">
        <v>14</v>
      </c>
      <c r="E212" s="2">
        <v>193</v>
      </c>
      <c r="F212" s="2">
        <v>3233232.75</v>
      </c>
      <c r="G212" s="2">
        <v>2099090.1800000002</v>
      </c>
      <c r="H212" s="2">
        <v>1134142.57</v>
      </c>
      <c r="I212" s="2">
        <v>35.08</v>
      </c>
      <c r="J212" s="2">
        <v>16752.5</v>
      </c>
      <c r="K212" s="2">
        <v>5</v>
      </c>
      <c r="L212" s="2">
        <v>2.59</v>
      </c>
      <c r="M212" s="2">
        <v>34</v>
      </c>
    </row>
    <row r="213" spans="1:13" x14ac:dyDescent="0.3">
      <c r="A213" s="3">
        <v>2022</v>
      </c>
      <c r="B213" s="3" t="s">
        <v>9730</v>
      </c>
      <c r="C213" s="3" t="s">
        <v>13</v>
      </c>
      <c r="D213" s="3" t="s">
        <v>39</v>
      </c>
      <c r="E213" s="3">
        <v>178</v>
      </c>
      <c r="F213" s="3">
        <v>3817219.32</v>
      </c>
      <c r="G213" s="3">
        <v>2366397.3199999998</v>
      </c>
      <c r="H213" s="3">
        <v>1450822</v>
      </c>
      <c r="I213" s="3">
        <v>38.01</v>
      </c>
      <c r="J213" s="3">
        <v>21445.05</v>
      </c>
      <c r="K213" s="3">
        <v>6</v>
      </c>
      <c r="L213" s="3">
        <v>3.37</v>
      </c>
      <c r="M213" s="3">
        <v>65</v>
      </c>
    </row>
    <row r="214" spans="1:13" x14ac:dyDescent="0.3">
      <c r="A214" s="2">
        <v>2022</v>
      </c>
      <c r="B214" s="2" t="s">
        <v>9730</v>
      </c>
      <c r="C214" s="2" t="s">
        <v>27</v>
      </c>
      <c r="D214" s="2" t="s">
        <v>22</v>
      </c>
      <c r="E214" s="2">
        <v>231</v>
      </c>
      <c r="F214" s="2">
        <v>3813032.64</v>
      </c>
      <c r="G214" s="2">
        <v>2086931.8</v>
      </c>
      <c r="H214" s="2">
        <v>1726100.84</v>
      </c>
      <c r="I214" s="2">
        <v>45.27</v>
      </c>
      <c r="J214" s="2">
        <v>16506.63</v>
      </c>
      <c r="K214" s="2">
        <v>18</v>
      </c>
      <c r="L214" s="2">
        <v>7.79</v>
      </c>
      <c r="M214" s="2">
        <v>47</v>
      </c>
    </row>
    <row r="215" spans="1:13" x14ac:dyDescent="0.3">
      <c r="A215" s="3">
        <v>2022</v>
      </c>
      <c r="B215" s="3" t="s">
        <v>9730</v>
      </c>
      <c r="C215" s="3" t="s">
        <v>27</v>
      </c>
      <c r="D215" s="3" t="s">
        <v>29</v>
      </c>
      <c r="E215" s="3">
        <v>233</v>
      </c>
      <c r="F215" s="3">
        <v>297695.77</v>
      </c>
      <c r="G215" s="3">
        <v>185265.4</v>
      </c>
      <c r="H215" s="3">
        <v>112430.37</v>
      </c>
      <c r="I215" s="3">
        <v>37.770000000000003</v>
      </c>
      <c r="J215" s="3">
        <v>1277.6600000000001</v>
      </c>
      <c r="K215" s="3">
        <v>27</v>
      </c>
      <c r="L215" s="3">
        <v>11.59</v>
      </c>
      <c r="M215" s="3">
        <v>67</v>
      </c>
    </row>
    <row r="216" spans="1:13" x14ac:dyDescent="0.3">
      <c r="A216" s="2">
        <v>2022</v>
      </c>
      <c r="B216" s="2" t="s">
        <v>9730</v>
      </c>
      <c r="C216" s="2" t="s">
        <v>27</v>
      </c>
      <c r="D216" s="2" t="s">
        <v>14</v>
      </c>
      <c r="E216" s="2">
        <v>116</v>
      </c>
      <c r="F216" s="2">
        <v>3588030.26</v>
      </c>
      <c r="G216" s="2">
        <v>2343005.85</v>
      </c>
      <c r="H216" s="2">
        <v>1245024.4099999999</v>
      </c>
      <c r="I216" s="2">
        <v>34.700000000000003</v>
      </c>
      <c r="J216" s="2">
        <v>30931.3</v>
      </c>
      <c r="K216" s="2">
        <v>10</v>
      </c>
      <c r="L216" s="2">
        <v>8.6199999999999992</v>
      </c>
      <c r="M216" s="2">
        <v>42</v>
      </c>
    </row>
    <row r="217" spans="1:13" x14ac:dyDescent="0.3">
      <c r="A217" s="3">
        <v>2022</v>
      </c>
      <c r="B217" s="3" t="s">
        <v>9730</v>
      </c>
      <c r="C217" s="3" t="s">
        <v>27</v>
      </c>
      <c r="D217" s="3" t="s">
        <v>39</v>
      </c>
      <c r="E217" s="3">
        <v>270</v>
      </c>
      <c r="F217" s="3">
        <v>2232621.33</v>
      </c>
      <c r="G217" s="3">
        <v>1300955</v>
      </c>
      <c r="H217" s="3">
        <v>931666.33</v>
      </c>
      <c r="I217" s="3">
        <v>41.73</v>
      </c>
      <c r="J217" s="3">
        <v>8268.9699999999993</v>
      </c>
      <c r="K217" s="3">
        <v>1</v>
      </c>
      <c r="L217" s="3">
        <v>0.37</v>
      </c>
      <c r="M217" s="3">
        <v>15</v>
      </c>
    </row>
    <row r="218" spans="1:13" x14ac:dyDescent="0.3">
      <c r="A218" s="2">
        <v>2022</v>
      </c>
      <c r="B218" s="2" t="s">
        <v>9730</v>
      </c>
      <c r="C218" s="2" t="s">
        <v>28</v>
      </c>
      <c r="D218" s="2" t="s">
        <v>22</v>
      </c>
      <c r="E218" s="2">
        <v>63</v>
      </c>
      <c r="F218" s="2">
        <v>3224618.56</v>
      </c>
      <c r="G218" s="2">
        <v>1973130.74</v>
      </c>
      <c r="H218" s="2">
        <v>1251487.82</v>
      </c>
      <c r="I218" s="2">
        <v>38.81</v>
      </c>
      <c r="J218" s="2">
        <v>51184.42</v>
      </c>
      <c r="K218" s="2">
        <v>28</v>
      </c>
      <c r="L218" s="2">
        <v>44.44</v>
      </c>
      <c r="M218" s="2">
        <v>29</v>
      </c>
    </row>
    <row r="219" spans="1:13" x14ac:dyDescent="0.3">
      <c r="A219" s="3">
        <v>2022</v>
      </c>
      <c r="B219" s="3" t="s">
        <v>9730</v>
      </c>
      <c r="C219" s="3" t="s">
        <v>28</v>
      </c>
      <c r="D219" s="3" t="s">
        <v>29</v>
      </c>
      <c r="E219" s="3">
        <v>47</v>
      </c>
      <c r="F219" s="3">
        <v>4234413.5599999996</v>
      </c>
      <c r="G219" s="3">
        <v>2475092.64</v>
      </c>
      <c r="H219" s="3">
        <v>1759320.92</v>
      </c>
      <c r="I219" s="3">
        <v>41.55</v>
      </c>
      <c r="J219" s="3">
        <v>90093.91</v>
      </c>
      <c r="K219" s="3">
        <v>26</v>
      </c>
      <c r="L219" s="3">
        <v>55.32</v>
      </c>
      <c r="M219" s="3">
        <v>85</v>
      </c>
    </row>
    <row r="220" spans="1:13" x14ac:dyDescent="0.3">
      <c r="A220" s="2">
        <v>2022</v>
      </c>
      <c r="B220" s="2" t="s">
        <v>9730</v>
      </c>
      <c r="C220" s="2" t="s">
        <v>28</v>
      </c>
      <c r="D220" s="2" t="s">
        <v>14</v>
      </c>
      <c r="E220" s="2">
        <v>147</v>
      </c>
      <c r="F220" s="2">
        <v>1806526.93</v>
      </c>
      <c r="G220" s="2">
        <v>1082974.8400000001</v>
      </c>
      <c r="H220" s="2">
        <v>723552.09</v>
      </c>
      <c r="I220" s="2">
        <v>40.049999999999997</v>
      </c>
      <c r="J220" s="2">
        <v>12289.3</v>
      </c>
      <c r="K220" s="2">
        <v>3</v>
      </c>
      <c r="L220" s="2">
        <v>2.04</v>
      </c>
      <c r="M220" s="2">
        <v>37</v>
      </c>
    </row>
    <row r="221" spans="1:13" x14ac:dyDescent="0.3">
      <c r="A221" s="3">
        <v>2022</v>
      </c>
      <c r="B221" s="3" t="s">
        <v>9730</v>
      </c>
      <c r="C221" s="3" t="s">
        <v>28</v>
      </c>
      <c r="D221" s="3" t="s">
        <v>39</v>
      </c>
      <c r="E221" s="3">
        <v>222</v>
      </c>
      <c r="F221" s="3">
        <v>149441.47</v>
      </c>
      <c r="G221" s="3">
        <v>76352.240000000005</v>
      </c>
      <c r="H221" s="3">
        <v>73089.23</v>
      </c>
      <c r="I221" s="3">
        <v>48.91</v>
      </c>
      <c r="J221" s="3">
        <v>673.16</v>
      </c>
      <c r="K221" s="3">
        <v>4</v>
      </c>
      <c r="L221" s="3">
        <v>1.8</v>
      </c>
      <c r="M221" s="3">
        <v>45</v>
      </c>
    </row>
    <row r="222" spans="1:13" x14ac:dyDescent="0.3">
      <c r="A222" s="2">
        <v>2022</v>
      </c>
      <c r="B222" s="2" t="s">
        <v>9731</v>
      </c>
      <c r="C222" s="2" t="s">
        <v>21</v>
      </c>
      <c r="D222" s="2" t="s">
        <v>22</v>
      </c>
      <c r="E222" s="2">
        <v>123</v>
      </c>
      <c r="F222" s="2">
        <v>145475.17000000001</v>
      </c>
      <c r="G222" s="2">
        <v>90821.84</v>
      </c>
      <c r="H222" s="2">
        <v>54653.33</v>
      </c>
      <c r="I222" s="2">
        <v>37.57</v>
      </c>
      <c r="J222" s="2">
        <v>1182.72</v>
      </c>
      <c r="K222" s="2">
        <v>30</v>
      </c>
      <c r="L222" s="2">
        <v>24.39</v>
      </c>
      <c r="M222" s="2">
        <v>51</v>
      </c>
    </row>
    <row r="223" spans="1:13" x14ac:dyDescent="0.3">
      <c r="A223" s="3">
        <v>2022</v>
      </c>
      <c r="B223" s="3" t="s">
        <v>9731</v>
      </c>
      <c r="C223" s="3" t="s">
        <v>21</v>
      </c>
      <c r="D223" s="3" t="s">
        <v>29</v>
      </c>
      <c r="E223" s="3">
        <v>283</v>
      </c>
      <c r="F223" s="3">
        <v>3231225.83</v>
      </c>
      <c r="G223" s="3">
        <v>1641242.74</v>
      </c>
      <c r="H223" s="3">
        <v>1589983.09</v>
      </c>
      <c r="I223" s="3">
        <v>49.21</v>
      </c>
      <c r="J223" s="3">
        <v>11417.76</v>
      </c>
      <c r="K223" s="3">
        <v>20</v>
      </c>
      <c r="L223" s="3">
        <v>7.07</v>
      </c>
      <c r="M223" s="3">
        <v>97</v>
      </c>
    </row>
    <row r="224" spans="1:13" x14ac:dyDescent="0.3">
      <c r="A224" s="2">
        <v>2022</v>
      </c>
      <c r="B224" s="2" t="s">
        <v>9731</v>
      </c>
      <c r="C224" s="2" t="s">
        <v>21</v>
      </c>
      <c r="D224" s="2" t="s">
        <v>14</v>
      </c>
      <c r="E224" s="2">
        <v>156</v>
      </c>
      <c r="F224" s="2">
        <v>1565869.3</v>
      </c>
      <c r="G224" s="2">
        <v>976920.44</v>
      </c>
      <c r="H224" s="2">
        <v>588948.86</v>
      </c>
      <c r="I224" s="2">
        <v>37.61</v>
      </c>
      <c r="J224" s="2">
        <v>10037.620000000001</v>
      </c>
      <c r="K224" s="2">
        <v>23</v>
      </c>
      <c r="L224" s="2">
        <v>14.74</v>
      </c>
      <c r="M224" s="2">
        <v>13</v>
      </c>
    </row>
    <row r="225" spans="1:13" x14ac:dyDescent="0.3">
      <c r="A225" s="3">
        <v>2022</v>
      </c>
      <c r="B225" s="3" t="s">
        <v>9731</v>
      </c>
      <c r="C225" s="3" t="s">
        <v>21</v>
      </c>
      <c r="D225" s="3" t="s">
        <v>39</v>
      </c>
      <c r="E225" s="3">
        <v>206</v>
      </c>
      <c r="F225" s="3">
        <v>3655893.88</v>
      </c>
      <c r="G225" s="3">
        <v>2348888.42</v>
      </c>
      <c r="H225" s="3">
        <v>1307005.46</v>
      </c>
      <c r="I225" s="3">
        <v>35.75</v>
      </c>
      <c r="J225" s="3">
        <v>17747.060000000001</v>
      </c>
      <c r="K225" s="3">
        <v>8</v>
      </c>
      <c r="L225" s="3">
        <v>3.88</v>
      </c>
      <c r="M225" s="3">
        <v>5</v>
      </c>
    </row>
    <row r="226" spans="1:13" x14ac:dyDescent="0.3">
      <c r="A226" s="2">
        <v>2022</v>
      </c>
      <c r="B226" s="2" t="s">
        <v>9731</v>
      </c>
      <c r="C226" s="2" t="s">
        <v>19</v>
      </c>
      <c r="D226" s="2" t="s">
        <v>22</v>
      </c>
      <c r="E226" s="2">
        <v>79</v>
      </c>
      <c r="F226" s="2">
        <v>4555135.8899999997</v>
      </c>
      <c r="G226" s="2">
        <v>2697503.73</v>
      </c>
      <c r="H226" s="2">
        <v>1857632.16</v>
      </c>
      <c r="I226" s="2">
        <v>40.78</v>
      </c>
      <c r="J226" s="2">
        <v>57659.95</v>
      </c>
      <c r="K226" s="2">
        <v>30</v>
      </c>
      <c r="L226" s="2">
        <v>37.97</v>
      </c>
      <c r="M226" s="2">
        <v>83</v>
      </c>
    </row>
    <row r="227" spans="1:13" x14ac:dyDescent="0.3">
      <c r="A227" s="3">
        <v>2022</v>
      </c>
      <c r="B227" s="3" t="s">
        <v>9731</v>
      </c>
      <c r="C227" s="3" t="s">
        <v>19</v>
      </c>
      <c r="D227" s="3" t="s">
        <v>29</v>
      </c>
      <c r="E227" s="3">
        <v>203</v>
      </c>
      <c r="F227" s="3">
        <v>148746.47</v>
      </c>
      <c r="G227" s="3">
        <v>102574.58</v>
      </c>
      <c r="H227" s="3">
        <v>46171.89</v>
      </c>
      <c r="I227" s="3">
        <v>31.04</v>
      </c>
      <c r="J227" s="3">
        <v>732.74</v>
      </c>
      <c r="K227" s="3">
        <v>8</v>
      </c>
      <c r="L227" s="3">
        <v>3.94</v>
      </c>
      <c r="M227" s="3">
        <v>37</v>
      </c>
    </row>
    <row r="228" spans="1:13" x14ac:dyDescent="0.3">
      <c r="A228" s="2">
        <v>2022</v>
      </c>
      <c r="B228" s="2" t="s">
        <v>9731</v>
      </c>
      <c r="C228" s="2" t="s">
        <v>19</v>
      </c>
      <c r="D228" s="2" t="s">
        <v>14</v>
      </c>
      <c r="E228" s="2">
        <v>84</v>
      </c>
      <c r="F228" s="2">
        <v>1604063.09</v>
      </c>
      <c r="G228" s="2">
        <v>1074841.57</v>
      </c>
      <c r="H228" s="2">
        <v>529221.52</v>
      </c>
      <c r="I228" s="2">
        <v>32.99</v>
      </c>
      <c r="J228" s="2">
        <v>19095.990000000002</v>
      </c>
      <c r="K228" s="2">
        <v>23</v>
      </c>
      <c r="L228" s="2">
        <v>27.38</v>
      </c>
      <c r="M228" s="2">
        <v>11</v>
      </c>
    </row>
    <row r="229" spans="1:13" x14ac:dyDescent="0.3">
      <c r="A229" s="3">
        <v>2022</v>
      </c>
      <c r="B229" s="3" t="s">
        <v>9731</v>
      </c>
      <c r="C229" s="3" t="s">
        <v>19</v>
      </c>
      <c r="D229" s="3" t="s">
        <v>39</v>
      </c>
      <c r="E229" s="3">
        <v>182</v>
      </c>
      <c r="F229" s="3">
        <v>3942743</v>
      </c>
      <c r="G229" s="3">
        <v>2551763.9500000002</v>
      </c>
      <c r="H229" s="3">
        <v>1390979.05</v>
      </c>
      <c r="I229" s="3">
        <v>35.28</v>
      </c>
      <c r="J229" s="3">
        <v>21663.42</v>
      </c>
      <c r="K229" s="3">
        <v>27</v>
      </c>
      <c r="L229" s="3">
        <v>14.84</v>
      </c>
      <c r="M229" s="3">
        <v>95</v>
      </c>
    </row>
    <row r="230" spans="1:13" x14ac:dyDescent="0.3">
      <c r="A230" s="2">
        <v>2022</v>
      </c>
      <c r="B230" s="2" t="s">
        <v>9731</v>
      </c>
      <c r="C230" s="2" t="s">
        <v>13</v>
      </c>
      <c r="D230" s="2" t="s">
        <v>22</v>
      </c>
      <c r="E230" s="2">
        <v>67</v>
      </c>
      <c r="F230" s="2">
        <v>992138.12</v>
      </c>
      <c r="G230" s="2">
        <v>569160.11</v>
      </c>
      <c r="H230" s="2">
        <v>422978.01</v>
      </c>
      <c r="I230" s="2">
        <v>42.63</v>
      </c>
      <c r="J230" s="2">
        <v>14808.03</v>
      </c>
      <c r="K230" s="2">
        <v>29</v>
      </c>
      <c r="L230" s="2">
        <v>43.28</v>
      </c>
      <c r="M230" s="2">
        <v>28</v>
      </c>
    </row>
    <row r="231" spans="1:13" x14ac:dyDescent="0.3">
      <c r="A231" s="3">
        <v>2022</v>
      </c>
      <c r="B231" s="3" t="s">
        <v>9731</v>
      </c>
      <c r="C231" s="3" t="s">
        <v>13</v>
      </c>
      <c r="D231" s="3" t="s">
        <v>29</v>
      </c>
      <c r="E231" s="3">
        <v>232</v>
      </c>
      <c r="F231" s="3">
        <v>3943446.39</v>
      </c>
      <c r="G231" s="3">
        <v>2189225.5499999998</v>
      </c>
      <c r="H231" s="3">
        <v>1754220.84</v>
      </c>
      <c r="I231" s="3">
        <v>44.48</v>
      </c>
      <c r="J231" s="3">
        <v>16997.61</v>
      </c>
      <c r="K231" s="3">
        <v>0</v>
      </c>
      <c r="L231" s="3">
        <v>0</v>
      </c>
      <c r="M231" s="3">
        <v>76</v>
      </c>
    </row>
    <row r="232" spans="1:13" x14ac:dyDescent="0.3">
      <c r="A232" s="2">
        <v>2022</v>
      </c>
      <c r="B232" s="2" t="s">
        <v>9731</v>
      </c>
      <c r="C232" s="2" t="s">
        <v>13</v>
      </c>
      <c r="D232" s="2" t="s">
        <v>14</v>
      </c>
      <c r="E232" s="2">
        <v>123</v>
      </c>
      <c r="F232" s="2">
        <v>2801484.15</v>
      </c>
      <c r="G232" s="2">
        <v>1949026.92</v>
      </c>
      <c r="H232" s="2">
        <v>852457.23</v>
      </c>
      <c r="I232" s="2">
        <v>30.43</v>
      </c>
      <c r="J232" s="2">
        <v>22776.29</v>
      </c>
      <c r="K232" s="2">
        <v>11</v>
      </c>
      <c r="L232" s="2">
        <v>8.94</v>
      </c>
      <c r="M232" s="2">
        <v>46</v>
      </c>
    </row>
    <row r="233" spans="1:13" x14ac:dyDescent="0.3">
      <c r="A233" s="3">
        <v>2022</v>
      </c>
      <c r="B233" s="3" t="s">
        <v>9731</v>
      </c>
      <c r="C233" s="3" t="s">
        <v>13</v>
      </c>
      <c r="D233" s="3" t="s">
        <v>39</v>
      </c>
      <c r="E233" s="3">
        <v>300</v>
      </c>
      <c r="F233" s="3">
        <v>3159802.91</v>
      </c>
      <c r="G233" s="3">
        <v>1831559.07</v>
      </c>
      <c r="H233" s="3">
        <v>1328243.8400000001</v>
      </c>
      <c r="I233" s="3">
        <v>42.04</v>
      </c>
      <c r="J233" s="3">
        <v>10532.68</v>
      </c>
      <c r="K233" s="3">
        <v>17</v>
      </c>
      <c r="L233" s="3">
        <v>5.67</v>
      </c>
      <c r="M233" s="3">
        <v>12</v>
      </c>
    </row>
    <row r="234" spans="1:13" x14ac:dyDescent="0.3">
      <c r="A234" s="2">
        <v>2022</v>
      </c>
      <c r="B234" s="2" t="s">
        <v>9731</v>
      </c>
      <c r="C234" s="2" t="s">
        <v>27</v>
      </c>
      <c r="D234" s="2" t="s">
        <v>22</v>
      </c>
      <c r="E234" s="2">
        <v>221</v>
      </c>
      <c r="F234" s="2">
        <v>3418948.01</v>
      </c>
      <c r="G234" s="2">
        <v>1999805.23</v>
      </c>
      <c r="H234" s="2">
        <v>1419142.78</v>
      </c>
      <c r="I234" s="2">
        <v>41.51</v>
      </c>
      <c r="J234" s="2">
        <v>15470.35</v>
      </c>
      <c r="K234" s="2">
        <v>8</v>
      </c>
      <c r="L234" s="2">
        <v>3.62</v>
      </c>
      <c r="M234" s="2">
        <v>30</v>
      </c>
    </row>
    <row r="235" spans="1:13" x14ac:dyDescent="0.3">
      <c r="A235" s="3">
        <v>2022</v>
      </c>
      <c r="B235" s="3" t="s">
        <v>9731</v>
      </c>
      <c r="C235" s="3" t="s">
        <v>27</v>
      </c>
      <c r="D235" s="3" t="s">
        <v>29</v>
      </c>
      <c r="E235" s="3">
        <v>35</v>
      </c>
      <c r="F235" s="3">
        <v>2146274.42</v>
      </c>
      <c r="G235" s="3">
        <v>1156464.99</v>
      </c>
      <c r="H235" s="3">
        <v>989809.43</v>
      </c>
      <c r="I235" s="3">
        <v>46.12</v>
      </c>
      <c r="J235" s="3">
        <v>61322.13</v>
      </c>
      <c r="K235" s="3">
        <v>15</v>
      </c>
      <c r="L235" s="3">
        <v>42.86</v>
      </c>
      <c r="M235" s="3">
        <v>45</v>
      </c>
    </row>
    <row r="236" spans="1:13" x14ac:dyDescent="0.3">
      <c r="A236" s="2">
        <v>2022</v>
      </c>
      <c r="B236" s="2" t="s">
        <v>9731</v>
      </c>
      <c r="C236" s="2" t="s">
        <v>27</v>
      </c>
      <c r="D236" s="2" t="s">
        <v>14</v>
      </c>
      <c r="E236" s="2">
        <v>40</v>
      </c>
      <c r="F236" s="2">
        <v>786011.46</v>
      </c>
      <c r="G236" s="2">
        <v>525489.06000000006</v>
      </c>
      <c r="H236" s="2">
        <v>260522.4</v>
      </c>
      <c r="I236" s="2">
        <v>33.14</v>
      </c>
      <c r="J236" s="2">
        <v>19650.29</v>
      </c>
      <c r="K236" s="2">
        <v>17</v>
      </c>
      <c r="L236" s="2">
        <v>42.5</v>
      </c>
      <c r="M236" s="2">
        <v>61</v>
      </c>
    </row>
    <row r="237" spans="1:13" x14ac:dyDescent="0.3">
      <c r="A237" s="3">
        <v>2022</v>
      </c>
      <c r="B237" s="3" t="s">
        <v>9731</v>
      </c>
      <c r="C237" s="3" t="s">
        <v>27</v>
      </c>
      <c r="D237" s="3" t="s">
        <v>39</v>
      </c>
      <c r="E237" s="3">
        <v>118</v>
      </c>
      <c r="F237" s="3">
        <v>4322616.42</v>
      </c>
      <c r="G237" s="3">
        <v>2302684.96</v>
      </c>
      <c r="H237" s="3">
        <v>2019931.46</v>
      </c>
      <c r="I237" s="3">
        <v>46.73</v>
      </c>
      <c r="J237" s="3">
        <v>36632.339999999997</v>
      </c>
      <c r="K237" s="3">
        <v>26</v>
      </c>
      <c r="L237" s="3">
        <v>22.03</v>
      </c>
      <c r="M237" s="3">
        <v>17</v>
      </c>
    </row>
    <row r="238" spans="1:13" x14ac:dyDescent="0.3">
      <c r="A238" s="2">
        <v>2022</v>
      </c>
      <c r="B238" s="2" t="s">
        <v>9731</v>
      </c>
      <c r="C238" s="2" t="s">
        <v>28</v>
      </c>
      <c r="D238" s="2" t="s">
        <v>22</v>
      </c>
      <c r="E238" s="2">
        <v>171</v>
      </c>
      <c r="F238" s="2">
        <v>2573886.4500000002</v>
      </c>
      <c r="G238" s="2">
        <v>1517862.78</v>
      </c>
      <c r="H238" s="2">
        <v>1056023.67</v>
      </c>
      <c r="I238" s="2">
        <v>41.03</v>
      </c>
      <c r="J238" s="2">
        <v>15051.97</v>
      </c>
      <c r="K238" s="2">
        <v>28</v>
      </c>
      <c r="L238" s="2">
        <v>16.37</v>
      </c>
      <c r="M238" s="2">
        <v>37</v>
      </c>
    </row>
    <row r="239" spans="1:13" x14ac:dyDescent="0.3">
      <c r="A239" s="3">
        <v>2022</v>
      </c>
      <c r="B239" s="3" t="s">
        <v>9731</v>
      </c>
      <c r="C239" s="3" t="s">
        <v>28</v>
      </c>
      <c r="D239" s="3" t="s">
        <v>29</v>
      </c>
      <c r="E239" s="3">
        <v>190</v>
      </c>
      <c r="F239" s="3">
        <v>1622617.64</v>
      </c>
      <c r="G239" s="3">
        <v>982525.05</v>
      </c>
      <c r="H239" s="3">
        <v>640092.59</v>
      </c>
      <c r="I239" s="3">
        <v>39.450000000000003</v>
      </c>
      <c r="J239" s="3">
        <v>8540.09</v>
      </c>
      <c r="K239" s="3">
        <v>28</v>
      </c>
      <c r="L239" s="3">
        <v>14.74</v>
      </c>
      <c r="M239" s="3">
        <v>76</v>
      </c>
    </row>
    <row r="240" spans="1:13" x14ac:dyDescent="0.3">
      <c r="A240" s="2">
        <v>2022</v>
      </c>
      <c r="B240" s="2" t="s">
        <v>9731</v>
      </c>
      <c r="C240" s="2" t="s">
        <v>28</v>
      </c>
      <c r="D240" s="2" t="s">
        <v>14</v>
      </c>
      <c r="E240" s="2">
        <v>80</v>
      </c>
      <c r="F240" s="2">
        <v>456668.69</v>
      </c>
      <c r="G240" s="2">
        <v>262939.67</v>
      </c>
      <c r="H240" s="2">
        <v>193729.02</v>
      </c>
      <c r="I240" s="2">
        <v>42.42</v>
      </c>
      <c r="J240" s="2">
        <v>5708.36</v>
      </c>
      <c r="K240" s="2">
        <v>15</v>
      </c>
      <c r="L240" s="2">
        <v>18.75</v>
      </c>
      <c r="M240" s="2">
        <v>35</v>
      </c>
    </row>
    <row r="241" spans="1:13" x14ac:dyDescent="0.3">
      <c r="A241" s="3">
        <v>2022</v>
      </c>
      <c r="B241" s="3" t="s">
        <v>9731</v>
      </c>
      <c r="C241" s="3" t="s">
        <v>28</v>
      </c>
      <c r="D241" s="3" t="s">
        <v>39</v>
      </c>
      <c r="E241" s="3">
        <v>161</v>
      </c>
      <c r="F241" s="3">
        <v>3519987.97</v>
      </c>
      <c r="G241" s="3">
        <v>2106951.42</v>
      </c>
      <c r="H241" s="3">
        <v>1413036.55</v>
      </c>
      <c r="I241" s="3">
        <v>40.14</v>
      </c>
      <c r="J241" s="3">
        <v>21863.279999999999</v>
      </c>
      <c r="K241" s="3">
        <v>5</v>
      </c>
      <c r="L241" s="3">
        <v>3.11</v>
      </c>
      <c r="M241" s="3">
        <v>28</v>
      </c>
    </row>
    <row r="242" spans="1:13" x14ac:dyDescent="0.3">
      <c r="A242" s="2">
        <v>2023</v>
      </c>
      <c r="B242" s="2" t="s">
        <v>9732</v>
      </c>
      <c r="C242" s="2" t="s">
        <v>21</v>
      </c>
      <c r="D242" s="2" t="s">
        <v>22</v>
      </c>
      <c r="E242" s="2">
        <v>57</v>
      </c>
      <c r="F242" s="2">
        <v>2921163.21</v>
      </c>
      <c r="G242" s="2">
        <v>1501648.45</v>
      </c>
      <c r="H242" s="2">
        <v>1419514.76</v>
      </c>
      <c r="I242" s="2">
        <v>48.59</v>
      </c>
      <c r="J242" s="2">
        <v>51248.480000000003</v>
      </c>
      <c r="K242" s="2">
        <v>6</v>
      </c>
      <c r="L242" s="2">
        <v>10.53</v>
      </c>
      <c r="M242" s="2">
        <v>17</v>
      </c>
    </row>
    <row r="243" spans="1:13" x14ac:dyDescent="0.3">
      <c r="A243" s="3">
        <v>2023</v>
      </c>
      <c r="B243" s="3" t="s">
        <v>9732</v>
      </c>
      <c r="C243" s="3" t="s">
        <v>21</v>
      </c>
      <c r="D243" s="3" t="s">
        <v>29</v>
      </c>
      <c r="E243" s="3">
        <v>203</v>
      </c>
      <c r="F243" s="3">
        <v>4376003.8</v>
      </c>
      <c r="G243" s="3">
        <v>2188934.38</v>
      </c>
      <c r="H243" s="3">
        <v>2187069.42</v>
      </c>
      <c r="I243" s="3">
        <v>49.98</v>
      </c>
      <c r="J243" s="3">
        <v>21556.67</v>
      </c>
      <c r="K243" s="3">
        <v>18</v>
      </c>
      <c r="L243" s="3">
        <v>8.8699999999999992</v>
      </c>
      <c r="M243" s="3">
        <v>61</v>
      </c>
    </row>
    <row r="244" spans="1:13" x14ac:dyDescent="0.3">
      <c r="A244" s="2">
        <v>2023</v>
      </c>
      <c r="B244" s="2" t="s">
        <v>9732</v>
      </c>
      <c r="C244" s="2" t="s">
        <v>21</v>
      </c>
      <c r="D244" s="2" t="s">
        <v>14</v>
      </c>
      <c r="E244" s="2">
        <v>43</v>
      </c>
      <c r="F244" s="2">
        <v>4740362.13</v>
      </c>
      <c r="G244" s="2">
        <v>2826663.67</v>
      </c>
      <c r="H244" s="2">
        <v>1913698.46</v>
      </c>
      <c r="I244" s="2">
        <v>40.369999999999997</v>
      </c>
      <c r="J244" s="2">
        <v>110240.98</v>
      </c>
      <c r="K244" s="2">
        <v>20</v>
      </c>
      <c r="L244" s="2">
        <v>46.51</v>
      </c>
      <c r="M244" s="2">
        <v>100</v>
      </c>
    </row>
    <row r="245" spans="1:13" x14ac:dyDescent="0.3">
      <c r="A245" s="3">
        <v>2023</v>
      </c>
      <c r="B245" s="3" t="s">
        <v>9732</v>
      </c>
      <c r="C245" s="3" t="s">
        <v>21</v>
      </c>
      <c r="D245" s="3" t="s">
        <v>39</v>
      </c>
      <c r="E245" s="3">
        <v>42</v>
      </c>
      <c r="F245" s="3">
        <v>811183.61</v>
      </c>
      <c r="G245" s="3">
        <v>411997.56</v>
      </c>
      <c r="H245" s="3">
        <v>399186.05</v>
      </c>
      <c r="I245" s="3">
        <v>49.21</v>
      </c>
      <c r="J245" s="3">
        <v>19313.900000000001</v>
      </c>
      <c r="K245" s="3">
        <v>4</v>
      </c>
      <c r="L245" s="3">
        <v>9.52</v>
      </c>
      <c r="M245" s="3">
        <v>87</v>
      </c>
    </row>
    <row r="246" spans="1:13" x14ac:dyDescent="0.3">
      <c r="A246" s="2">
        <v>2023</v>
      </c>
      <c r="B246" s="2" t="s">
        <v>9732</v>
      </c>
      <c r="C246" s="2" t="s">
        <v>19</v>
      </c>
      <c r="D246" s="2" t="s">
        <v>22</v>
      </c>
      <c r="E246" s="2">
        <v>131</v>
      </c>
      <c r="F246" s="2">
        <v>1458463.27</v>
      </c>
      <c r="G246" s="2">
        <v>781290.51</v>
      </c>
      <c r="H246" s="2">
        <v>677172.76</v>
      </c>
      <c r="I246" s="2">
        <v>46.43</v>
      </c>
      <c r="J246" s="2">
        <v>11133.31</v>
      </c>
      <c r="K246" s="2">
        <v>1</v>
      </c>
      <c r="L246" s="2">
        <v>0.76</v>
      </c>
      <c r="M246" s="2">
        <v>83</v>
      </c>
    </row>
    <row r="247" spans="1:13" x14ac:dyDescent="0.3">
      <c r="A247" s="3">
        <v>2023</v>
      </c>
      <c r="B247" s="3" t="s">
        <v>9732</v>
      </c>
      <c r="C247" s="3" t="s">
        <v>19</v>
      </c>
      <c r="D247" s="3" t="s">
        <v>29</v>
      </c>
      <c r="E247" s="3">
        <v>226</v>
      </c>
      <c r="F247" s="3">
        <v>459168.19</v>
      </c>
      <c r="G247" s="3">
        <v>318434.2</v>
      </c>
      <c r="H247" s="3">
        <v>140733.99</v>
      </c>
      <c r="I247" s="3">
        <v>30.65</v>
      </c>
      <c r="J247" s="3">
        <v>2031.72</v>
      </c>
      <c r="K247" s="3">
        <v>26</v>
      </c>
      <c r="L247" s="3">
        <v>11.5</v>
      </c>
      <c r="M247" s="3">
        <v>7</v>
      </c>
    </row>
    <row r="248" spans="1:13" x14ac:dyDescent="0.3">
      <c r="A248" s="2">
        <v>2023</v>
      </c>
      <c r="B248" s="2" t="s">
        <v>9732</v>
      </c>
      <c r="C248" s="2" t="s">
        <v>19</v>
      </c>
      <c r="D248" s="2" t="s">
        <v>14</v>
      </c>
      <c r="E248" s="2">
        <v>138</v>
      </c>
      <c r="F248" s="2">
        <v>4255457.8499999996</v>
      </c>
      <c r="G248" s="2">
        <v>2927737.76</v>
      </c>
      <c r="H248" s="2">
        <v>1327720.0900000001</v>
      </c>
      <c r="I248" s="2">
        <v>31.2</v>
      </c>
      <c r="J248" s="2">
        <v>30836.65</v>
      </c>
      <c r="K248" s="2">
        <v>5</v>
      </c>
      <c r="L248" s="2">
        <v>3.62</v>
      </c>
      <c r="M248" s="2">
        <v>75</v>
      </c>
    </row>
    <row r="249" spans="1:13" x14ac:dyDescent="0.3">
      <c r="A249" s="3">
        <v>2023</v>
      </c>
      <c r="B249" s="3" t="s">
        <v>9732</v>
      </c>
      <c r="C249" s="3" t="s">
        <v>19</v>
      </c>
      <c r="D249" s="3" t="s">
        <v>39</v>
      </c>
      <c r="E249" s="3">
        <v>80</v>
      </c>
      <c r="F249" s="3">
        <v>4261911.78</v>
      </c>
      <c r="G249" s="3">
        <v>2609396.39</v>
      </c>
      <c r="H249" s="3">
        <v>1652515.39</v>
      </c>
      <c r="I249" s="3">
        <v>38.770000000000003</v>
      </c>
      <c r="J249" s="3">
        <v>53273.9</v>
      </c>
      <c r="K249" s="3">
        <v>23</v>
      </c>
      <c r="L249" s="3">
        <v>28.75</v>
      </c>
      <c r="M249" s="3">
        <v>83</v>
      </c>
    </row>
    <row r="250" spans="1:13" x14ac:dyDescent="0.3">
      <c r="A250" s="2">
        <v>2023</v>
      </c>
      <c r="B250" s="2" t="s">
        <v>9732</v>
      </c>
      <c r="C250" s="2" t="s">
        <v>13</v>
      </c>
      <c r="D250" s="2" t="s">
        <v>22</v>
      </c>
      <c r="E250" s="2">
        <v>138</v>
      </c>
      <c r="F250" s="2">
        <v>839037.37</v>
      </c>
      <c r="G250" s="2">
        <v>573055.75</v>
      </c>
      <c r="H250" s="2">
        <v>265981.62</v>
      </c>
      <c r="I250" s="2">
        <v>31.7</v>
      </c>
      <c r="J250" s="2">
        <v>6079.98</v>
      </c>
      <c r="K250" s="2">
        <v>27</v>
      </c>
      <c r="L250" s="2">
        <v>19.57</v>
      </c>
      <c r="M250" s="2">
        <v>10</v>
      </c>
    </row>
    <row r="251" spans="1:13" x14ac:dyDescent="0.3">
      <c r="A251" s="3">
        <v>2023</v>
      </c>
      <c r="B251" s="3" t="s">
        <v>9732</v>
      </c>
      <c r="C251" s="3" t="s">
        <v>13</v>
      </c>
      <c r="D251" s="3" t="s">
        <v>29</v>
      </c>
      <c r="E251" s="3">
        <v>48</v>
      </c>
      <c r="F251" s="3">
        <v>4100395.05</v>
      </c>
      <c r="G251" s="3">
        <v>2470424.9500000002</v>
      </c>
      <c r="H251" s="3">
        <v>1629970.1</v>
      </c>
      <c r="I251" s="3">
        <v>39.75</v>
      </c>
      <c r="J251" s="3">
        <v>85424.9</v>
      </c>
      <c r="K251" s="3">
        <v>4</v>
      </c>
      <c r="L251" s="3">
        <v>8.33</v>
      </c>
      <c r="M251" s="3">
        <v>58</v>
      </c>
    </row>
    <row r="252" spans="1:13" x14ac:dyDescent="0.3">
      <c r="A252" s="2">
        <v>2023</v>
      </c>
      <c r="B252" s="2" t="s">
        <v>9732</v>
      </c>
      <c r="C252" s="2" t="s">
        <v>13</v>
      </c>
      <c r="D252" s="2" t="s">
        <v>14</v>
      </c>
      <c r="E252" s="2">
        <v>126</v>
      </c>
      <c r="F252" s="2">
        <v>4834926.33</v>
      </c>
      <c r="G252" s="2">
        <v>3074565.37</v>
      </c>
      <c r="H252" s="2">
        <v>1760360.96</v>
      </c>
      <c r="I252" s="2">
        <v>36.409999999999997</v>
      </c>
      <c r="J252" s="2">
        <v>38372.43</v>
      </c>
      <c r="K252" s="2">
        <v>5</v>
      </c>
      <c r="L252" s="2">
        <v>3.97</v>
      </c>
      <c r="M252" s="2">
        <v>38</v>
      </c>
    </row>
    <row r="253" spans="1:13" x14ac:dyDescent="0.3">
      <c r="A253" s="3">
        <v>2023</v>
      </c>
      <c r="B253" s="3" t="s">
        <v>9732</v>
      </c>
      <c r="C253" s="3" t="s">
        <v>13</v>
      </c>
      <c r="D253" s="3" t="s">
        <v>39</v>
      </c>
      <c r="E253" s="3">
        <v>73</v>
      </c>
      <c r="F253" s="3">
        <v>4542833.6399999997</v>
      </c>
      <c r="G253" s="3">
        <v>2992594.59</v>
      </c>
      <c r="H253" s="3">
        <v>1550239.05</v>
      </c>
      <c r="I253" s="3">
        <v>34.119999999999997</v>
      </c>
      <c r="J253" s="3">
        <v>62230.6</v>
      </c>
      <c r="K253" s="3">
        <v>1</v>
      </c>
      <c r="L253" s="3">
        <v>1.37</v>
      </c>
      <c r="M253" s="3">
        <v>86</v>
      </c>
    </row>
    <row r="254" spans="1:13" x14ac:dyDescent="0.3">
      <c r="A254" s="2">
        <v>2023</v>
      </c>
      <c r="B254" s="2" t="s">
        <v>9732</v>
      </c>
      <c r="C254" s="2" t="s">
        <v>27</v>
      </c>
      <c r="D254" s="2" t="s">
        <v>22</v>
      </c>
      <c r="E254" s="2">
        <v>46</v>
      </c>
      <c r="F254" s="2">
        <v>3420025.15</v>
      </c>
      <c r="G254" s="2">
        <v>1831282.29</v>
      </c>
      <c r="H254" s="2">
        <v>1588742.86</v>
      </c>
      <c r="I254" s="2">
        <v>46.45</v>
      </c>
      <c r="J254" s="2">
        <v>74348.37</v>
      </c>
      <c r="K254" s="2">
        <v>27</v>
      </c>
      <c r="L254" s="2">
        <v>58.7</v>
      </c>
      <c r="M254" s="2">
        <v>49</v>
      </c>
    </row>
    <row r="255" spans="1:13" x14ac:dyDescent="0.3">
      <c r="A255" s="3">
        <v>2023</v>
      </c>
      <c r="B255" s="3" t="s">
        <v>9732</v>
      </c>
      <c r="C255" s="3" t="s">
        <v>27</v>
      </c>
      <c r="D255" s="3" t="s">
        <v>29</v>
      </c>
      <c r="E255" s="3">
        <v>69</v>
      </c>
      <c r="F255" s="3">
        <v>2110333.79</v>
      </c>
      <c r="G255" s="3">
        <v>1144323.21</v>
      </c>
      <c r="H255" s="3">
        <v>966010.58</v>
      </c>
      <c r="I255" s="3">
        <v>45.78</v>
      </c>
      <c r="J255" s="3">
        <v>30584.55</v>
      </c>
      <c r="K255" s="3">
        <v>22</v>
      </c>
      <c r="L255" s="3">
        <v>31.88</v>
      </c>
      <c r="M255" s="3">
        <v>38</v>
      </c>
    </row>
    <row r="256" spans="1:13" x14ac:dyDescent="0.3">
      <c r="A256" s="2">
        <v>2023</v>
      </c>
      <c r="B256" s="2" t="s">
        <v>9732</v>
      </c>
      <c r="C256" s="2" t="s">
        <v>27</v>
      </c>
      <c r="D256" s="2" t="s">
        <v>14</v>
      </c>
      <c r="E256" s="2">
        <v>192</v>
      </c>
      <c r="F256" s="2">
        <v>1094441.49</v>
      </c>
      <c r="G256" s="2">
        <v>755910.29</v>
      </c>
      <c r="H256" s="2">
        <v>338531.2</v>
      </c>
      <c r="I256" s="2">
        <v>30.93</v>
      </c>
      <c r="J256" s="2">
        <v>5700.22</v>
      </c>
      <c r="K256" s="2">
        <v>5</v>
      </c>
      <c r="L256" s="2">
        <v>2.6</v>
      </c>
      <c r="M256" s="2">
        <v>86</v>
      </c>
    </row>
    <row r="257" spans="1:13" x14ac:dyDescent="0.3">
      <c r="A257" s="3">
        <v>2023</v>
      </c>
      <c r="B257" s="3" t="s">
        <v>9732</v>
      </c>
      <c r="C257" s="3" t="s">
        <v>27</v>
      </c>
      <c r="D257" s="3" t="s">
        <v>39</v>
      </c>
      <c r="E257" s="3">
        <v>76</v>
      </c>
      <c r="F257" s="3">
        <v>144018.23000000001</v>
      </c>
      <c r="G257" s="3">
        <v>82643.06</v>
      </c>
      <c r="H257" s="3">
        <v>61375.17</v>
      </c>
      <c r="I257" s="3">
        <v>42.62</v>
      </c>
      <c r="J257" s="3">
        <v>1894.98</v>
      </c>
      <c r="K257" s="3">
        <v>22</v>
      </c>
      <c r="L257" s="3">
        <v>28.95</v>
      </c>
      <c r="M257" s="3">
        <v>81</v>
      </c>
    </row>
    <row r="258" spans="1:13" x14ac:dyDescent="0.3">
      <c r="A258" s="2">
        <v>2023</v>
      </c>
      <c r="B258" s="2" t="s">
        <v>9732</v>
      </c>
      <c r="C258" s="2" t="s">
        <v>28</v>
      </c>
      <c r="D258" s="2" t="s">
        <v>22</v>
      </c>
      <c r="E258" s="2">
        <v>75</v>
      </c>
      <c r="F258" s="2">
        <v>400551.52</v>
      </c>
      <c r="G258" s="2">
        <v>242903.71</v>
      </c>
      <c r="H258" s="2">
        <v>157647.81</v>
      </c>
      <c r="I258" s="2">
        <v>39.36</v>
      </c>
      <c r="J258" s="2">
        <v>5340.69</v>
      </c>
      <c r="K258" s="2">
        <v>3</v>
      </c>
      <c r="L258" s="2">
        <v>4</v>
      </c>
      <c r="M258" s="2">
        <v>10</v>
      </c>
    </row>
    <row r="259" spans="1:13" x14ac:dyDescent="0.3">
      <c r="A259" s="3">
        <v>2023</v>
      </c>
      <c r="B259" s="3" t="s">
        <v>9732</v>
      </c>
      <c r="C259" s="3" t="s">
        <v>28</v>
      </c>
      <c r="D259" s="3" t="s">
        <v>29</v>
      </c>
      <c r="E259" s="3">
        <v>136</v>
      </c>
      <c r="F259" s="3">
        <v>316583.09999999998</v>
      </c>
      <c r="G259" s="3">
        <v>201672.44</v>
      </c>
      <c r="H259" s="3">
        <v>114910.66</v>
      </c>
      <c r="I259" s="3">
        <v>36.299999999999997</v>
      </c>
      <c r="J259" s="3">
        <v>2327.8200000000002</v>
      </c>
      <c r="K259" s="3">
        <v>4</v>
      </c>
      <c r="L259" s="3">
        <v>2.94</v>
      </c>
      <c r="M259" s="3">
        <v>62</v>
      </c>
    </row>
    <row r="260" spans="1:13" x14ac:dyDescent="0.3">
      <c r="A260" s="2">
        <v>2023</v>
      </c>
      <c r="B260" s="2" t="s">
        <v>9732</v>
      </c>
      <c r="C260" s="2" t="s">
        <v>28</v>
      </c>
      <c r="D260" s="2" t="s">
        <v>14</v>
      </c>
      <c r="E260" s="2">
        <v>30</v>
      </c>
      <c r="F260" s="2">
        <v>1051890.77</v>
      </c>
      <c r="G260" s="2">
        <v>579734.59</v>
      </c>
      <c r="H260" s="2">
        <v>472156.18</v>
      </c>
      <c r="I260" s="2">
        <v>44.89</v>
      </c>
      <c r="J260" s="2">
        <v>35063.03</v>
      </c>
      <c r="K260" s="2">
        <v>2</v>
      </c>
      <c r="L260" s="2">
        <v>6.67</v>
      </c>
      <c r="M260" s="2">
        <v>73</v>
      </c>
    </row>
    <row r="261" spans="1:13" x14ac:dyDescent="0.3">
      <c r="A261" s="3">
        <v>2023</v>
      </c>
      <c r="B261" s="3" t="s">
        <v>9732</v>
      </c>
      <c r="C261" s="3" t="s">
        <v>28</v>
      </c>
      <c r="D261" s="3" t="s">
        <v>39</v>
      </c>
      <c r="E261" s="3">
        <v>160</v>
      </c>
      <c r="F261" s="3">
        <v>1565861.66</v>
      </c>
      <c r="G261" s="3">
        <v>800669.91</v>
      </c>
      <c r="H261" s="3">
        <v>765191.75</v>
      </c>
      <c r="I261" s="3">
        <v>48.87</v>
      </c>
      <c r="J261" s="3">
        <v>9786.64</v>
      </c>
      <c r="K261" s="3">
        <v>9</v>
      </c>
      <c r="L261" s="3">
        <v>5.62</v>
      </c>
      <c r="M261" s="3">
        <v>31</v>
      </c>
    </row>
    <row r="262" spans="1:13" x14ac:dyDescent="0.3">
      <c r="A262" s="2">
        <v>2023</v>
      </c>
      <c r="B262" s="2" t="s">
        <v>9733</v>
      </c>
      <c r="C262" s="2" t="s">
        <v>21</v>
      </c>
      <c r="D262" s="2" t="s">
        <v>22</v>
      </c>
      <c r="E262" s="2">
        <v>281</v>
      </c>
      <c r="F262" s="2">
        <v>3533594.25</v>
      </c>
      <c r="G262" s="2">
        <v>2117816.5</v>
      </c>
      <c r="H262" s="2">
        <v>1415777.75</v>
      </c>
      <c r="I262" s="2">
        <v>40.07</v>
      </c>
      <c r="J262" s="2">
        <v>12575.07</v>
      </c>
      <c r="K262" s="2">
        <v>28</v>
      </c>
      <c r="L262" s="2">
        <v>9.9600000000000009</v>
      </c>
      <c r="M262" s="2">
        <v>50</v>
      </c>
    </row>
    <row r="263" spans="1:13" x14ac:dyDescent="0.3">
      <c r="A263" s="3">
        <v>2023</v>
      </c>
      <c r="B263" s="3" t="s">
        <v>9733</v>
      </c>
      <c r="C263" s="3" t="s">
        <v>21</v>
      </c>
      <c r="D263" s="3" t="s">
        <v>29</v>
      </c>
      <c r="E263" s="3">
        <v>203</v>
      </c>
      <c r="F263" s="3">
        <v>4505653.3</v>
      </c>
      <c r="G263" s="3">
        <v>3117905.43</v>
      </c>
      <c r="H263" s="3">
        <v>1387747.87</v>
      </c>
      <c r="I263" s="3">
        <v>30.8</v>
      </c>
      <c r="J263" s="3">
        <v>22195.34</v>
      </c>
      <c r="K263" s="3">
        <v>24</v>
      </c>
      <c r="L263" s="3">
        <v>11.82</v>
      </c>
      <c r="M263" s="3">
        <v>9</v>
      </c>
    </row>
    <row r="264" spans="1:13" x14ac:dyDescent="0.3">
      <c r="A264" s="2">
        <v>2023</v>
      </c>
      <c r="B264" s="2" t="s">
        <v>9733</v>
      </c>
      <c r="C264" s="2" t="s">
        <v>21</v>
      </c>
      <c r="D264" s="2" t="s">
        <v>14</v>
      </c>
      <c r="E264" s="2">
        <v>190</v>
      </c>
      <c r="F264" s="2">
        <v>3825995.78</v>
      </c>
      <c r="G264" s="2">
        <v>2509231.4</v>
      </c>
      <c r="H264" s="2">
        <v>1316764.3799999999</v>
      </c>
      <c r="I264" s="2">
        <v>34.42</v>
      </c>
      <c r="J264" s="2">
        <v>20136.82</v>
      </c>
      <c r="K264" s="2">
        <v>30</v>
      </c>
      <c r="L264" s="2">
        <v>15.79</v>
      </c>
      <c r="M264" s="2">
        <v>86</v>
      </c>
    </row>
    <row r="265" spans="1:13" x14ac:dyDescent="0.3">
      <c r="A265" s="3">
        <v>2023</v>
      </c>
      <c r="B265" s="3" t="s">
        <v>9733</v>
      </c>
      <c r="C265" s="3" t="s">
        <v>21</v>
      </c>
      <c r="D265" s="3" t="s">
        <v>39</v>
      </c>
      <c r="E265" s="3">
        <v>205</v>
      </c>
      <c r="F265" s="3">
        <v>3360991.28</v>
      </c>
      <c r="G265" s="3">
        <v>1894418.56</v>
      </c>
      <c r="H265" s="3">
        <v>1466572.72</v>
      </c>
      <c r="I265" s="3">
        <v>43.64</v>
      </c>
      <c r="J265" s="3">
        <v>16395.080000000002</v>
      </c>
      <c r="K265" s="3">
        <v>12</v>
      </c>
      <c r="L265" s="3">
        <v>5.85</v>
      </c>
      <c r="M265" s="3">
        <v>43</v>
      </c>
    </row>
    <row r="266" spans="1:13" x14ac:dyDescent="0.3">
      <c r="A266" s="2">
        <v>2023</v>
      </c>
      <c r="B266" s="2" t="s">
        <v>9733</v>
      </c>
      <c r="C266" s="2" t="s">
        <v>19</v>
      </c>
      <c r="D266" s="2" t="s">
        <v>22</v>
      </c>
      <c r="E266" s="2">
        <v>155</v>
      </c>
      <c r="F266" s="2">
        <v>1615912.54</v>
      </c>
      <c r="G266" s="2">
        <v>937461.8</v>
      </c>
      <c r="H266" s="2">
        <v>678450.74</v>
      </c>
      <c r="I266" s="2">
        <v>41.99</v>
      </c>
      <c r="J266" s="2">
        <v>10425.24</v>
      </c>
      <c r="K266" s="2">
        <v>12</v>
      </c>
      <c r="L266" s="2">
        <v>7.74</v>
      </c>
      <c r="M266" s="2">
        <v>51</v>
      </c>
    </row>
    <row r="267" spans="1:13" x14ac:dyDescent="0.3">
      <c r="A267" s="3">
        <v>2023</v>
      </c>
      <c r="B267" s="3" t="s">
        <v>9733</v>
      </c>
      <c r="C267" s="3" t="s">
        <v>19</v>
      </c>
      <c r="D267" s="3" t="s">
        <v>29</v>
      </c>
      <c r="E267" s="3">
        <v>32</v>
      </c>
      <c r="F267" s="3">
        <v>2400780.08</v>
      </c>
      <c r="G267" s="3">
        <v>1564132.1</v>
      </c>
      <c r="H267" s="3">
        <v>836647.98</v>
      </c>
      <c r="I267" s="3">
        <v>34.85</v>
      </c>
      <c r="J267" s="3">
        <v>75024.38</v>
      </c>
      <c r="K267" s="3">
        <v>6</v>
      </c>
      <c r="L267" s="3">
        <v>18.75</v>
      </c>
      <c r="M267" s="3">
        <v>16</v>
      </c>
    </row>
    <row r="268" spans="1:13" x14ac:dyDescent="0.3">
      <c r="A268" s="2">
        <v>2023</v>
      </c>
      <c r="B268" s="2" t="s">
        <v>9733</v>
      </c>
      <c r="C268" s="2" t="s">
        <v>19</v>
      </c>
      <c r="D268" s="2" t="s">
        <v>14</v>
      </c>
      <c r="E268" s="2">
        <v>147</v>
      </c>
      <c r="F268" s="2">
        <v>4383670.76</v>
      </c>
      <c r="G268" s="2">
        <v>2286392.59</v>
      </c>
      <c r="H268" s="2">
        <v>2097278.17</v>
      </c>
      <c r="I268" s="2">
        <v>47.84</v>
      </c>
      <c r="J268" s="2">
        <v>29820.89</v>
      </c>
      <c r="K268" s="2">
        <v>3</v>
      </c>
      <c r="L268" s="2">
        <v>2.04</v>
      </c>
      <c r="M268" s="2">
        <v>88</v>
      </c>
    </row>
    <row r="269" spans="1:13" x14ac:dyDescent="0.3">
      <c r="A269" s="3">
        <v>2023</v>
      </c>
      <c r="B269" s="3" t="s">
        <v>9733</v>
      </c>
      <c r="C269" s="3" t="s">
        <v>19</v>
      </c>
      <c r="D269" s="3" t="s">
        <v>39</v>
      </c>
      <c r="E269" s="3">
        <v>242</v>
      </c>
      <c r="F269" s="3">
        <v>803209.02</v>
      </c>
      <c r="G269" s="3">
        <v>491915.06</v>
      </c>
      <c r="H269" s="3">
        <v>311293.96000000002</v>
      </c>
      <c r="I269" s="3">
        <v>38.76</v>
      </c>
      <c r="J269" s="3">
        <v>3319.05</v>
      </c>
      <c r="K269" s="3">
        <v>9</v>
      </c>
      <c r="L269" s="3">
        <v>3.72</v>
      </c>
      <c r="M269" s="3">
        <v>40</v>
      </c>
    </row>
    <row r="270" spans="1:13" x14ac:dyDescent="0.3">
      <c r="A270" s="2">
        <v>2023</v>
      </c>
      <c r="B270" s="2" t="s">
        <v>9733</v>
      </c>
      <c r="C270" s="2" t="s">
        <v>13</v>
      </c>
      <c r="D270" s="2" t="s">
        <v>22</v>
      </c>
      <c r="E270" s="2">
        <v>295</v>
      </c>
      <c r="F270" s="2">
        <v>1139355.94</v>
      </c>
      <c r="G270" s="2">
        <v>765752.74</v>
      </c>
      <c r="H270" s="2">
        <v>373603.2</v>
      </c>
      <c r="I270" s="2">
        <v>32.79</v>
      </c>
      <c r="J270" s="2">
        <v>3862.22</v>
      </c>
      <c r="K270" s="2">
        <v>15</v>
      </c>
      <c r="L270" s="2">
        <v>5.08</v>
      </c>
      <c r="M270" s="2">
        <v>48</v>
      </c>
    </row>
    <row r="271" spans="1:13" x14ac:dyDescent="0.3">
      <c r="A271" s="3">
        <v>2023</v>
      </c>
      <c r="B271" s="3" t="s">
        <v>9733</v>
      </c>
      <c r="C271" s="3" t="s">
        <v>13</v>
      </c>
      <c r="D271" s="3" t="s">
        <v>29</v>
      </c>
      <c r="E271" s="3">
        <v>132</v>
      </c>
      <c r="F271" s="3">
        <v>3498861.09</v>
      </c>
      <c r="G271" s="3">
        <v>2446201</v>
      </c>
      <c r="H271" s="3">
        <v>1052660.0900000001</v>
      </c>
      <c r="I271" s="3">
        <v>30.09</v>
      </c>
      <c r="J271" s="3">
        <v>26506.52</v>
      </c>
      <c r="K271" s="3">
        <v>17</v>
      </c>
      <c r="L271" s="3">
        <v>12.88</v>
      </c>
      <c r="M271" s="3">
        <v>5</v>
      </c>
    </row>
    <row r="272" spans="1:13" x14ac:dyDescent="0.3">
      <c r="A272" s="2">
        <v>2023</v>
      </c>
      <c r="B272" s="2" t="s">
        <v>9733</v>
      </c>
      <c r="C272" s="2" t="s">
        <v>13</v>
      </c>
      <c r="D272" s="2" t="s">
        <v>14</v>
      </c>
      <c r="E272" s="2">
        <v>289</v>
      </c>
      <c r="F272" s="2">
        <v>535505.27</v>
      </c>
      <c r="G272" s="2">
        <v>371108.3</v>
      </c>
      <c r="H272" s="2">
        <v>164396.97</v>
      </c>
      <c r="I272" s="2">
        <v>30.7</v>
      </c>
      <c r="J272" s="2">
        <v>1852.96</v>
      </c>
      <c r="K272" s="2">
        <v>25</v>
      </c>
      <c r="L272" s="2">
        <v>8.65</v>
      </c>
      <c r="M272" s="2">
        <v>56</v>
      </c>
    </row>
    <row r="273" spans="1:13" x14ac:dyDescent="0.3">
      <c r="A273" s="3">
        <v>2023</v>
      </c>
      <c r="B273" s="3" t="s">
        <v>9733</v>
      </c>
      <c r="C273" s="3" t="s">
        <v>13</v>
      </c>
      <c r="D273" s="3" t="s">
        <v>39</v>
      </c>
      <c r="E273" s="3">
        <v>86</v>
      </c>
      <c r="F273" s="3">
        <v>1207220.83</v>
      </c>
      <c r="G273" s="3">
        <v>758220.61</v>
      </c>
      <c r="H273" s="3">
        <v>449000.22</v>
      </c>
      <c r="I273" s="3">
        <v>37.19</v>
      </c>
      <c r="J273" s="3">
        <v>14037.45</v>
      </c>
      <c r="K273" s="3">
        <v>6</v>
      </c>
      <c r="L273" s="3">
        <v>6.98</v>
      </c>
      <c r="M273" s="3">
        <v>23</v>
      </c>
    </row>
    <row r="274" spans="1:13" x14ac:dyDescent="0.3">
      <c r="A274" s="2">
        <v>2023</v>
      </c>
      <c r="B274" s="2" t="s">
        <v>9733</v>
      </c>
      <c r="C274" s="2" t="s">
        <v>27</v>
      </c>
      <c r="D274" s="2" t="s">
        <v>22</v>
      </c>
      <c r="E274" s="2">
        <v>229</v>
      </c>
      <c r="F274" s="2">
        <v>4966791.7699999996</v>
      </c>
      <c r="G274" s="2">
        <v>3072749.44</v>
      </c>
      <c r="H274" s="2">
        <v>1894042.33</v>
      </c>
      <c r="I274" s="2">
        <v>38.130000000000003</v>
      </c>
      <c r="J274" s="2">
        <v>21689.05</v>
      </c>
      <c r="K274" s="2">
        <v>7</v>
      </c>
      <c r="L274" s="2">
        <v>3.06</v>
      </c>
      <c r="M274" s="2">
        <v>7</v>
      </c>
    </row>
    <row r="275" spans="1:13" x14ac:dyDescent="0.3">
      <c r="A275" s="3">
        <v>2023</v>
      </c>
      <c r="B275" s="3" t="s">
        <v>9733</v>
      </c>
      <c r="C275" s="3" t="s">
        <v>27</v>
      </c>
      <c r="D275" s="3" t="s">
        <v>29</v>
      </c>
      <c r="E275" s="3">
        <v>24</v>
      </c>
      <c r="F275" s="3">
        <v>702525.68</v>
      </c>
      <c r="G275" s="3">
        <v>413876.37</v>
      </c>
      <c r="H275" s="3">
        <v>288649.31</v>
      </c>
      <c r="I275" s="3">
        <v>41.09</v>
      </c>
      <c r="J275" s="3">
        <v>29271.9</v>
      </c>
      <c r="K275" s="3">
        <v>0</v>
      </c>
      <c r="L275" s="3">
        <v>0</v>
      </c>
      <c r="M275" s="3">
        <v>54</v>
      </c>
    </row>
    <row r="276" spans="1:13" x14ac:dyDescent="0.3">
      <c r="A276" s="2">
        <v>2023</v>
      </c>
      <c r="B276" s="2" t="s">
        <v>9733</v>
      </c>
      <c r="C276" s="2" t="s">
        <v>27</v>
      </c>
      <c r="D276" s="2" t="s">
        <v>14</v>
      </c>
      <c r="E276" s="2">
        <v>170</v>
      </c>
      <c r="F276" s="2">
        <v>2255986.7000000002</v>
      </c>
      <c r="G276" s="2">
        <v>1511212.03</v>
      </c>
      <c r="H276" s="2">
        <v>744774.67</v>
      </c>
      <c r="I276" s="2">
        <v>33.01</v>
      </c>
      <c r="J276" s="2">
        <v>13270.51</v>
      </c>
      <c r="K276" s="2">
        <v>23</v>
      </c>
      <c r="L276" s="2">
        <v>13.53</v>
      </c>
      <c r="M276" s="2">
        <v>45</v>
      </c>
    </row>
    <row r="277" spans="1:13" x14ac:dyDescent="0.3">
      <c r="A277" s="3">
        <v>2023</v>
      </c>
      <c r="B277" s="3" t="s">
        <v>9733</v>
      </c>
      <c r="C277" s="3" t="s">
        <v>27</v>
      </c>
      <c r="D277" s="3" t="s">
        <v>39</v>
      </c>
      <c r="E277" s="3">
        <v>290</v>
      </c>
      <c r="F277" s="3">
        <v>226987.18</v>
      </c>
      <c r="G277" s="3">
        <v>146973.44</v>
      </c>
      <c r="H277" s="3">
        <v>80013.740000000005</v>
      </c>
      <c r="I277" s="3">
        <v>35.25</v>
      </c>
      <c r="J277" s="3">
        <v>782.71</v>
      </c>
      <c r="K277" s="3">
        <v>23</v>
      </c>
      <c r="L277" s="3">
        <v>7.93</v>
      </c>
      <c r="M277" s="3">
        <v>92</v>
      </c>
    </row>
    <row r="278" spans="1:13" x14ac:dyDescent="0.3">
      <c r="A278" s="2">
        <v>2023</v>
      </c>
      <c r="B278" s="2" t="s">
        <v>9733</v>
      </c>
      <c r="C278" s="2" t="s">
        <v>28</v>
      </c>
      <c r="D278" s="2" t="s">
        <v>22</v>
      </c>
      <c r="E278" s="2">
        <v>70</v>
      </c>
      <c r="F278" s="2">
        <v>3717507.79</v>
      </c>
      <c r="G278" s="2">
        <v>2526940.0699999998</v>
      </c>
      <c r="H278" s="2">
        <v>1190567.72</v>
      </c>
      <c r="I278" s="2">
        <v>32.03</v>
      </c>
      <c r="J278" s="2">
        <v>53107.25</v>
      </c>
      <c r="K278" s="2">
        <v>8</v>
      </c>
      <c r="L278" s="2">
        <v>11.43</v>
      </c>
      <c r="M278" s="2">
        <v>44</v>
      </c>
    </row>
    <row r="279" spans="1:13" x14ac:dyDescent="0.3">
      <c r="A279" s="3">
        <v>2023</v>
      </c>
      <c r="B279" s="3" t="s">
        <v>9733</v>
      </c>
      <c r="C279" s="3" t="s">
        <v>28</v>
      </c>
      <c r="D279" s="3" t="s">
        <v>29</v>
      </c>
      <c r="E279" s="3">
        <v>56</v>
      </c>
      <c r="F279" s="3">
        <v>3676260.26</v>
      </c>
      <c r="G279" s="3">
        <v>2181011.09</v>
      </c>
      <c r="H279" s="3">
        <v>1495249.17</v>
      </c>
      <c r="I279" s="3">
        <v>40.67</v>
      </c>
      <c r="J279" s="3">
        <v>65647.5</v>
      </c>
      <c r="K279" s="3">
        <v>24</v>
      </c>
      <c r="L279" s="3">
        <v>42.86</v>
      </c>
      <c r="M279" s="3">
        <v>64</v>
      </c>
    </row>
    <row r="280" spans="1:13" x14ac:dyDescent="0.3">
      <c r="A280" s="2">
        <v>2023</v>
      </c>
      <c r="B280" s="2" t="s">
        <v>9733</v>
      </c>
      <c r="C280" s="2" t="s">
        <v>28</v>
      </c>
      <c r="D280" s="2" t="s">
        <v>14</v>
      </c>
      <c r="E280" s="2">
        <v>100</v>
      </c>
      <c r="F280" s="2">
        <v>3613810.44</v>
      </c>
      <c r="G280" s="2">
        <v>2451064.71</v>
      </c>
      <c r="H280" s="2">
        <v>1162745.73</v>
      </c>
      <c r="I280" s="2">
        <v>32.18</v>
      </c>
      <c r="J280" s="2">
        <v>36138.1</v>
      </c>
      <c r="K280" s="2">
        <v>30</v>
      </c>
      <c r="L280" s="2">
        <v>30</v>
      </c>
      <c r="M280" s="2">
        <v>96</v>
      </c>
    </row>
    <row r="281" spans="1:13" x14ac:dyDescent="0.3">
      <c r="A281" s="3">
        <v>2023</v>
      </c>
      <c r="B281" s="3" t="s">
        <v>9733</v>
      </c>
      <c r="C281" s="3" t="s">
        <v>28</v>
      </c>
      <c r="D281" s="3" t="s">
        <v>39</v>
      </c>
      <c r="E281" s="3">
        <v>297</v>
      </c>
      <c r="F281" s="3">
        <v>4052709.56</v>
      </c>
      <c r="G281" s="3">
        <v>2509638.52</v>
      </c>
      <c r="H281" s="3">
        <v>1543071.04</v>
      </c>
      <c r="I281" s="3">
        <v>38.08</v>
      </c>
      <c r="J281" s="3">
        <v>13645.49</v>
      </c>
      <c r="K281" s="3">
        <v>12</v>
      </c>
      <c r="L281" s="3">
        <v>4.04</v>
      </c>
      <c r="M281" s="3">
        <v>56</v>
      </c>
    </row>
    <row r="282" spans="1:13" x14ac:dyDescent="0.3">
      <c r="A282" s="2">
        <v>2023</v>
      </c>
      <c r="B282" s="2" t="s">
        <v>9734</v>
      </c>
      <c r="C282" s="2" t="s">
        <v>21</v>
      </c>
      <c r="D282" s="2" t="s">
        <v>22</v>
      </c>
      <c r="E282" s="2">
        <v>243</v>
      </c>
      <c r="F282" s="2">
        <v>823972.21</v>
      </c>
      <c r="G282" s="2">
        <v>496587.6</v>
      </c>
      <c r="H282" s="2">
        <v>327384.61</v>
      </c>
      <c r="I282" s="2">
        <v>39.729999999999997</v>
      </c>
      <c r="J282" s="2">
        <v>3390.83</v>
      </c>
      <c r="K282" s="2">
        <v>18</v>
      </c>
      <c r="L282" s="2">
        <v>7.41</v>
      </c>
      <c r="M282" s="2">
        <v>81</v>
      </c>
    </row>
    <row r="283" spans="1:13" x14ac:dyDescent="0.3">
      <c r="A283" s="3">
        <v>2023</v>
      </c>
      <c r="B283" s="3" t="s">
        <v>9734</v>
      </c>
      <c r="C283" s="3" t="s">
        <v>21</v>
      </c>
      <c r="D283" s="3" t="s">
        <v>29</v>
      </c>
      <c r="E283" s="3">
        <v>256</v>
      </c>
      <c r="F283" s="3">
        <v>2581423.08</v>
      </c>
      <c r="G283" s="3">
        <v>1388293.26</v>
      </c>
      <c r="H283" s="3">
        <v>1193129.82</v>
      </c>
      <c r="I283" s="3">
        <v>46.22</v>
      </c>
      <c r="J283" s="3">
        <v>10083.68</v>
      </c>
      <c r="K283" s="3">
        <v>16</v>
      </c>
      <c r="L283" s="3">
        <v>6.25</v>
      </c>
      <c r="M283" s="3">
        <v>86</v>
      </c>
    </row>
    <row r="284" spans="1:13" x14ac:dyDescent="0.3">
      <c r="A284" s="2">
        <v>2023</v>
      </c>
      <c r="B284" s="2" t="s">
        <v>9734</v>
      </c>
      <c r="C284" s="2" t="s">
        <v>21</v>
      </c>
      <c r="D284" s="2" t="s">
        <v>14</v>
      </c>
      <c r="E284" s="2">
        <v>160</v>
      </c>
      <c r="F284" s="2">
        <v>998348.95</v>
      </c>
      <c r="G284" s="2">
        <v>625723.43000000005</v>
      </c>
      <c r="H284" s="2">
        <v>372625.52</v>
      </c>
      <c r="I284" s="2">
        <v>37.32</v>
      </c>
      <c r="J284" s="2">
        <v>6239.68</v>
      </c>
      <c r="K284" s="2">
        <v>30</v>
      </c>
      <c r="L284" s="2">
        <v>18.75</v>
      </c>
      <c r="M284" s="2">
        <v>65</v>
      </c>
    </row>
    <row r="285" spans="1:13" x14ac:dyDescent="0.3">
      <c r="A285" s="3">
        <v>2023</v>
      </c>
      <c r="B285" s="3" t="s">
        <v>9734</v>
      </c>
      <c r="C285" s="3" t="s">
        <v>21</v>
      </c>
      <c r="D285" s="3" t="s">
        <v>39</v>
      </c>
      <c r="E285" s="3">
        <v>241</v>
      </c>
      <c r="F285" s="3">
        <v>3819741.6</v>
      </c>
      <c r="G285" s="3">
        <v>1957374.68</v>
      </c>
      <c r="H285" s="3">
        <v>1862366.92</v>
      </c>
      <c r="I285" s="3">
        <v>48.76</v>
      </c>
      <c r="J285" s="3">
        <v>15849.55</v>
      </c>
      <c r="K285" s="3">
        <v>13</v>
      </c>
      <c r="L285" s="3">
        <v>5.39</v>
      </c>
      <c r="M285" s="3">
        <v>7</v>
      </c>
    </row>
    <row r="286" spans="1:13" x14ac:dyDescent="0.3">
      <c r="A286" s="2">
        <v>2023</v>
      </c>
      <c r="B286" s="2" t="s">
        <v>9734</v>
      </c>
      <c r="C286" s="2" t="s">
        <v>19</v>
      </c>
      <c r="D286" s="2" t="s">
        <v>22</v>
      </c>
      <c r="E286" s="2">
        <v>104</v>
      </c>
      <c r="F286" s="2">
        <v>3019789.68</v>
      </c>
      <c r="G286" s="2">
        <v>1874372.84</v>
      </c>
      <c r="H286" s="2">
        <v>1145416.8400000001</v>
      </c>
      <c r="I286" s="2">
        <v>37.93</v>
      </c>
      <c r="J286" s="2">
        <v>29036.44</v>
      </c>
      <c r="K286" s="2">
        <v>0</v>
      </c>
      <c r="L286" s="2">
        <v>0</v>
      </c>
      <c r="M286" s="2">
        <v>49</v>
      </c>
    </row>
    <row r="287" spans="1:13" x14ac:dyDescent="0.3">
      <c r="A287" s="3">
        <v>2023</v>
      </c>
      <c r="B287" s="3" t="s">
        <v>9734</v>
      </c>
      <c r="C287" s="3" t="s">
        <v>19</v>
      </c>
      <c r="D287" s="3" t="s">
        <v>29</v>
      </c>
      <c r="E287" s="3">
        <v>81</v>
      </c>
      <c r="F287" s="3">
        <v>815027.17</v>
      </c>
      <c r="G287" s="3">
        <v>418047.32</v>
      </c>
      <c r="H287" s="3">
        <v>396979.85</v>
      </c>
      <c r="I287" s="3">
        <v>48.71</v>
      </c>
      <c r="J287" s="3">
        <v>10062.06</v>
      </c>
      <c r="K287" s="3">
        <v>16</v>
      </c>
      <c r="L287" s="3">
        <v>19.75</v>
      </c>
      <c r="M287" s="3">
        <v>14</v>
      </c>
    </row>
    <row r="288" spans="1:13" x14ac:dyDescent="0.3">
      <c r="A288" s="2">
        <v>2023</v>
      </c>
      <c r="B288" s="2" t="s">
        <v>9734</v>
      </c>
      <c r="C288" s="2" t="s">
        <v>19</v>
      </c>
      <c r="D288" s="2" t="s">
        <v>14</v>
      </c>
      <c r="E288" s="2">
        <v>50</v>
      </c>
      <c r="F288" s="2">
        <v>4652774.88</v>
      </c>
      <c r="G288" s="2">
        <v>3044896.43</v>
      </c>
      <c r="H288" s="2">
        <v>1607878.45</v>
      </c>
      <c r="I288" s="2">
        <v>34.56</v>
      </c>
      <c r="J288" s="2">
        <v>93055.5</v>
      </c>
      <c r="K288" s="2">
        <v>16</v>
      </c>
      <c r="L288" s="2">
        <v>32</v>
      </c>
      <c r="M288" s="2">
        <v>38</v>
      </c>
    </row>
    <row r="289" spans="1:13" x14ac:dyDescent="0.3">
      <c r="A289" s="3">
        <v>2023</v>
      </c>
      <c r="B289" s="3" t="s">
        <v>9734</v>
      </c>
      <c r="C289" s="3" t="s">
        <v>19</v>
      </c>
      <c r="D289" s="3" t="s">
        <v>39</v>
      </c>
      <c r="E289" s="3">
        <v>155</v>
      </c>
      <c r="F289" s="3">
        <v>3995802.99</v>
      </c>
      <c r="G289" s="3">
        <v>2323308.71</v>
      </c>
      <c r="H289" s="3">
        <v>1672494.28</v>
      </c>
      <c r="I289" s="3">
        <v>41.86</v>
      </c>
      <c r="J289" s="3">
        <v>25779.37</v>
      </c>
      <c r="K289" s="3">
        <v>25</v>
      </c>
      <c r="L289" s="3">
        <v>16.13</v>
      </c>
      <c r="M289" s="3">
        <v>22</v>
      </c>
    </row>
    <row r="290" spans="1:13" x14ac:dyDescent="0.3">
      <c r="A290" s="2">
        <v>2023</v>
      </c>
      <c r="B290" s="2" t="s">
        <v>9734</v>
      </c>
      <c r="C290" s="2" t="s">
        <v>13</v>
      </c>
      <c r="D290" s="2" t="s">
        <v>22</v>
      </c>
      <c r="E290" s="2">
        <v>175</v>
      </c>
      <c r="F290" s="2">
        <v>3184580.96</v>
      </c>
      <c r="G290" s="2">
        <v>1928858.55</v>
      </c>
      <c r="H290" s="2">
        <v>1255722.4099999999</v>
      </c>
      <c r="I290" s="2">
        <v>39.43</v>
      </c>
      <c r="J290" s="2">
        <v>18197.61</v>
      </c>
      <c r="K290" s="2">
        <v>4</v>
      </c>
      <c r="L290" s="2">
        <v>2.29</v>
      </c>
      <c r="M290" s="2">
        <v>59</v>
      </c>
    </row>
    <row r="291" spans="1:13" x14ac:dyDescent="0.3">
      <c r="A291" s="3">
        <v>2023</v>
      </c>
      <c r="B291" s="3" t="s">
        <v>9734</v>
      </c>
      <c r="C291" s="3" t="s">
        <v>13</v>
      </c>
      <c r="D291" s="3" t="s">
        <v>29</v>
      </c>
      <c r="E291" s="3">
        <v>201</v>
      </c>
      <c r="F291" s="3">
        <v>715981.78</v>
      </c>
      <c r="G291" s="3">
        <v>398080.49</v>
      </c>
      <c r="H291" s="3">
        <v>317901.28999999998</v>
      </c>
      <c r="I291" s="3">
        <v>44.4</v>
      </c>
      <c r="J291" s="3">
        <v>3562.1</v>
      </c>
      <c r="K291" s="3">
        <v>1</v>
      </c>
      <c r="L291" s="3">
        <v>0.5</v>
      </c>
      <c r="M291" s="3">
        <v>44</v>
      </c>
    </row>
    <row r="292" spans="1:13" x14ac:dyDescent="0.3">
      <c r="A292" s="2">
        <v>2023</v>
      </c>
      <c r="B292" s="2" t="s">
        <v>9734</v>
      </c>
      <c r="C292" s="2" t="s">
        <v>13</v>
      </c>
      <c r="D292" s="2" t="s">
        <v>14</v>
      </c>
      <c r="E292" s="2">
        <v>41</v>
      </c>
      <c r="F292" s="2">
        <v>1955697.32</v>
      </c>
      <c r="G292" s="2">
        <v>1063619.45</v>
      </c>
      <c r="H292" s="2">
        <v>892077.87</v>
      </c>
      <c r="I292" s="2">
        <v>45.61</v>
      </c>
      <c r="J292" s="2">
        <v>47699.93</v>
      </c>
      <c r="K292" s="2">
        <v>11</v>
      </c>
      <c r="L292" s="2">
        <v>26.83</v>
      </c>
      <c r="M292" s="2">
        <v>98</v>
      </c>
    </row>
    <row r="293" spans="1:13" x14ac:dyDescent="0.3">
      <c r="A293" s="3">
        <v>2023</v>
      </c>
      <c r="B293" s="3" t="s">
        <v>9734</v>
      </c>
      <c r="C293" s="3" t="s">
        <v>13</v>
      </c>
      <c r="D293" s="3" t="s">
        <v>39</v>
      </c>
      <c r="E293" s="3">
        <v>94</v>
      </c>
      <c r="F293" s="3">
        <v>2840595.59</v>
      </c>
      <c r="G293" s="3">
        <v>1638770.66</v>
      </c>
      <c r="H293" s="3">
        <v>1201824.93</v>
      </c>
      <c r="I293" s="3">
        <v>42.31</v>
      </c>
      <c r="J293" s="3">
        <v>30219.1</v>
      </c>
      <c r="K293" s="3">
        <v>29</v>
      </c>
      <c r="L293" s="3">
        <v>30.85</v>
      </c>
      <c r="M293" s="3">
        <v>15</v>
      </c>
    </row>
    <row r="294" spans="1:13" x14ac:dyDescent="0.3">
      <c r="A294" s="2">
        <v>2023</v>
      </c>
      <c r="B294" s="2" t="s">
        <v>9734</v>
      </c>
      <c r="C294" s="2" t="s">
        <v>27</v>
      </c>
      <c r="D294" s="2" t="s">
        <v>22</v>
      </c>
      <c r="E294" s="2">
        <v>27</v>
      </c>
      <c r="F294" s="2">
        <v>1019569.74</v>
      </c>
      <c r="G294" s="2">
        <v>542366.03</v>
      </c>
      <c r="H294" s="2">
        <v>477203.71</v>
      </c>
      <c r="I294" s="2">
        <v>46.8</v>
      </c>
      <c r="J294" s="2">
        <v>37761.839999999997</v>
      </c>
      <c r="K294" s="2">
        <v>23</v>
      </c>
      <c r="L294" s="2">
        <v>85.19</v>
      </c>
      <c r="M294" s="2">
        <v>90</v>
      </c>
    </row>
    <row r="295" spans="1:13" x14ac:dyDescent="0.3">
      <c r="A295" s="3">
        <v>2023</v>
      </c>
      <c r="B295" s="3" t="s">
        <v>9734</v>
      </c>
      <c r="C295" s="3" t="s">
        <v>27</v>
      </c>
      <c r="D295" s="3" t="s">
        <v>29</v>
      </c>
      <c r="E295" s="3">
        <v>72</v>
      </c>
      <c r="F295" s="3">
        <v>1869694.37</v>
      </c>
      <c r="G295" s="3">
        <v>1044929.08</v>
      </c>
      <c r="H295" s="3">
        <v>824765.29</v>
      </c>
      <c r="I295" s="3">
        <v>44.11</v>
      </c>
      <c r="J295" s="3">
        <v>25967.98</v>
      </c>
      <c r="K295" s="3">
        <v>19</v>
      </c>
      <c r="L295" s="3">
        <v>26.39</v>
      </c>
      <c r="M295" s="3">
        <v>96</v>
      </c>
    </row>
    <row r="296" spans="1:13" x14ac:dyDescent="0.3">
      <c r="A296" s="2">
        <v>2023</v>
      </c>
      <c r="B296" s="2" t="s">
        <v>9734</v>
      </c>
      <c r="C296" s="2" t="s">
        <v>27</v>
      </c>
      <c r="D296" s="2" t="s">
        <v>14</v>
      </c>
      <c r="E296" s="2">
        <v>190</v>
      </c>
      <c r="F296" s="2">
        <v>4093456.6</v>
      </c>
      <c r="G296" s="2">
        <v>2104807.04</v>
      </c>
      <c r="H296" s="2">
        <v>1988649.56</v>
      </c>
      <c r="I296" s="2">
        <v>48.58</v>
      </c>
      <c r="J296" s="2">
        <v>21544.51</v>
      </c>
      <c r="K296" s="2">
        <v>17</v>
      </c>
      <c r="L296" s="2">
        <v>8.9499999999999993</v>
      </c>
      <c r="M296" s="2">
        <v>45</v>
      </c>
    </row>
    <row r="297" spans="1:13" x14ac:dyDescent="0.3">
      <c r="A297" s="3">
        <v>2023</v>
      </c>
      <c r="B297" s="3" t="s">
        <v>9734</v>
      </c>
      <c r="C297" s="3" t="s">
        <v>27</v>
      </c>
      <c r="D297" s="3" t="s">
        <v>39</v>
      </c>
      <c r="E297" s="3">
        <v>23</v>
      </c>
      <c r="F297" s="3">
        <v>618241.56000000006</v>
      </c>
      <c r="G297" s="3">
        <v>432067.72</v>
      </c>
      <c r="H297" s="3">
        <v>186173.84</v>
      </c>
      <c r="I297" s="3">
        <v>30.11</v>
      </c>
      <c r="J297" s="3">
        <v>26880.07</v>
      </c>
      <c r="K297" s="3">
        <v>16</v>
      </c>
      <c r="L297" s="3">
        <v>69.569999999999993</v>
      </c>
      <c r="M297" s="3">
        <v>31</v>
      </c>
    </row>
    <row r="298" spans="1:13" x14ac:dyDescent="0.3">
      <c r="A298" s="2">
        <v>2023</v>
      </c>
      <c r="B298" s="2" t="s">
        <v>9734</v>
      </c>
      <c r="C298" s="2" t="s">
        <v>28</v>
      </c>
      <c r="D298" s="2" t="s">
        <v>22</v>
      </c>
      <c r="E298" s="2">
        <v>283</v>
      </c>
      <c r="F298" s="2">
        <v>2904152.22</v>
      </c>
      <c r="G298" s="2">
        <v>1551466.34</v>
      </c>
      <c r="H298" s="2">
        <v>1352685.88</v>
      </c>
      <c r="I298" s="2">
        <v>46.58</v>
      </c>
      <c r="J298" s="2">
        <v>10262.02</v>
      </c>
      <c r="K298" s="2">
        <v>30</v>
      </c>
      <c r="L298" s="2">
        <v>10.6</v>
      </c>
      <c r="M298" s="2">
        <v>13</v>
      </c>
    </row>
    <row r="299" spans="1:13" x14ac:dyDescent="0.3">
      <c r="A299" s="3">
        <v>2023</v>
      </c>
      <c r="B299" s="3" t="s">
        <v>9734</v>
      </c>
      <c r="C299" s="3" t="s">
        <v>28</v>
      </c>
      <c r="D299" s="3" t="s">
        <v>29</v>
      </c>
      <c r="E299" s="3">
        <v>230</v>
      </c>
      <c r="F299" s="3">
        <v>4524219.17</v>
      </c>
      <c r="G299" s="3">
        <v>2504163.0499999998</v>
      </c>
      <c r="H299" s="3">
        <v>2020056.12</v>
      </c>
      <c r="I299" s="3">
        <v>44.65</v>
      </c>
      <c r="J299" s="3">
        <v>19670.52</v>
      </c>
      <c r="K299" s="3">
        <v>0</v>
      </c>
      <c r="L299" s="3">
        <v>0</v>
      </c>
      <c r="M299" s="3">
        <v>20</v>
      </c>
    </row>
    <row r="300" spans="1:13" x14ac:dyDescent="0.3">
      <c r="A300" s="2">
        <v>2023</v>
      </c>
      <c r="B300" s="2" t="s">
        <v>9734</v>
      </c>
      <c r="C300" s="2" t="s">
        <v>28</v>
      </c>
      <c r="D300" s="2" t="s">
        <v>14</v>
      </c>
      <c r="E300" s="2">
        <v>224</v>
      </c>
      <c r="F300" s="2">
        <v>3877389.25</v>
      </c>
      <c r="G300" s="2">
        <v>2569837.64</v>
      </c>
      <c r="H300" s="2">
        <v>1307551.6100000001</v>
      </c>
      <c r="I300" s="2">
        <v>33.72</v>
      </c>
      <c r="J300" s="2">
        <v>17309.77</v>
      </c>
      <c r="K300" s="2">
        <v>8</v>
      </c>
      <c r="L300" s="2">
        <v>3.57</v>
      </c>
      <c r="M300" s="2">
        <v>20</v>
      </c>
    </row>
    <row r="301" spans="1:13" x14ac:dyDescent="0.3">
      <c r="A301" s="3">
        <v>2023</v>
      </c>
      <c r="B301" s="3" t="s">
        <v>9734</v>
      </c>
      <c r="C301" s="3" t="s">
        <v>28</v>
      </c>
      <c r="D301" s="3" t="s">
        <v>39</v>
      </c>
      <c r="E301" s="3">
        <v>288</v>
      </c>
      <c r="F301" s="3">
        <v>1230084.18</v>
      </c>
      <c r="G301" s="3">
        <v>771321.78</v>
      </c>
      <c r="H301" s="3">
        <v>458762.4</v>
      </c>
      <c r="I301" s="3">
        <v>37.299999999999997</v>
      </c>
      <c r="J301" s="3">
        <v>4271.13</v>
      </c>
      <c r="K301" s="3">
        <v>16</v>
      </c>
      <c r="L301" s="3">
        <v>5.56</v>
      </c>
      <c r="M301" s="3">
        <v>39</v>
      </c>
    </row>
    <row r="302" spans="1:13" x14ac:dyDescent="0.3">
      <c r="A302" s="2">
        <v>2023</v>
      </c>
      <c r="B302" s="2" t="s">
        <v>9735</v>
      </c>
      <c r="C302" s="2" t="s">
        <v>21</v>
      </c>
      <c r="D302" s="2" t="s">
        <v>22</v>
      </c>
      <c r="E302" s="2">
        <v>87</v>
      </c>
      <c r="F302" s="2">
        <v>3082847.69</v>
      </c>
      <c r="G302" s="2">
        <v>1959812.87</v>
      </c>
      <c r="H302" s="2">
        <v>1123034.82</v>
      </c>
      <c r="I302" s="2">
        <v>36.43</v>
      </c>
      <c r="J302" s="2">
        <v>35435.03</v>
      </c>
      <c r="K302" s="2">
        <v>20</v>
      </c>
      <c r="L302" s="2">
        <v>22.99</v>
      </c>
      <c r="M302" s="2">
        <v>58</v>
      </c>
    </row>
    <row r="303" spans="1:13" x14ac:dyDescent="0.3">
      <c r="A303" s="3">
        <v>2023</v>
      </c>
      <c r="B303" s="3" t="s">
        <v>9735</v>
      </c>
      <c r="C303" s="3" t="s">
        <v>21</v>
      </c>
      <c r="D303" s="3" t="s">
        <v>29</v>
      </c>
      <c r="E303" s="3">
        <v>129</v>
      </c>
      <c r="F303" s="3">
        <v>4951136.72</v>
      </c>
      <c r="G303" s="3">
        <v>2945256.37</v>
      </c>
      <c r="H303" s="3">
        <v>2005880.35</v>
      </c>
      <c r="I303" s="3">
        <v>40.51</v>
      </c>
      <c r="J303" s="3">
        <v>38380.9</v>
      </c>
      <c r="K303" s="3">
        <v>13</v>
      </c>
      <c r="L303" s="3">
        <v>10.08</v>
      </c>
      <c r="M303" s="3">
        <v>87</v>
      </c>
    </row>
    <row r="304" spans="1:13" x14ac:dyDescent="0.3">
      <c r="A304" s="2">
        <v>2023</v>
      </c>
      <c r="B304" s="2" t="s">
        <v>9735</v>
      </c>
      <c r="C304" s="2" t="s">
        <v>21</v>
      </c>
      <c r="D304" s="2" t="s">
        <v>14</v>
      </c>
      <c r="E304" s="2">
        <v>65</v>
      </c>
      <c r="F304" s="2">
        <v>2861734.94</v>
      </c>
      <c r="G304" s="2">
        <v>1555330.78</v>
      </c>
      <c r="H304" s="2">
        <v>1306404.1599999999</v>
      </c>
      <c r="I304" s="2">
        <v>45.65</v>
      </c>
      <c r="J304" s="2">
        <v>44026.69</v>
      </c>
      <c r="K304" s="2">
        <v>3</v>
      </c>
      <c r="L304" s="2">
        <v>4.62</v>
      </c>
      <c r="M304" s="2">
        <v>44</v>
      </c>
    </row>
    <row r="305" spans="1:13" x14ac:dyDescent="0.3">
      <c r="A305" s="3">
        <v>2023</v>
      </c>
      <c r="B305" s="3" t="s">
        <v>9735</v>
      </c>
      <c r="C305" s="3" t="s">
        <v>21</v>
      </c>
      <c r="D305" s="3" t="s">
        <v>39</v>
      </c>
      <c r="E305" s="3">
        <v>55</v>
      </c>
      <c r="F305" s="3">
        <v>515737.91</v>
      </c>
      <c r="G305" s="3">
        <v>351705.18</v>
      </c>
      <c r="H305" s="3">
        <v>164032.73000000001</v>
      </c>
      <c r="I305" s="3">
        <v>31.81</v>
      </c>
      <c r="J305" s="3">
        <v>9377.0499999999993</v>
      </c>
      <c r="K305" s="3">
        <v>26</v>
      </c>
      <c r="L305" s="3">
        <v>47.27</v>
      </c>
      <c r="M305" s="3">
        <v>84</v>
      </c>
    </row>
    <row r="306" spans="1:13" x14ac:dyDescent="0.3">
      <c r="A306" s="2">
        <v>2023</v>
      </c>
      <c r="B306" s="2" t="s">
        <v>9735</v>
      </c>
      <c r="C306" s="2" t="s">
        <v>19</v>
      </c>
      <c r="D306" s="2" t="s">
        <v>22</v>
      </c>
      <c r="E306" s="2">
        <v>170</v>
      </c>
      <c r="F306" s="2">
        <v>3375603.93</v>
      </c>
      <c r="G306" s="2">
        <v>2089317.66</v>
      </c>
      <c r="H306" s="2">
        <v>1286286.27</v>
      </c>
      <c r="I306" s="2">
        <v>38.11</v>
      </c>
      <c r="J306" s="2">
        <v>19856.490000000002</v>
      </c>
      <c r="K306" s="2">
        <v>18</v>
      </c>
      <c r="L306" s="2">
        <v>10.59</v>
      </c>
      <c r="M306" s="2">
        <v>83</v>
      </c>
    </row>
    <row r="307" spans="1:13" x14ac:dyDescent="0.3">
      <c r="A307" s="3">
        <v>2023</v>
      </c>
      <c r="B307" s="3" t="s">
        <v>9735</v>
      </c>
      <c r="C307" s="3" t="s">
        <v>19</v>
      </c>
      <c r="D307" s="3" t="s">
        <v>29</v>
      </c>
      <c r="E307" s="3">
        <v>23</v>
      </c>
      <c r="F307" s="3">
        <v>3351600.28</v>
      </c>
      <c r="G307" s="3">
        <v>1951855.25</v>
      </c>
      <c r="H307" s="3">
        <v>1399745.03</v>
      </c>
      <c r="I307" s="3">
        <v>41.76</v>
      </c>
      <c r="J307" s="3">
        <v>145721.75</v>
      </c>
      <c r="K307" s="3">
        <v>19</v>
      </c>
      <c r="L307" s="3">
        <v>82.61</v>
      </c>
      <c r="M307" s="3">
        <v>100</v>
      </c>
    </row>
    <row r="308" spans="1:13" x14ac:dyDescent="0.3">
      <c r="A308" s="2">
        <v>2023</v>
      </c>
      <c r="B308" s="2" t="s">
        <v>9735</v>
      </c>
      <c r="C308" s="2" t="s">
        <v>19</v>
      </c>
      <c r="D308" s="2" t="s">
        <v>14</v>
      </c>
      <c r="E308" s="2">
        <v>300</v>
      </c>
      <c r="F308" s="2">
        <v>4770268.7699999996</v>
      </c>
      <c r="G308" s="2">
        <v>2866327.44</v>
      </c>
      <c r="H308" s="2">
        <v>1903941.33</v>
      </c>
      <c r="I308" s="2">
        <v>39.909999999999997</v>
      </c>
      <c r="J308" s="2">
        <v>15900.9</v>
      </c>
      <c r="K308" s="2">
        <v>13</v>
      </c>
      <c r="L308" s="2">
        <v>4.33</v>
      </c>
      <c r="M308" s="2">
        <v>38</v>
      </c>
    </row>
    <row r="309" spans="1:13" x14ac:dyDescent="0.3">
      <c r="A309" s="3">
        <v>2023</v>
      </c>
      <c r="B309" s="3" t="s">
        <v>9735</v>
      </c>
      <c r="C309" s="3" t="s">
        <v>19</v>
      </c>
      <c r="D309" s="3" t="s">
        <v>39</v>
      </c>
      <c r="E309" s="3">
        <v>50</v>
      </c>
      <c r="F309" s="3">
        <v>2515769.46</v>
      </c>
      <c r="G309" s="3">
        <v>1454308.26</v>
      </c>
      <c r="H309" s="3">
        <v>1061461.2</v>
      </c>
      <c r="I309" s="3">
        <v>42.19</v>
      </c>
      <c r="J309" s="3">
        <v>50315.39</v>
      </c>
      <c r="K309" s="3">
        <v>17</v>
      </c>
      <c r="L309" s="3">
        <v>34</v>
      </c>
      <c r="M309" s="3">
        <v>44</v>
      </c>
    </row>
    <row r="310" spans="1:13" x14ac:dyDescent="0.3">
      <c r="A310" s="2">
        <v>2023</v>
      </c>
      <c r="B310" s="2" t="s">
        <v>9735</v>
      </c>
      <c r="C310" s="2" t="s">
        <v>13</v>
      </c>
      <c r="D310" s="2" t="s">
        <v>22</v>
      </c>
      <c r="E310" s="2">
        <v>46</v>
      </c>
      <c r="F310" s="2">
        <v>1389103.08</v>
      </c>
      <c r="G310" s="2">
        <v>874298.83</v>
      </c>
      <c r="H310" s="2">
        <v>514804.25</v>
      </c>
      <c r="I310" s="2">
        <v>37.06</v>
      </c>
      <c r="J310" s="2">
        <v>30197.89</v>
      </c>
      <c r="K310" s="2">
        <v>26</v>
      </c>
      <c r="L310" s="2">
        <v>56.52</v>
      </c>
      <c r="M310" s="2">
        <v>16</v>
      </c>
    </row>
    <row r="311" spans="1:13" x14ac:dyDescent="0.3">
      <c r="A311" s="3">
        <v>2023</v>
      </c>
      <c r="B311" s="3" t="s">
        <v>9735</v>
      </c>
      <c r="C311" s="3" t="s">
        <v>13</v>
      </c>
      <c r="D311" s="3" t="s">
        <v>29</v>
      </c>
      <c r="E311" s="3">
        <v>233</v>
      </c>
      <c r="F311" s="3">
        <v>3593822.42</v>
      </c>
      <c r="G311" s="3">
        <v>1953448.85</v>
      </c>
      <c r="H311" s="3">
        <v>1640373.57</v>
      </c>
      <c r="I311" s="3">
        <v>45.64</v>
      </c>
      <c r="J311" s="3">
        <v>15424.13</v>
      </c>
      <c r="K311" s="3">
        <v>21</v>
      </c>
      <c r="L311" s="3">
        <v>9.01</v>
      </c>
      <c r="M311" s="3">
        <v>12</v>
      </c>
    </row>
    <row r="312" spans="1:13" x14ac:dyDescent="0.3">
      <c r="A312" s="2">
        <v>2023</v>
      </c>
      <c r="B312" s="2" t="s">
        <v>9735</v>
      </c>
      <c r="C312" s="2" t="s">
        <v>13</v>
      </c>
      <c r="D312" s="2" t="s">
        <v>14</v>
      </c>
      <c r="E312" s="2">
        <v>82</v>
      </c>
      <c r="F312" s="2">
        <v>2184023.9900000002</v>
      </c>
      <c r="G312" s="2">
        <v>1200384.29</v>
      </c>
      <c r="H312" s="2">
        <v>983639.7</v>
      </c>
      <c r="I312" s="2">
        <v>45.04</v>
      </c>
      <c r="J312" s="2">
        <v>26634.44</v>
      </c>
      <c r="K312" s="2">
        <v>28</v>
      </c>
      <c r="L312" s="2">
        <v>34.15</v>
      </c>
      <c r="M312" s="2">
        <v>17</v>
      </c>
    </row>
    <row r="313" spans="1:13" x14ac:dyDescent="0.3">
      <c r="A313" s="3">
        <v>2023</v>
      </c>
      <c r="B313" s="3" t="s">
        <v>9735</v>
      </c>
      <c r="C313" s="3" t="s">
        <v>13</v>
      </c>
      <c r="D313" s="3" t="s">
        <v>39</v>
      </c>
      <c r="E313" s="3">
        <v>137</v>
      </c>
      <c r="F313" s="3">
        <v>3013682.15</v>
      </c>
      <c r="G313" s="3">
        <v>1639605.99</v>
      </c>
      <c r="H313" s="3">
        <v>1374076.16</v>
      </c>
      <c r="I313" s="3">
        <v>45.59</v>
      </c>
      <c r="J313" s="3">
        <v>21997.68</v>
      </c>
      <c r="K313" s="3">
        <v>15</v>
      </c>
      <c r="L313" s="3">
        <v>10.95</v>
      </c>
      <c r="M313" s="3">
        <v>29</v>
      </c>
    </row>
    <row r="314" spans="1:13" x14ac:dyDescent="0.3">
      <c r="A314" s="2">
        <v>2023</v>
      </c>
      <c r="B314" s="2" t="s">
        <v>9735</v>
      </c>
      <c r="C314" s="2" t="s">
        <v>27</v>
      </c>
      <c r="D314" s="2" t="s">
        <v>22</v>
      </c>
      <c r="E314" s="2">
        <v>225</v>
      </c>
      <c r="F314" s="2">
        <v>426018.92</v>
      </c>
      <c r="G314" s="2">
        <v>295828.33</v>
      </c>
      <c r="H314" s="2">
        <v>130190.59</v>
      </c>
      <c r="I314" s="2">
        <v>30.56</v>
      </c>
      <c r="J314" s="2">
        <v>1893.42</v>
      </c>
      <c r="K314" s="2">
        <v>17</v>
      </c>
      <c r="L314" s="2">
        <v>7.56</v>
      </c>
      <c r="M314" s="2">
        <v>42</v>
      </c>
    </row>
    <row r="315" spans="1:13" x14ac:dyDescent="0.3">
      <c r="A315" s="3">
        <v>2023</v>
      </c>
      <c r="B315" s="3" t="s">
        <v>9735</v>
      </c>
      <c r="C315" s="3" t="s">
        <v>27</v>
      </c>
      <c r="D315" s="3" t="s">
        <v>29</v>
      </c>
      <c r="E315" s="3">
        <v>154</v>
      </c>
      <c r="F315" s="3">
        <v>3216734.47</v>
      </c>
      <c r="G315" s="3">
        <v>1982157.56</v>
      </c>
      <c r="H315" s="3">
        <v>1234576.9099999999</v>
      </c>
      <c r="I315" s="3">
        <v>38.380000000000003</v>
      </c>
      <c r="J315" s="3">
        <v>20887.89</v>
      </c>
      <c r="K315" s="3">
        <v>29</v>
      </c>
      <c r="L315" s="3">
        <v>18.829999999999998</v>
      </c>
      <c r="M315" s="3">
        <v>69</v>
      </c>
    </row>
    <row r="316" spans="1:13" x14ac:dyDescent="0.3">
      <c r="A316" s="2">
        <v>2023</v>
      </c>
      <c r="B316" s="2" t="s">
        <v>9735</v>
      </c>
      <c r="C316" s="2" t="s">
        <v>27</v>
      </c>
      <c r="D316" s="2" t="s">
        <v>14</v>
      </c>
      <c r="E316" s="2">
        <v>123</v>
      </c>
      <c r="F316" s="2">
        <v>1889708.14</v>
      </c>
      <c r="G316" s="2">
        <v>1286747.71</v>
      </c>
      <c r="H316" s="2">
        <v>602960.43000000005</v>
      </c>
      <c r="I316" s="2">
        <v>31.91</v>
      </c>
      <c r="J316" s="2">
        <v>15363.48</v>
      </c>
      <c r="K316" s="2">
        <v>9</v>
      </c>
      <c r="L316" s="2">
        <v>7.32</v>
      </c>
      <c r="M316" s="2">
        <v>88</v>
      </c>
    </row>
    <row r="317" spans="1:13" x14ac:dyDescent="0.3">
      <c r="A317" s="3">
        <v>2023</v>
      </c>
      <c r="B317" s="3" t="s">
        <v>9735</v>
      </c>
      <c r="C317" s="3" t="s">
        <v>27</v>
      </c>
      <c r="D317" s="3" t="s">
        <v>39</v>
      </c>
      <c r="E317" s="3">
        <v>157</v>
      </c>
      <c r="F317" s="3">
        <v>2656559.9</v>
      </c>
      <c r="G317" s="3">
        <v>1435143.53</v>
      </c>
      <c r="H317" s="3">
        <v>1221416.3700000001</v>
      </c>
      <c r="I317" s="3">
        <v>45.98</v>
      </c>
      <c r="J317" s="3">
        <v>16920.759999999998</v>
      </c>
      <c r="K317" s="3">
        <v>27</v>
      </c>
      <c r="L317" s="3">
        <v>17.2</v>
      </c>
      <c r="M317" s="3">
        <v>22</v>
      </c>
    </row>
    <row r="318" spans="1:13" x14ac:dyDescent="0.3">
      <c r="A318" s="2">
        <v>2023</v>
      </c>
      <c r="B318" s="2" t="s">
        <v>9735</v>
      </c>
      <c r="C318" s="2" t="s">
        <v>28</v>
      </c>
      <c r="D318" s="2" t="s">
        <v>22</v>
      </c>
      <c r="E318" s="2">
        <v>157</v>
      </c>
      <c r="F318" s="2">
        <v>3833460.98</v>
      </c>
      <c r="G318" s="2">
        <v>2298189.84</v>
      </c>
      <c r="H318" s="2">
        <v>1535271.14</v>
      </c>
      <c r="I318" s="2">
        <v>40.049999999999997</v>
      </c>
      <c r="J318" s="2">
        <v>24416.95</v>
      </c>
      <c r="K318" s="2">
        <v>23</v>
      </c>
      <c r="L318" s="2">
        <v>14.65</v>
      </c>
      <c r="M318" s="2">
        <v>52</v>
      </c>
    </row>
    <row r="319" spans="1:13" x14ac:dyDescent="0.3">
      <c r="A319" s="3">
        <v>2023</v>
      </c>
      <c r="B319" s="3" t="s">
        <v>9735</v>
      </c>
      <c r="C319" s="3" t="s">
        <v>28</v>
      </c>
      <c r="D319" s="3" t="s">
        <v>29</v>
      </c>
      <c r="E319" s="3">
        <v>74</v>
      </c>
      <c r="F319" s="3">
        <v>4009428.7</v>
      </c>
      <c r="G319" s="3">
        <v>2551497.96</v>
      </c>
      <c r="H319" s="3">
        <v>1457930.74</v>
      </c>
      <c r="I319" s="3">
        <v>36.36</v>
      </c>
      <c r="J319" s="3">
        <v>54181.47</v>
      </c>
      <c r="K319" s="3">
        <v>9</v>
      </c>
      <c r="L319" s="3">
        <v>12.16</v>
      </c>
      <c r="M319" s="3">
        <v>76</v>
      </c>
    </row>
    <row r="320" spans="1:13" x14ac:dyDescent="0.3">
      <c r="A320" s="2">
        <v>2023</v>
      </c>
      <c r="B320" s="2" t="s">
        <v>9735</v>
      </c>
      <c r="C320" s="2" t="s">
        <v>28</v>
      </c>
      <c r="D320" s="2" t="s">
        <v>14</v>
      </c>
      <c r="E320" s="2">
        <v>257</v>
      </c>
      <c r="F320" s="2">
        <v>3212160.88</v>
      </c>
      <c r="G320" s="2">
        <v>1788218.79</v>
      </c>
      <c r="H320" s="2">
        <v>1423942.09</v>
      </c>
      <c r="I320" s="2">
        <v>44.33</v>
      </c>
      <c r="J320" s="2">
        <v>12498.68</v>
      </c>
      <c r="K320" s="2">
        <v>22</v>
      </c>
      <c r="L320" s="2">
        <v>8.56</v>
      </c>
      <c r="M320" s="2">
        <v>43</v>
      </c>
    </row>
    <row r="321" spans="1:13" x14ac:dyDescent="0.3">
      <c r="A321" s="3">
        <v>2023</v>
      </c>
      <c r="B321" s="3" t="s">
        <v>9735</v>
      </c>
      <c r="C321" s="3" t="s">
        <v>28</v>
      </c>
      <c r="D321" s="3" t="s">
        <v>39</v>
      </c>
      <c r="E321" s="3">
        <v>29</v>
      </c>
      <c r="F321" s="3">
        <v>4798544.82</v>
      </c>
      <c r="G321" s="3">
        <v>2450941.8199999998</v>
      </c>
      <c r="H321" s="3">
        <v>2347603</v>
      </c>
      <c r="I321" s="3">
        <v>48.92</v>
      </c>
      <c r="J321" s="3">
        <v>165467.06</v>
      </c>
      <c r="K321" s="3">
        <v>24</v>
      </c>
      <c r="L321" s="3">
        <v>82.76</v>
      </c>
      <c r="M321" s="3">
        <v>99</v>
      </c>
    </row>
    <row r="322" spans="1:13" x14ac:dyDescent="0.3">
      <c r="A322" s="2">
        <v>2023</v>
      </c>
      <c r="B322" s="2" t="s">
        <v>9736</v>
      </c>
      <c r="C322" s="2" t="s">
        <v>21</v>
      </c>
      <c r="D322" s="2" t="s">
        <v>22</v>
      </c>
      <c r="E322" s="2">
        <v>161</v>
      </c>
      <c r="F322" s="2">
        <v>4510395.8499999996</v>
      </c>
      <c r="G322" s="2">
        <v>2787147.43</v>
      </c>
      <c r="H322" s="2">
        <v>1723248.42</v>
      </c>
      <c r="I322" s="2">
        <v>38.21</v>
      </c>
      <c r="J322" s="2">
        <v>28014.880000000001</v>
      </c>
      <c r="K322" s="2">
        <v>6</v>
      </c>
      <c r="L322" s="2">
        <v>3.73</v>
      </c>
      <c r="M322" s="2">
        <v>36</v>
      </c>
    </row>
    <row r="323" spans="1:13" x14ac:dyDescent="0.3">
      <c r="A323" s="3">
        <v>2023</v>
      </c>
      <c r="B323" s="3" t="s">
        <v>9736</v>
      </c>
      <c r="C323" s="3" t="s">
        <v>21</v>
      </c>
      <c r="D323" s="3" t="s">
        <v>29</v>
      </c>
      <c r="E323" s="3">
        <v>269</v>
      </c>
      <c r="F323" s="3">
        <v>298222.34999999998</v>
      </c>
      <c r="G323" s="3">
        <v>187038.67</v>
      </c>
      <c r="H323" s="3">
        <v>111183.67999999999</v>
      </c>
      <c r="I323" s="3">
        <v>37.28</v>
      </c>
      <c r="J323" s="3">
        <v>1108.6300000000001</v>
      </c>
      <c r="K323" s="3">
        <v>14</v>
      </c>
      <c r="L323" s="3">
        <v>5.2</v>
      </c>
      <c r="M323" s="3">
        <v>26</v>
      </c>
    </row>
    <row r="324" spans="1:13" x14ac:dyDescent="0.3">
      <c r="A324" s="2">
        <v>2023</v>
      </c>
      <c r="B324" s="2" t="s">
        <v>9736</v>
      </c>
      <c r="C324" s="2" t="s">
        <v>21</v>
      </c>
      <c r="D324" s="2" t="s">
        <v>14</v>
      </c>
      <c r="E324" s="2">
        <v>222</v>
      </c>
      <c r="F324" s="2">
        <v>739962.1</v>
      </c>
      <c r="G324" s="2">
        <v>498281.52</v>
      </c>
      <c r="H324" s="2">
        <v>241680.58</v>
      </c>
      <c r="I324" s="2">
        <v>32.659999999999997</v>
      </c>
      <c r="J324" s="2">
        <v>3333.16</v>
      </c>
      <c r="K324" s="2">
        <v>26</v>
      </c>
      <c r="L324" s="2">
        <v>11.71</v>
      </c>
      <c r="M324" s="2">
        <v>35</v>
      </c>
    </row>
    <row r="325" spans="1:13" x14ac:dyDescent="0.3">
      <c r="A325" s="3">
        <v>2023</v>
      </c>
      <c r="B325" s="3" t="s">
        <v>9736</v>
      </c>
      <c r="C325" s="3" t="s">
        <v>21</v>
      </c>
      <c r="D325" s="3" t="s">
        <v>39</v>
      </c>
      <c r="E325" s="3">
        <v>54</v>
      </c>
      <c r="F325" s="3">
        <v>1723780.79</v>
      </c>
      <c r="G325" s="3">
        <v>1021116.77</v>
      </c>
      <c r="H325" s="3">
        <v>702664.02</v>
      </c>
      <c r="I325" s="3">
        <v>40.76</v>
      </c>
      <c r="J325" s="3">
        <v>31921.87</v>
      </c>
      <c r="K325" s="3">
        <v>13</v>
      </c>
      <c r="L325" s="3">
        <v>24.07</v>
      </c>
      <c r="M325" s="3">
        <v>16</v>
      </c>
    </row>
    <row r="326" spans="1:13" x14ac:dyDescent="0.3">
      <c r="A326" s="2">
        <v>2023</v>
      </c>
      <c r="B326" s="2" t="s">
        <v>9736</v>
      </c>
      <c r="C326" s="2" t="s">
        <v>19</v>
      </c>
      <c r="D326" s="2" t="s">
        <v>22</v>
      </c>
      <c r="E326" s="2">
        <v>200</v>
      </c>
      <c r="F326" s="2">
        <v>2337334.2999999998</v>
      </c>
      <c r="G326" s="2">
        <v>1634696.22</v>
      </c>
      <c r="H326" s="2">
        <v>702638.07999999996</v>
      </c>
      <c r="I326" s="2">
        <v>30.06</v>
      </c>
      <c r="J326" s="2">
        <v>11686.67</v>
      </c>
      <c r="K326" s="2">
        <v>25</v>
      </c>
      <c r="L326" s="2">
        <v>12.5</v>
      </c>
      <c r="M326" s="2">
        <v>33</v>
      </c>
    </row>
    <row r="327" spans="1:13" x14ac:dyDescent="0.3">
      <c r="A327" s="3">
        <v>2023</v>
      </c>
      <c r="B327" s="3" t="s">
        <v>9736</v>
      </c>
      <c r="C327" s="3" t="s">
        <v>19</v>
      </c>
      <c r="D327" s="3" t="s">
        <v>29</v>
      </c>
      <c r="E327" s="3">
        <v>199</v>
      </c>
      <c r="F327" s="3">
        <v>1670449.12</v>
      </c>
      <c r="G327" s="3">
        <v>871310.05</v>
      </c>
      <c r="H327" s="3">
        <v>799139.07</v>
      </c>
      <c r="I327" s="3">
        <v>47.84</v>
      </c>
      <c r="J327" s="3">
        <v>8394.2199999999993</v>
      </c>
      <c r="K327" s="3">
        <v>7</v>
      </c>
      <c r="L327" s="3">
        <v>3.52</v>
      </c>
      <c r="M327" s="3">
        <v>53</v>
      </c>
    </row>
    <row r="328" spans="1:13" x14ac:dyDescent="0.3">
      <c r="A328" s="2">
        <v>2023</v>
      </c>
      <c r="B328" s="2" t="s">
        <v>9736</v>
      </c>
      <c r="C328" s="2" t="s">
        <v>19</v>
      </c>
      <c r="D328" s="2" t="s">
        <v>14</v>
      </c>
      <c r="E328" s="2">
        <v>151</v>
      </c>
      <c r="F328" s="2">
        <v>3945679.9</v>
      </c>
      <c r="G328" s="2">
        <v>2161988.1800000002</v>
      </c>
      <c r="H328" s="2">
        <v>1783691.72</v>
      </c>
      <c r="I328" s="2">
        <v>45.21</v>
      </c>
      <c r="J328" s="2">
        <v>26130.33</v>
      </c>
      <c r="K328" s="2">
        <v>0</v>
      </c>
      <c r="L328" s="2">
        <v>0</v>
      </c>
      <c r="M328" s="2">
        <v>17</v>
      </c>
    </row>
    <row r="329" spans="1:13" x14ac:dyDescent="0.3">
      <c r="A329" s="3">
        <v>2023</v>
      </c>
      <c r="B329" s="3" t="s">
        <v>9736</v>
      </c>
      <c r="C329" s="3" t="s">
        <v>19</v>
      </c>
      <c r="D329" s="3" t="s">
        <v>39</v>
      </c>
      <c r="E329" s="3">
        <v>216</v>
      </c>
      <c r="F329" s="3">
        <v>4015197.26</v>
      </c>
      <c r="G329" s="3">
        <v>2555125.91</v>
      </c>
      <c r="H329" s="3">
        <v>1460071.35</v>
      </c>
      <c r="I329" s="3">
        <v>36.36</v>
      </c>
      <c r="J329" s="3">
        <v>18588.88</v>
      </c>
      <c r="K329" s="3">
        <v>23</v>
      </c>
      <c r="L329" s="3">
        <v>10.65</v>
      </c>
      <c r="M329" s="3">
        <v>52</v>
      </c>
    </row>
    <row r="330" spans="1:13" x14ac:dyDescent="0.3">
      <c r="A330" s="2">
        <v>2023</v>
      </c>
      <c r="B330" s="2" t="s">
        <v>9736</v>
      </c>
      <c r="C330" s="2" t="s">
        <v>13</v>
      </c>
      <c r="D330" s="2" t="s">
        <v>22</v>
      </c>
      <c r="E330" s="2">
        <v>91</v>
      </c>
      <c r="F330" s="2">
        <v>2852960.6</v>
      </c>
      <c r="G330" s="2">
        <v>1913616</v>
      </c>
      <c r="H330" s="2">
        <v>939344.6</v>
      </c>
      <c r="I330" s="2">
        <v>32.93</v>
      </c>
      <c r="J330" s="2">
        <v>31351.22</v>
      </c>
      <c r="K330" s="2">
        <v>13</v>
      </c>
      <c r="L330" s="2">
        <v>14.29</v>
      </c>
      <c r="M330" s="2">
        <v>61</v>
      </c>
    </row>
    <row r="331" spans="1:13" x14ac:dyDescent="0.3">
      <c r="A331" s="3">
        <v>2023</v>
      </c>
      <c r="B331" s="3" t="s">
        <v>9736</v>
      </c>
      <c r="C331" s="3" t="s">
        <v>13</v>
      </c>
      <c r="D331" s="3" t="s">
        <v>29</v>
      </c>
      <c r="E331" s="3">
        <v>103</v>
      </c>
      <c r="F331" s="3">
        <v>1578593.16</v>
      </c>
      <c r="G331" s="3">
        <v>864099.34</v>
      </c>
      <c r="H331" s="3">
        <v>714493.82</v>
      </c>
      <c r="I331" s="3">
        <v>45.26</v>
      </c>
      <c r="J331" s="3">
        <v>15326.15</v>
      </c>
      <c r="K331" s="3">
        <v>20</v>
      </c>
      <c r="L331" s="3">
        <v>19.420000000000002</v>
      </c>
      <c r="M331" s="3">
        <v>67</v>
      </c>
    </row>
    <row r="332" spans="1:13" x14ac:dyDescent="0.3">
      <c r="A332" s="2">
        <v>2023</v>
      </c>
      <c r="B332" s="2" t="s">
        <v>9736</v>
      </c>
      <c r="C332" s="2" t="s">
        <v>13</v>
      </c>
      <c r="D332" s="2" t="s">
        <v>14</v>
      </c>
      <c r="E332" s="2">
        <v>36</v>
      </c>
      <c r="F332" s="2">
        <v>453215.72</v>
      </c>
      <c r="G332" s="2">
        <v>282083.74</v>
      </c>
      <c r="H332" s="2">
        <v>171131.98</v>
      </c>
      <c r="I332" s="2">
        <v>37.76</v>
      </c>
      <c r="J332" s="2">
        <v>12589.33</v>
      </c>
      <c r="K332" s="2">
        <v>14</v>
      </c>
      <c r="L332" s="2">
        <v>38.89</v>
      </c>
      <c r="M332" s="2">
        <v>78</v>
      </c>
    </row>
    <row r="333" spans="1:13" x14ac:dyDescent="0.3">
      <c r="A333" s="3">
        <v>2023</v>
      </c>
      <c r="B333" s="3" t="s">
        <v>9736</v>
      </c>
      <c r="C333" s="3" t="s">
        <v>13</v>
      </c>
      <c r="D333" s="3" t="s">
        <v>39</v>
      </c>
      <c r="E333" s="3">
        <v>70</v>
      </c>
      <c r="F333" s="3">
        <v>4786882.34</v>
      </c>
      <c r="G333" s="3">
        <v>3144955.52</v>
      </c>
      <c r="H333" s="3">
        <v>1641926.82</v>
      </c>
      <c r="I333" s="3">
        <v>34.299999999999997</v>
      </c>
      <c r="J333" s="3">
        <v>68384.03</v>
      </c>
      <c r="K333" s="3">
        <v>5</v>
      </c>
      <c r="L333" s="3">
        <v>7.14</v>
      </c>
      <c r="M333" s="3">
        <v>100</v>
      </c>
    </row>
    <row r="334" spans="1:13" x14ac:dyDescent="0.3">
      <c r="A334" s="2">
        <v>2023</v>
      </c>
      <c r="B334" s="2" t="s">
        <v>9736</v>
      </c>
      <c r="C334" s="2" t="s">
        <v>27</v>
      </c>
      <c r="D334" s="2" t="s">
        <v>22</v>
      </c>
      <c r="E334" s="2">
        <v>212</v>
      </c>
      <c r="F334" s="2">
        <v>3103154.73</v>
      </c>
      <c r="G334" s="2">
        <v>2091848.01</v>
      </c>
      <c r="H334" s="2">
        <v>1011306.72</v>
      </c>
      <c r="I334" s="2">
        <v>32.590000000000003</v>
      </c>
      <c r="J334" s="2">
        <v>14637.52</v>
      </c>
      <c r="K334" s="2">
        <v>25</v>
      </c>
      <c r="L334" s="2">
        <v>11.79</v>
      </c>
      <c r="M334" s="2">
        <v>44</v>
      </c>
    </row>
    <row r="335" spans="1:13" x14ac:dyDescent="0.3">
      <c r="A335" s="3">
        <v>2023</v>
      </c>
      <c r="B335" s="3" t="s">
        <v>9736</v>
      </c>
      <c r="C335" s="3" t="s">
        <v>27</v>
      </c>
      <c r="D335" s="3" t="s">
        <v>29</v>
      </c>
      <c r="E335" s="3">
        <v>95</v>
      </c>
      <c r="F335" s="3">
        <v>2560712.36</v>
      </c>
      <c r="G335" s="3">
        <v>1706181.08</v>
      </c>
      <c r="H335" s="3">
        <v>854531.28</v>
      </c>
      <c r="I335" s="3">
        <v>33.369999999999997</v>
      </c>
      <c r="J335" s="3">
        <v>26954.87</v>
      </c>
      <c r="K335" s="3">
        <v>12</v>
      </c>
      <c r="L335" s="3">
        <v>12.63</v>
      </c>
      <c r="M335" s="3">
        <v>55</v>
      </c>
    </row>
    <row r="336" spans="1:13" x14ac:dyDescent="0.3">
      <c r="A336" s="2">
        <v>2023</v>
      </c>
      <c r="B336" s="2" t="s">
        <v>9736</v>
      </c>
      <c r="C336" s="2" t="s">
        <v>27</v>
      </c>
      <c r="D336" s="2" t="s">
        <v>14</v>
      </c>
      <c r="E336" s="2">
        <v>36</v>
      </c>
      <c r="F336" s="2">
        <v>1395491.02</v>
      </c>
      <c r="G336" s="2">
        <v>764715.91</v>
      </c>
      <c r="H336" s="2">
        <v>630775.11</v>
      </c>
      <c r="I336" s="2">
        <v>45.2</v>
      </c>
      <c r="J336" s="2">
        <v>38763.64</v>
      </c>
      <c r="K336" s="2">
        <v>20</v>
      </c>
      <c r="L336" s="2">
        <v>55.56</v>
      </c>
      <c r="M336" s="2">
        <v>60</v>
      </c>
    </row>
    <row r="337" spans="1:13" x14ac:dyDescent="0.3">
      <c r="A337" s="3">
        <v>2023</v>
      </c>
      <c r="B337" s="3" t="s">
        <v>9736</v>
      </c>
      <c r="C337" s="3" t="s">
        <v>27</v>
      </c>
      <c r="D337" s="3" t="s">
        <v>39</v>
      </c>
      <c r="E337" s="3">
        <v>165</v>
      </c>
      <c r="F337" s="3">
        <v>1077240.23</v>
      </c>
      <c r="G337" s="3">
        <v>594133.81000000006</v>
      </c>
      <c r="H337" s="3">
        <v>483106.42</v>
      </c>
      <c r="I337" s="3">
        <v>44.85</v>
      </c>
      <c r="J337" s="3">
        <v>6528.73</v>
      </c>
      <c r="K337" s="3">
        <v>23</v>
      </c>
      <c r="L337" s="3">
        <v>13.94</v>
      </c>
      <c r="M337" s="3">
        <v>83</v>
      </c>
    </row>
    <row r="338" spans="1:13" x14ac:dyDescent="0.3">
      <c r="A338" s="2">
        <v>2023</v>
      </c>
      <c r="B338" s="2" t="s">
        <v>9736</v>
      </c>
      <c r="C338" s="2" t="s">
        <v>28</v>
      </c>
      <c r="D338" s="2" t="s">
        <v>22</v>
      </c>
      <c r="E338" s="2">
        <v>259</v>
      </c>
      <c r="F338" s="2">
        <v>3830464.33</v>
      </c>
      <c r="G338" s="2">
        <v>2381273.98</v>
      </c>
      <c r="H338" s="2">
        <v>1449190.35</v>
      </c>
      <c r="I338" s="2">
        <v>37.83</v>
      </c>
      <c r="J338" s="2">
        <v>14789.44</v>
      </c>
      <c r="K338" s="2">
        <v>29</v>
      </c>
      <c r="L338" s="2">
        <v>11.2</v>
      </c>
      <c r="M338" s="2">
        <v>88</v>
      </c>
    </row>
    <row r="339" spans="1:13" x14ac:dyDescent="0.3">
      <c r="A339" s="3">
        <v>2023</v>
      </c>
      <c r="B339" s="3" t="s">
        <v>9736</v>
      </c>
      <c r="C339" s="3" t="s">
        <v>28</v>
      </c>
      <c r="D339" s="3" t="s">
        <v>29</v>
      </c>
      <c r="E339" s="3">
        <v>275</v>
      </c>
      <c r="F339" s="3">
        <v>4647426.54</v>
      </c>
      <c r="G339" s="3">
        <v>2748237.24</v>
      </c>
      <c r="H339" s="3">
        <v>1899189.3</v>
      </c>
      <c r="I339" s="3">
        <v>40.869999999999997</v>
      </c>
      <c r="J339" s="3">
        <v>16899.73</v>
      </c>
      <c r="K339" s="3">
        <v>26</v>
      </c>
      <c r="L339" s="3">
        <v>9.4499999999999993</v>
      </c>
      <c r="M339" s="3">
        <v>17</v>
      </c>
    </row>
    <row r="340" spans="1:13" x14ac:dyDescent="0.3">
      <c r="A340" s="2">
        <v>2023</v>
      </c>
      <c r="B340" s="2" t="s">
        <v>9736</v>
      </c>
      <c r="C340" s="2" t="s">
        <v>28</v>
      </c>
      <c r="D340" s="2" t="s">
        <v>14</v>
      </c>
      <c r="E340" s="2">
        <v>181</v>
      </c>
      <c r="F340" s="2">
        <v>2233471.54</v>
      </c>
      <c r="G340" s="2">
        <v>1137054.31</v>
      </c>
      <c r="H340" s="2">
        <v>1096417.23</v>
      </c>
      <c r="I340" s="2">
        <v>49.09</v>
      </c>
      <c r="J340" s="2">
        <v>12339.62</v>
      </c>
      <c r="K340" s="2">
        <v>15</v>
      </c>
      <c r="L340" s="2">
        <v>8.2899999999999991</v>
      </c>
      <c r="M340" s="2">
        <v>89</v>
      </c>
    </row>
    <row r="341" spans="1:13" x14ac:dyDescent="0.3">
      <c r="A341" s="3">
        <v>2023</v>
      </c>
      <c r="B341" s="3" t="s">
        <v>9736</v>
      </c>
      <c r="C341" s="3" t="s">
        <v>28</v>
      </c>
      <c r="D341" s="3" t="s">
        <v>39</v>
      </c>
      <c r="E341" s="3">
        <v>23</v>
      </c>
      <c r="F341" s="3">
        <v>137263.12</v>
      </c>
      <c r="G341" s="3">
        <v>88884.34</v>
      </c>
      <c r="H341" s="3">
        <v>48378.78</v>
      </c>
      <c r="I341" s="3">
        <v>35.25</v>
      </c>
      <c r="J341" s="3">
        <v>5967.96</v>
      </c>
      <c r="K341" s="3">
        <v>2</v>
      </c>
      <c r="L341" s="3">
        <v>8.6999999999999993</v>
      </c>
      <c r="M341" s="3">
        <v>27</v>
      </c>
    </row>
    <row r="342" spans="1:13" x14ac:dyDescent="0.3">
      <c r="A342" s="2">
        <v>2023</v>
      </c>
      <c r="B342" s="2" t="s">
        <v>9737</v>
      </c>
      <c r="C342" s="2" t="s">
        <v>21</v>
      </c>
      <c r="D342" s="2" t="s">
        <v>22</v>
      </c>
      <c r="E342" s="2">
        <v>30</v>
      </c>
      <c r="F342" s="2">
        <v>158043.72</v>
      </c>
      <c r="G342" s="2">
        <v>88493.119999999995</v>
      </c>
      <c r="H342" s="2">
        <v>69550.600000000006</v>
      </c>
      <c r="I342" s="2">
        <v>44.01</v>
      </c>
      <c r="J342" s="2">
        <v>5268.12</v>
      </c>
      <c r="K342" s="2">
        <v>2</v>
      </c>
      <c r="L342" s="2">
        <v>6.67</v>
      </c>
      <c r="M342" s="2">
        <v>76</v>
      </c>
    </row>
    <row r="343" spans="1:13" x14ac:dyDescent="0.3">
      <c r="A343" s="3">
        <v>2023</v>
      </c>
      <c r="B343" s="3" t="s">
        <v>9737</v>
      </c>
      <c r="C343" s="3" t="s">
        <v>21</v>
      </c>
      <c r="D343" s="3" t="s">
        <v>29</v>
      </c>
      <c r="E343" s="3">
        <v>62</v>
      </c>
      <c r="F343" s="3">
        <v>4703790.41</v>
      </c>
      <c r="G343" s="3">
        <v>2366202.58</v>
      </c>
      <c r="H343" s="3">
        <v>2337587.83</v>
      </c>
      <c r="I343" s="3">
        <v>49.7</v>
      </c>
      <c r="J343" s="3">
        <v>75867.59</v>
      </c>
      <c r="K343" s="3">
        <v>16</v>
      </c>
      <c r="L343" s="3">
        <v>25.81</v>
      </c>
      <c r="M343" s="3">
        <v>25</v>
      </c>
    </row>
    <row r="344" spans="1:13" x14ac:dyDescent="0.3">
      <c r="A344" s="2">
        <v>2023</v>
      </c>
      <c r="B344" s="2" t="s">
        <v>9737</v>
      </c>
      <c r="C344" s="2" t="s">
        <v>21</v>
      </c>
      <c r="D344" s="2" t="s">
        <v>14</v>
      </c>
      <c r="E344" s="2">
        <v>206</v>
      </c>
      <c r="F344" s="2">
        <v>3501882.95</v>
      </c>
      <c r="G344" s="2">
        <v>2440345.56</v>
      </c>
      <c r="H344" s="2">
        <v>1061537.3899999999</v>
      </c>
      <c r="I344" s="2">
        <v>30.31</v>
      </c>
      <c r="J344" s="2">
        <v>16999.43</v>
      </c>
      <c r="K344" s="2">
        <v>6</v>
      </c>
      <c r="L344" s="2">
        <v>2.91</v>
      </c>
      <c r="M344" s="2">
        <v>44</v>
      </c>
    </row>
    <row r="345" spans="1:13" x14ac:dyDescent="0.3">
      <c r="A345" s="3">
        <v>2023</v>
      </c>
      <c r="B345" s="3" t="s">
        <v>9737</v>
      </c>
      <c r="C345" s="3" t="s">
        <v>21</v>
      </c>
      <c r="D345" s="3" t="s">
        <v>39</v>
      </c>
      <c r="E345" s="3">
        <v>132</v>
      </c>
      <c r="F345" s="3">
        <v>2029940.07</v>
      </c>
      <c r="G345" s="3">
        <v>1386576.96</v>
      </c>
      <c r="H345" s="3">
        <v>643363.11</v>
      </c>
      <c r="I345" s="3">
        <v>31.69</v>
      </c>
      <c r="J345" s="3">
        <v>15378.33</v>
      </c>
      <c r="K345" s="3">
        <v>27</v>
      </c>
      <c r="L345" s="3">
        <v>20.45</v>
      </c>
      <c r="M345" s="3">
        <v>83</v>
      </c>
    </row>
    <row r="346" spans="1:13" x14ac:dyDescent="0.3">
      <c r="A346" s="2">
        <v>2023</v>
      </c>
      <c r="B346" s="2" t="s">
        <v>9737</v>
      </c>
      <c r="C346" s="2" t="s">
        <v>19</v>
      </c>
      <c r="D346" s="2" t="s">
        <v>22</v>
      </c>
      <c r="E346" s="2">
        <v>166</v>
      </c>
      <c r="F346" s="2">
        <v>2264857.39</v>
      </c>
      <c r="G346" s="2">
        <v>1213308.43</v>
      </c>
      <c r="H346" s="2">
        <v>1051548.96</v>
      </c>
      <c r="I346" s="2">
        <v>46.43</v>
      </c>
      <c r="J346" s="2">
        <v>13643.72</v>
      </c>
      <c r="K346" s="2">
        <v>3</v>
      </c>
      <c r="L346" s="2">
        <v>1.81</v>
      </c>
      <c r="M346" s="2">
        <v>87</v>
      </c>
    </row>
    <row r="347" spans="1:13" x14ac:dyDescent="0.3">
      <c r="A347" s="3">
        <v>2023</v>
      </c>
      <c r="B347" s="3" t="s">
        <v>9737</v>
      </c>
      <c r="C347" s="3" t="s">
        <v>19</v>
      </c>
      <c r="D347" s="3" t="s">
        <v>29</v>
      </c>
      <c r="E347" s="3">
        <v>228</v>
      </c>
      <c r="F347" s="3">
        <v>960955.03</v>
      </c>
      <c r="G347" s="3">
        <v>525457.56999999995</v>
      </c>
      <c r="H347" s="3">
        <v>435497.46</v>
      </c>
      <c r="I347" s="3">
        <v>45.32</v>
      </c>
      <c r="J347" s="3">
        <v>4214.72</v>
      </c>
      <c r="K347" s="3">
        <v>10</v>
      </c>
      <c r="L347" s="3">
        <v>4.3899999999999997</v>
      </c>
      <c r="M347" s="3">
        <v>77</v>
      </c>
    </row>
    <row r="348" spans="1:13" x14ac:dyDescent="0.3">
      <c r="A348" s="2">
        <v>2023</v>
      </c>
      <c r="B348" s="2" t="s">
        <v>9737</v>
      </c>
      <c r="C348" s="2" t="s">
        <v>19</v>
      </c>
      <c r="D348" s="2" t="s">
        <v>14</v>
      </c>
      <c r="E348" s="2">
        <v>190</v>
      </c>
      <c r="F348" s="2">
        <v>2155195.34</v>
      </c>
      <c r="G348" s="2">
        <v>1378481.22</v>
      </c>
      <c r="H348" s="2">
        <v>776714.12</v>
      </c>
      <c r="I348" s="2">
        <v>36.04</v>
      </c>
      <c r="J348" s="2">
        <v>11343.13</v>
      </c>
      <c r="K348" s="2">
        <v>18</v>
      </c>
      <c r="L348" s="2">
        <v>9.4700000000000006</v>
      </c>
      <c r="M348" s="2">
        <v>66</v>
      </c>
    </row>
    <row r="349" spans="1:13" x14ac:dyDescent="0.3">
      <c r="A349" s="3">
        <v>2023</v>
      </c>
      <c r="B349" s="3" t="s">
        <v>9737</v>
      </c>
      <c r="C349" s="3" t="s">
        <v>19</v>
      </c>
      <c r="D349" s="3" t="s">
        <v>39</v>
      </c>
      <c r="E349" s="3">
        <v>52</v>
      </c>
      <c r="F349" s="3">
        <v>1428933.79</v>
      </c>
      <c r="G349" s="3">
        <v>905973.64</v>
      </c>
      <c r="H349" s="3">
        <v>522960.15</v>
      </c>
      <c r="I349" s="3">
        <v>36.6</v>
      </c>
      <c r="J349" s="3">
        <v>27479.5</v>
      </c>
      <c r="K349" s="3">
        <v>25</v>
      </c>
      <c r="L349" s="3">
        <v>48.08</v>
      </c>
      <c r="M349" s="3">
        <v>92</v>
      </c>
    </row>
    <row r="350" spans="1:13" x14ac:dyDescent="0.3">
      <c r="A350" s="2">
        <v>2023</v>
      </c>
      <c r="B350" s="2" t="s">
        <v>9737</v>
      </c>
      <c r="C350" s="2" t="s">
        <v>13</v>
      </c>
      <c r="D350" s="2" t="s">
        <v>22</v>
      </c>
      <c r="E350" s="2">
        <v>242</v>
      </c>
      <c r="F350" s="2">
        <v>2587718.2799999998</v>
      </c>
      <c r="G350" s="2">
        <v>1790789.39</v>
      </c>
      <c r="H350" s="2">
        <v>796928.89</v>
      </c>
      <c r="I350" s="2">
        <v>30.8</v>
      </c>
      <c r="J350" s="2">
        <v>10693.05</v>
      </c>
      <c r="K350" s="2">
        <v>11</v>
      </c>
      <c r="L350" s="2">
        <v>4.55</v>
      </c>
      <c r="M350" s="2">
        <v>62</v>
      </c>
    </row>
    <row r="351" spans="1:13" x14ac:dyDescent="0.3">
      <c r="A351" s="3">
        <v>2023</v>
      </c>
      <c r="B351" s="3" t="s">
        <v>9737</v>
      </c>
      <c r="C351" s="3" t="s">
        <v>13</v>
      </c>
      <c r="D351" s="3" t="s">
        <v>29</v>
      </c>
      <c r="E351" s="3">
        <v>157</v>
      </c>
      <c r="F351" s="3">
        <v>3978027.93</v>
      </c>
      <c r="G351" s="3">
        <v>2762431.94</v>
      </c>
      <c r="H351" s="3">
        <v>1215595.99</v>
      </c>
      <c r="I351" s="3">
        <v>30.56</v>
      </c>
      <c r="J351" s="3">
        <v>25337.759999999998</v>
      </c>
      <c r="K351" s="3">
        <v>10</v>
      </c>
      <c r="L351" s="3">
        <v>6.37</v>
      </c>
      <c r="M351" s="3">
        <v>25</v>
      </c>
    </row>
    <row r="352" spans="1:13" x14ac:dyDescent="0.3">
      <c r="A352" s="2">
        <v>2023</v>
      </c>
      <c r="B352" s="2" t="s">
        <v>9737</v>
      </c>
      <c r="C352" s="2" t="s">
        <v>13</v>
      </c>
      <c r="D352" s="2" t="s">
        <v>14</v>
      </c>
      <c r="E352" s="2">
        <v>285</v>
      </c>
      <c r="F352" s="2">
        <v>2743916.15</v>
      </c>
      <c r="G352" s="2">
        <v>1796069.9</v>
      </c>
      <c r="H352" s="2">
        <v>947846.25</v>
      </c>
      <c r="I352" s="2">
        <v>34.54</v>
      </c>
      <c r="J352" s="2">
        <v>9627.7800000000007</v>
      </c>
      <c r="K352" s="2">
        <v>5</v>
      </c>
      <c r="L352" s="2">
        <v>1.75</v>
      </c>
      <c r="M352" s="2">
        <v>45</v>
      </c>
    </row>
    <row r="353" spans="1:13" x14ac:dyDescent="0.3">
      <c r="A353" s="3">
        <v>2023</v>
      </c>
      <c r="B353" s="3" t="s">
        <v>9737</v>
      </c>
      <c r="C353" s="3" t="s">
        <v>13</v>
      </c>
      <c r="D353" s="3" t="s">
        <v>39</v>
      </c>
      <c r="E353" s="3">
        <v>44</v>
      </c>
      <c r="F353" s="3">
        <v>4457564.88</v>
      </c>
      <c r="G353" s="3">
        <v>2923709.56</v>
      </c>
      <c r="H353" s="3">
        <v>1533855.32</v>
      </c>
      <c r="I353" s="3">
        <v>34.409999999999997</v>
      </c>
      <c r="J353" s="3">
        <v>101308.29</v>
      </c>
      <c r="K353" s="3">
        <v>29</v>
      </c>
      <c r="L353" s="3">
        <v>65.91</v>
      </c>
      <c r="M353" s="3">
        <v>33</v>
      </c>
    </row>
    <row r="354" spans="1:13" x14ac:dyDescent="0.3">
      <c r="A354" s="2">
        <v>2023</v>
      </c>
      <c r="B354" s="2" t="s">
        <v>9737</v>
      </c>
      <c r="C354" s="2" t="s">
        <v>27</v>
      </c>
      <c r="D354" s="2" t="s">
        <v>22</v>
      </c>
      <c r="E354" s="2">
        <v>124</v>
      </c>
      <c r="F354" s="2">
        <v>4811412.57</v>
      </c>
      <c r="G354" s="2">
        <v>3008097.52</v>
      </c>
      <c r="H354" s="2">
        <v>1803315.05</v>
      </c>
      <c r="I354" s="2">
        <v>37.479999999999997</v>
      </c>
      <c r="J354" s="2">
        <v>38801.71</v>
      </c>
      <c r="K354" s="2">
        <v>12</v>
      </c>
      <c r="L354" s="2">
        <v>9.68</v>
      </c>
      <c r="M354" s="2">
        <v>64</v>
      </c>
    </row>
    <row r="355" spans="1:13" x14ac:dyDescent="0.3">
      <c r="A355" s="3">
        <v>2023</v>
      </c>
      <c r="B355" s="3" t="s">
        <v>9737</v>
      </c>
      <c r="C355" s="3" t="s">
        <v>27</v>
      </c>
      <c r="D355" s="3" t="s">
        <v>29</v>
      </c>
      <c r="E355" s="3">
        <v>285</v>
      </c>
      <c r="F355" s="3">
        <v>256951.37</v>
      </c>
      <c r="G355" s="3">
        <v>157622.67000000001</v>
      </c>
      <c r="H355" s="3">
        <v>99328.7</v>
      </c>
      <c r="I355" s="3">
        <v>38.659999999999997</v>
      </c>
      <c r="J355" s="3">
        <v>901.58</v>
      </c>
      <c r="K355" s="3">
        <v>4</v>
      </c>
      <c r="L355" s="3">
        <v>1.4</v>
      </c>
      <c r="M355" s="3">
        <v>26</v>
      </c>
    </row>
    <row r="356" spans="1:13" x14ac:dyDescent="0.3">
      <c r="A356" s="2">
        <v>2023</v>
      </c>
      <c r="B356" s="2" t="s">
        <v>9737</v>
      </c>
      <c r="C356" s="2" t="s">
        <v>27</v>
      </c>
      <c r="D356" s="2" t="s">
        <v>14</v>
      </c>
      <c r="E356" s="2">
        <v>258</v>
      </c>
      <c r="F356" s="2">
        <v>4406610.91</v>
      </c>
      <c r="G356" s="2">
        <v>2523099.5</v>
      </c>
      <c r="H356" s="2">
        <v>1883511.41</v>
      </c>
      <c r="I356" s="2">
        <v>42.74</v>
      </c>
      <c r="J356" s="2">
        <v>17079.89</v>
      </c>
      <c r="K356" s="2">
        <v>17</v>
      </c>
      <c r="L356" s="2">
        <v>6.59</v>
      </c>
      <c r="M356" s="2">
        <v>63</v>
      </c>
    </row>
    <row r="357" spans="1:13" x14ac:dyDescent="0.3">
      <c r="A357" s="3">
        <v>2023</v>
      </c>
      <c r="B357" s="3" t="s">
        <v>9737</v>
      </c>
      <c r="C357" s="3" t="s">
        <v>27</v>
      </c>
      <c r="D357" s="3" t="s">
        <v>39</v>
      </c>
      <c r="E357" s="3">
        <v>261</v>
      </c>
      <c r="F357" s="3">
        <v>2261702.2400000002</v>
      </c>
      <c r="G357" s="3">
        <v>1554734.42</v>
      </c>
      <c r="H357" s="3">
        <v>706967.82</v>
      </c>
      <c r="I357" s="3">
        <v>31.26</v>
      </c>
      <c r="J357" s="3">
        <v>8665.5300000000007</v>
      </c>
      <c r="K357" s="3">
        <v>16</v>
      </c>
      <c r="L357" s="3">
        <v>6.13</v>
      </c>
      <c r="M357" s="3">
        <v>83</v>
      </c>
    </row>
    <row r="358" spans="1:13" x14ac:dyDescent="0.3">
      <c r="A358" s="2">
        <v>2023</v>
      </c>
      <c r="B358" s="2" t="s">
        <v>9737</v>
      </c>
      <c r="C358" s="2" t="s">
        <v>28</v>
      </c>
      <c r="D358" s="2" t="s">
        <v>22</v>
      </c>
      <c r="E358" s="2">
        <v>277</v>
      </c>
      <c r="F358" s="2">
        <v>2246941.42</v>
      </c>
      <c r="G358" s="2">
        <v>1275663.58</v>
      </c>
      <c r="H358" s="2">
        <v>971277.84</v>
      </c>
      <c r="I358" s="2">
        <v>43.23</v>
      </c>
      <c r="J358" s="2">
        <v>8111.7</v>
      </c>
      <c r="K358" s="2">
        <v>18</v>
      </c>
      <c r="L358" s="2">
        <v>6.5</v>
      </c>
      <c r="M358" s="2">
        <v>29</v>
      </c>
    </row>
    <row r="359" spans="1:13" x14ac:dyDescent="0.3">
      <c r="A359" s="3">
        <v>2023</v>
      </c>
      <c r="B359" s="3" t="s">
        <v>9737</v>
      </c>
      <c r="C359" s="3" t="s">
        <v>28</v>
      </c>
      <c r="D359" s="3" t="s">
        <v>29</v>
      </c>
      <c r="E359" s="3">
        <v>266</v>
      </c>
      <c r="F359" s="3">
        <v>1548736.21</v>
      </c>
      <c r="G359" s="3">
        <v>941477.29</v>
      </c>
      <c r="H359" s="3">
        <v>607258.92000000004</v>
      </c>
      <c r="I359" s="3">
        <v>39.21</v>
      </c>
      <c r="J359" s="3">
        <v>5822.32</v>
      </c>
      <c r="K359" s="3">
        <v>12</v>
      </c>
      <c r="L359" s="3">
        <v>4.51</v>
      </c>
      <c r="M359" s="3">
        <v>36</v>
      </c>
    </row>
    <row r="360" spans="1:13" x14ac:dyDescent="0.3">
      <c r="A360" s="2">
        <v>2023</v>
      </c>
      <c r="B360" s="2" t="s">
        <v>9737</v>
      </c>
      <c r="C360" s="2" t="s">
        <v>28</v>
      </c>
      <c r="D360" s="2" t="s">
        <v>14</v>
      </c>
      <c r="E360" s="2">
        <v>277</v>
      </c>
      <c r="F360" s="2">
        <v>1422722.14</v>
      </c>
      <c r="G360" s="2">
        <v>721658.74</v>
      </c>
      <c r="H360" s="2">
        <v>701063.4</v>
      </c>
      <c r="I360" s="2">
        <v>49.28</v>
      </c>
      <c r="J360" s="2">
        <v>5136.18</v>
      </c>
      <c r="K360" s="2">
        <v>10</v>
      </c>
      <c r="L360" s="2">
        <v>3.61</v>
      </c>
      <c r="M360" s="2">
        <v>31</v>
      </c>
    </row>
    <row r="361" spans="1:13" x14ac:dyDescent="0.3">
      <c r="A361" s="3">
        <v>2023</v>
      </c>
      <c r="B361" s="3" t="s">
        <v>9737</v>
      </c>
      <c r="C361" s="3" t="s">
        <v>28</v>
      </c>
      <c r="D361" s="3" t="s">
        <v>39</v>
      </c>
      <c r="E361" s="3">
        <v>269</v>
      </c>
      <c r="F361" s="3">
        <v>943249.28</v>
      </c>
      <c r="G361" s="3">
        <v>541868.22</v>
      </c>
      <c r="H361" s="3">
        <v>401381.06</v>
      </c>
      <c r="I361" s="3">
        <v>42.55</v>
      </c>
      <c r="J361" s="3">
        <v>3506.5</v>
      </c>
      <c r="K361" s="3">
        <v>6</v>
      </c>
      <c r="L361" s="3">
        <v>2.23</v>
      </c>
      <c r="M361" s="3">
        <v>77</v>
      </c>
    </row>
    <row r="362" spans="1:13" x14ac:dyDescent="0.3">
      <c r="A362" s="2">
        <v>2023</v>
      </c>
      <c r="B362" s="2" t="s">
        <v>9738</v>
      </c>
      <c r="C362" s="2" t="s">
        <v>21</v>
      </c>
      <c r="D362" s="2" t="s">
        <v>22</v>
      </c>
      <c r="E362" s="2">
        <v>142</v>
      </c>
      <c r="F362" s="2">
        <v>3351799.9</v>
      </c>
      <c r="G362" s="2">
        <v>2288147.5</v>
      </c>
      <c r="H362" s="2">
        <v>1063652.3999999999</v>
      </c>
      <c r="I362" s="2">
        <v>31.73</v>
      </c>
      <c r="J362" s="2">
        <v>23604.22</v>
      </c>
      <c r="K362" s="2">
        <v>9</v>
      </c>
      <c r="L362" s="2">
        <v>6.34</v>
      </c>
      <c r="M362" s="2">
        <v>5</v>
      </c>
    </row>
    <row r="363" spans="1:13" x14ac:dyDescent="0.3">
      <c r="A363" s="3">
        <v>2023</v>
      </c>
      <c r="B363" s="3" t="s">
        <v>9738</v>
      </c>
      <c r="C363" s="3" t="s">
        <v>21</v>
      </c>
      <c r="D363" s="3" t="s">
        <v>29</v>
      </c>
      <c r="E363" s="3">
        <v>145</v>
      </c>
      <c r="F363" s="3">
        <v>3502258.29</v>
      </c>
      <c r="G363" s="3">
        <v>2403066.77</v>
      </c>
      <c r="H363" s="3">
        <v>1099191.52</v>
      </c>
      <c r="I363" s="3">
        <v>31.39</v>
      </c>
      <c r="J363" s="3">
        <v>24153.51</v>
      </c>
      <c r="K363" s="3">
        <v>1</v>
      </c>
      <c r="L363" s="3">
        <v>0.69</v>
      </c>
      <c r="M363" s="3">
        <v>65</v>
      </c>
    </row>
    <row r="364" spans="1:13" x14ac:dyDescent="0.3">
      <c r="A364" s="2">
        <v>2023</v>
      </c>
      <c r="B364" s="2" t="s">
        <v>9738</v>
      </c>
      <c r="C364" s="2" t="s">
        <v>21</v>
      </c>
      <c r="D364" s="2" t="s">
        <v>14</v>
      </c>
      <c r="E364" s="2">
        <v>122</v>
      </c>
      <c r="F364" s="2">
        <v>3236565.71</v>
      </c>
      <c r="G364" s="2">
        <v>1916684.41</v>
      </c>
      <c r="H364" s="2">
        <v>1319881.3</v>
      </c>
      <c r="I364" s="2">
        <v>40.78</v>
      </c>
      <c r="J364" s="2">
        <v>26529.23</v>
      </c>
      <c r="K364" s="2">
        <v>10</v>
      </c>
      <c r="L364" s="2">
        <v>8.1999999999999993</v>
      </c>
      <c r="M364" s="2">
        <v>11</v>
      </c>
    </row>
    <row r="365" spans="1:13" x14ac:dyDescent="0.3">
      <c r="A365" s="3">
        <v>2023</v>
      </c>
      <c r="B365" s="3" t="s">
        <v>9738</v>
      </c>
      <c r="C365" s="3" t="s">
        <v>21</v>
      </c>
      <c r="D365" s="3" t="s">
        <v>39</v>
      </c>
      <c r="E365" s="3">
        <v>219</v>
      </c>
      <c r="F365" s="3">
        <v>413524.77</v>
      </c>
      <c r="G365" s="3">
        <v>260390.44</v>
      </c>
      <c r="H365" s="3">
        <v>153134.32999999999</v>
      </c>
      <c r="I365" s="3">
        <v>37.03</v>
      </c>
      <c r="J365" s="3">
        <v>1888.24</v>
      </c>
      <c r="K365" s="3">
        <v>1</v>
      </c>
      <c r="L365" s="3">
        <v>0.46</v>
      </c>
      <c r="M365" s="3">
        <v>54</v>
      </c>
    </row>
    <row r="366" spans="1:13" x14ac:dyDescent="0.3">
      <c r="A366" s="2">
        <v>2023</v>
      </c>
      <c r="B366" s="2" t="s">
        <v>9738</v>
      </c>
      <c r="C366" s="2" t="s">
        <v>19</v>
      </c>
      <c r="D366" s="2" t="s">
        <v>22</v>
      </c>
      <c r="E366" s="2">
        <v>158</v>
      </c>
      <c r="F366" s="2">
        <v>3003559.25</v>
      </c>
      <c r="G366" s="2">
        <v>1532394.73</v>
      </c>
      <c r="H366" s="2">
        <v>1471164.52</v>
      </c>
      <c r="I366" s="2">
        <v>48.98</v>
      </c>
      <c r="J366" s="2">
        <v>19009.87</v>
      </c>
      <c r="K366" s="2">
        <v>29</v>
      </c>
      <c r="L366" s="2">
        <v>18.350000000000001</v>
      </c>
      <c r="M366" s="2">
        <v>28</v>
      </c>
    </row>
    <row r="367" spans="1:13" x14ac:dyDescent="0.3">
      <c r="A367" s="3">
        <v>2023</v>
      </c>
      <c r="B367" s="3" t="s">
        <v>9738</v>
      </c>
      <c r="C367" s="3" t="s">
        <v>19</v>
      </c>
      <c r="D367" s="3" t="s">
        <v>29</v>
      </c>
      <c r="E367" s="3">
        <v>282</v>
      </c>
      <c r="F367" s="3">
        <v>2644457.1800000002</v>
      </c>
      <c r="G367" s="3">
        <v>1322751.22</v>
      </c>
      <c r="H367" s="3">
        <v>1321705.96</v>
      </c>
      <c r="I367" s="3">
        <v>49.98</v>
      </c>
      <c r="J367" s="3">
        <v>9377.51</v>
      </c>
      <c r="K367" s="3">
        <v>6</v>
      </c>
      <c r="L367" s="3">
        <v>2.13</v>
      </c>
      <c r="M367" s="3">
        <v>29</v>
      </c>
    </row>
    <row r="368" spans="1:13" x14ac:dyDescent="0.3">
      <c r="A368" s="2">
        <v>2023</v>
      </c>
      <c r="B368" s="2" t="s">
        <v>9738</v>
      </c>
      <c r="C368" s="2" t="s">
        <v>19</v>
      </c>
      <c r="D368" s="2" t="s">
        <v>14</v>
      </c>
      <c r="E368" s="2">
        <v>297</v>
      </c>
      <c r="F368" s="2">
        <v>1179325.51</v>
      </c>
      <c r="G368" s="2">
        <v>812465.81</v>
      </c>
      <c r="H368" s="2">
        <v>366859.7</v>
      </c>
      <c r="I368" s="2">
        <v>31.11</v>
      </c>
      <c r="J368" s="2">
        <v>3970.79</v>
      </c>
      <c r="K368" s="2">
        <v>22</v>
      </c>
      <c r="L368" s="2">
        <v>7.41</v>
      </c>
      <c r="M368" s="2">
        <v>11</v>
      </c>
    </row>
    <row r="369" spans="1:13" x14ac:dyDescent="0.3">
      <c r="A369" s="3">
        <v>2023</v>
      </c>
      <c r="B369" s="3" t="s">
        <v>9738</v>
      </c>
      <c r="C369" s="3" t="s">
        <v>19</v>
      </c>
      <c r="D369" s="3" t="s">
        <v>39</v>
      </c>
      <c r="E369" s="3">
        <v>164</v>
      </c>
      <c r="F369" s="3">
        <v>289753.24</v>
      </c>
      <c r="G369" s="3">
        <v>173436.74</v>
      </c>
      <c r="H369" s="3">
        <v>116316.5</v>
      </c>
      <c r="I369" s="3">
        <v>40.14</v>
      </c>
      <c r="J369" s="3">
        <v>1766.79</v>
      </c>
      <c r="K369" s="3">
        <v>9</v>
      </c>
      <c r="L369" s="3">
        <v>5.49</v>
      </c>
      <c r="M369" s="3">
        <v>99</v>
      </c>
    </row>
    <row r="370" spans="1:13" x14ac:dyDescent="0.3">
      <c r="A370" s="2">
        <v>2023</v>
      </c>
      <c r="B370" s="2" t="s">
        <v>9738</v>
      </c>
      <c r="C370" s="2" t="s">
        <v>13</v>
      </c>
      <c r="D370" s="2" t="s">
        <v>22</v>
      </c>
      <c r="E370" s="2">
        <v>65</v>
      </c>
      <c r="F370" s="2">
        <v>4967847.5199999996</v>
      </c>
      <c r="G370" s="2">
        <v>3430279.41</v>
      </c>
      <c r="H370" s="2">
        <v>1537568.11</v>
      </c>
      <c r="I370" s="2">
        <v>30.95</v>
      </c>
      <c r="J370" s="2">
        <v>76428.42</v>
      </c>
      <c r="K370" s="2">
        <v>4</v>
      </c>
      <c r="L370" s="2">
        <v>6.15</v>
      </c>
      <c r="M370" s="2">
        <v>34</v>
      </c>
    </row>
    <row r="371" spans="1:13" x14ac:dyDescent="0.3">
      <c r="A371" s="3">
        <v>2023</v>
      </c>
      <c r="B371" s="3" t="s">
        <v>9738</v>
      </c>
      <c r="C371" s="3" t="s">
        <v>13</v>
      </c>
      <c r="D371" s="3" t="s">
        <v>29</v>
      </c>
      <c r="E371" s="3">
        <v>228</v>
      </c>
      <c r="F371" s="3">
        <v>1890248.16</v>
      </c>
      <c r="G371" s="3">
        <v>1149133.1200000001</v>
      </c>
      <c r="H371" s="3">
        <v>741115.04</v>
      </c>
      <c r="I371" s="3">
        <v>39.21</v>
      </c>
      <c r="J371" s="3">
        <v>8290.56</v>
      </c>
      <c r="K371" s="3">
        <v>6</v>
      </c>
      <c r="L371" s="3">
        <v>2.63</v>
      </c>
      <c r="M371" s="3">
        <v>83</v>
      </c>
    </row>
    <row r="372" spans="1:13" x14ac:dyDescent="0.3">
      <c r="A372" s="2">
        <v>2023</v>
      </c>
      <c r="B372" s="2" t="s">
        <v>9738</v>
      </c>
      <c r="C372" s="2" t="s">
        <v>13</v>
      </c>
      <c r="D372" s="2" t="s">
        <v>14</v>
      </c>
      <c r="E372" s="2">
        <v>119</v>
      </c>
      <c r="F372" s="2">
        <v>1178698.8700000001</v>
      </c>
      <c r="G372" s="2">
        <v>773709.72</v>
      </c>
      <c r="H372" s="2">
        <v>404989.15</v>
      </c>
      <c r="I372" s="2">
        <v>34.36</v>
      </c>
      <c r="J372" s="2">
        <v>9905.0300000000007</v>
      </c>
      <c r="K372" s="2">
        <v>10</v>
      </c>
      <c r="L372" s="2">
        <v>8.4</v>
      </c>
      <c r="M372" s="2">
        <v>68</v>
      </c>
    </row>
    <row r="373" spans="1:13" x14ac:dyDescent="0.3">
      <c r="A373" s="3">
        <v>2023</v>
      </c>
      <c r="B373" s="3" t="s">
        <v>9738</v>
      </c>
      <c r="C373" s="3" t="s">
        <v>13</v>
      </c>
      <c r="D373" s="3" t="s">
        <v>39</v>
      </c>
      <c r="E373" s="3">
        <v>183</v>
      </c>
      <c r="F373" s="3">
        <v>3731613.66</v>
      </c>
      <c r="G373" s="3">
        <v>2545580.0099999998</v>
      </c>
      <c r="H373" s="3">
        <v>1186033.6499999999</v>
      </c>
      <c r="I373" s="3">
        <v>31.78</v>
      </c>
      <c r="J373" s="3">
        <v>20391.330000000002</v>
      </c>
      <c r="K373" s="3">
        <v>28</v>
      </c>
      <c r="L373" s="3">
        <v>15.3</v>
      </c>
      <c r="M373" s="3">
        <v>42</v>
      </c>
    </row>
    <row r="374" spans="1:13" x14ac:dyDescent="0.3">
      <c r="A374" s="2">
        <v>2023</v>
      </c>
      <c r="B374" s="2" t="s">
        <v>9738</v>
      </c>
      <c r="C374" s="2" t="s">
        <v>27</v>
      </c>
      <c r="D374" s="2" t="s">
        <v>22</v>
      </c>
      <c r="E374" s="2">
        <v>209</v>
      </c>
      <c r="F374" s="2">
        <v>4165801.66</v>
      </c>
      <c r="G374" s="2">
        <v>2217215.7799999998</v>
      </c>
      <c r="H374" s="2">
        <v>1948585.88</v>
      </c>
      <c r="I374" s="2">
        <v>46.78</v>
      </c>
      <c r="J374" s="2">
        <v>19932.07</v>
      </c>
      <c r="K374" s="2">
        <v>20</v>
      </c>
      <c r="L374" s="2">
        <v>9.57</v>
      </c>
      <c r="M374" s="2">
        <v>87</v>
      </c>
    </row>
    <row r="375" spans="1:13" x14ac:dyDescent="0.3">
      <c r="A375" s="3">
        <v>2023</v>
      </c>
      <c r="B375" s="3" t="s">
        <v>9738</v>
      </c>
      <c r="C375" s="3" t="s">
        <v>27</v>
      </c>
      <c r="D375" s="3" t="s">
        <v>29</v>
      </c>
      <c r="E375" s="3">
        <v>252</v>
      </c>
      <c r="F375" s="3">
        <v>4425768.57</v>
      </c>
      <c r="G375" s="3">
        <v>2364685.4900000002</v>
      </c>
      <c r="H375" s="3">
        <v>2061083.08</v>
      </c>
      <c r="I375" s="3">
        <v>46.57</v>
      </c>
      <c r="J375" s="3">
        <v>17562.57</v>
      </c>
      <c r="K375" s="3">
        <v>15</v>
      </c>
      <c r="L375" s="3">
        <v>5.95</v>
      </c>
      <c r="M375" s="3">
        <v>62</v>
      </c>
    </row>
    <row r="376" spans="1:13" x14ac:dyDescent="0.3">
      <c r="A376" s="2">
        <v>2023</v>
      </c>
      <c r="B376" s="2" t="s">
        <v>9738</v>
      </c>
      <c r="C376" s="2" t="s">
        <v>27</v>
      </c>
      <c r="D376" s="2" t="s">
        <v>14</v>
      </c>
      <c r="E376" s="2">
        <v>113</v>
      </c>
      <c r="F376" s="2">
        <v>201957.33</v>
      </c>
      <c r="G376" s="2">
        <v>138553.93</v>
      </c>
      <c r="H376" s="2">
        <v>63403.4</v>
      </c>
      <c r="I376" s="2">
        <v>31.39</v>
      </c>
      <c r="J376" s="2">
        <v>1787.23</v>
      </c>
      <c r="K376" s="2">
        <v>18</v>
      </c>
      <c r="L376" s="2">
        <v>15.93</v>
      </c>
      <c r="M376" s="2">
        <v>32</v>
      </c>
    </row>
    <row r="377" spans="1:13" x14ac:dyDescent="0.3">
      <c r="A377" s="3">
        <v>2023</v>
      </c>
      <c r="B377" s="3" t="s">
        <v>9738</v>
      </c>
      <c r="C377" s="3" t="s">
        <v>27</v>
      </c>
      <c r="D377" s="3" t="s">
        <v>39</v>
      </c>
      <c r="E377" s="3">
        <v>163</v>
      </c>
      <c r="F377" s="3">
        <v>4858433.63</v>
      </c>
      <c r="G377" s="3">
        <v>2631983.0299999998</v>
      </c>
      <c r="H377" s="3">
        <v>2226450.6</v>
      </c>
      <c r="I377" s="3">
        <v>45.83</v>
      </c>
      <c r="J377" s="3">
        <v>29806.34</v>
      </c>
      <c r="K377" s="3">
        <v>7</v>
      </c>
      <c r="L377" s="3">
        <v>4.29</v>
      </c>
      <c r="M377" s="3">
        <v>83</v>
      </c>
    </row>
    <row r="378" spans="1:13" x14ac:dyDescent="0.3">
      <c r="A378" s="2">
        <v>2023</v>
      </c>
      <c r="B378" s="2" t="s">
        <v>9738</v>
      </c>
      <c r="C378" s="2" t="s">
        <v>28</v>
      </c>
      <c r="D378" s="2" t="s">
        <v>22</v>
      </c>
      <c r="E378" s="2">
        <v>209</v>
      </c>
      <c r="F378" s="2">
        <v>553732.81999999995</v>
      </c>
      <c r="G378" s="2">
        <v>307680.14</v>
      </c>
      <c r="H378" s="2">
        <v>246052.68</v>
      </c>
      <c r="I378" s="2">
        <v>44.44</v>
      </c>
      <c r="J378" s="2">
        <v>2649.44</v>
      </c>
      <c r="K378" s="2">
        <v>29</v>
      </c>
      <c r="L378" s="2">
        <v>13.88</v>
      </c>
      <c r="M378" s="2">
        <v>73</v>
      </c>
    </row>
    <row r="379" spans="1:13" x14ac:dyDescent="0.3">
      <c r="A379" s="3">
        <v>2023</v>
      </c>
      <c r="B379" s="3" t="s">
        <v>9738</v>
      </c>
      <c r="C379" s="3" t="s">
        <v>28</v>
      </c>
      <c r="D379" s="3" t="s">
        <v>29</v>
      </c>
      <c r="E379" s="3">
        <v>262</v>
      </c>
      <c r="F379" s="3">
        <v>2642699.39</v>
      </c>
      <c r="G379" s="3">
        <v>1566090.91</v>
      </c>
      <c r="H379" s="3">
        <v>1076608.48</v>
      </c>
      <c r="I379" s="3">
        <v>40.74</v>
      </c>
      <c r="J379" s="3">
        <v>10086.64</v>
      </c>
      <c r="K379" s="3">
        <v>3</v>
      </c>
      <c r="L379" s="3">
        <v>1.1499999999999999</v>
      </c>
      <c r="M379" s="3">
        <v>35</v>
      </c>
    </row>
    <row r="380" spans="1:13" x14ac:dyDescent="0.3">
      <c r="A380" s="2">
        <v>2023</v>
      </c>
      <c r="B380" s="2" t="s">
        <v>9738</v>
      </c>
      <c r="C380" s="2" t="s">
        <v>28</v>
      </c>
      <c r="D380" s="2" t="s">
        <v>14</v>
      </c>
      <c r="E380" s="2">
        <v>199</v>
      </c>
      <c r="F380" s="2">
        <v>4672981.95</v>
      </c>
      <c r="G380" s="2">
        <v>2564081.31</v>
      </c>
      <c r="H380" s="2">
        <v>2108900.64</v>
      </c>
      <c r="I380" s="2">
        <v>45.13</v>
      </c>
      <c r="J380" s="2">
        <v>23482.32</v>
      </c>
      <c r="K380" s="2">
        <v>28</v>
      </c>
      <c r="L380" s="2">
        <v>14.07</v>
      </c>
      <c r="M380" s="2">
        <v>91</v>
      </c>
    </row>
    <row r="381" spans="1:13" x14ac:dyDescent="0.3">
      <c r="A381" s="3">
        <v>2023</v>
      </c>
      <c r="B381" s="3" t="s">
        <v>9738</v>
      </c>
      <c r="C381" s="3" t="s">
        <v>28</v>
      </c>
      <c r="D381" s="3" t="s">
        <v>39</v>
      </c>
      <c r="E381" s="3">
        <v>287</v>
      </c>
      <c r="F381" s="3">
        <v>4984484.62</v>
      </c>
      <c r="G381" s="3">
        <v>2759285.27</v>
      </c>
      <c r="H381" s="3">
        <v>2225199.35</v>
      </c>
      <c r="I381" s="3">
        <v>44.64</v>
      </c>
      <c r="J381" s="3">
        <v>17367.54</v>
      </c>
      <c r="K381" s="3">
        <v>6</v>
      </c>
      <c r="L381" s="3">
        <v>2.09</v>
      </c>
      <c r="M381" s="3">
        <v>59</v>
      </c>
    </row>
    <row r="382" spans="1:13" x14ac:dyDescent="0.3">
      <c r="A382" s="2">
        <v>2023</v>
      </c>
      <c r="B382" s="2" t="s">
        <v>9739</v>
      </c>
      <c r="C382" s="2" t="s">
        <v>21</v>
      </c>
      <c r="D382" s="2" t="s">
        <v>22</v>
      </c>
      <c r="E382" s="2">
        <v>221</v>
      </c>
      <c r="F382" s="2">
        <v>1803717.36</v>
      </c>
      <c r="G382" s="2">
        <v>1207535.07</v>
      </c>
      <c r="H382" s="2">
        <v>596182.29</v>
      </c>
      <c r="I382" s="2">
        <v>33.049999999999997</v>
      </c>
      <c r="J382" s="2">
        <v>8161.62</v>
      </c>
      <c r="K382" s="2">
        <v>20</v>
      </c>
      <c r="L382" s="2">
        <v>9.0500000000000007</v>
      </c>
      <c r="M382" s="2">
        <v>97</v>
      </c>
    </row>
    <row r="383" spans="1:13" x14ac:dyDescent="0.3">
      <c r="A383" s="3">
        <v>2023</v>
      </c>
      <c r="B383" s="3" t="s">
        <v>9739</v>
      </c>
      <c r="C383" s="3" t="s">
        <v>21</v>
      </c>
      <c r="D383" s="3" t="s">
        <v>29</v>
      </c>
      <c r="E383" s="3">
        <v>56</v>
      </c>
      <c r="F383" s="3">
        <v>3069259.64</v>
      </c>
      <c r="G383" s="3">
        <v>1685726.09</v>
      </c>
      <c r="H383" s="3">
        <v>1383533.55</v>
      </c>
      <c r="I383" s="3">
        <v>45.08</v>
      </c>
      <c r="J383" s="3">
        <v>54808.21</v>
      </c>
      <c r="K383" s="3">
        <v>23</v>
      </c>
      <c r="L383" s="3">
        <v>41.07</v>
      </c>
      <c r="M383" s="3">
        <v>5</v>
      </c>
    </row>
    <row r="384" spans="1:13" x14ac:dyDescent="0.3">
      <c r="A384" s="2">
        <v>2023</v>
      </c>
      <c r="B384" s="2" t="s">
        <v>9739</v>
      </c>
      <c r="C384" s="2" t="s">
        <v>21</v>
      </c>
      <c r="D384" s="2" t="s">
        <v>14</v>
      </c>
      <c r="E384" s="2">
        <v>219</v>
      </c>
      <c r="F384" s="2">
        <v>2190960.6400000001</v>
      </c>
      <c r="G384" s="2">
        <v>1485255.82</v>
      </c>
      <c r="H384" s="2">
        <v>705704.82</v>
      </c>
      <c r="I384" s="2">
        <v>32.21</v>
      </c>
      <c r="J384" s="2">
        <v>10004.39</v>
      </c>
      <c r="K384" s="2">
        <v>5</v>
      </c>
      <c r="L384" s="2">
        <v>2.2799999999999998</v>
      </c>
      <c r="M384" s="2">
        <v>17</v>
      </c>
    </row>
    <row r="385" spans="1:13" x14ac:dyDescent="0.3">
      <c r="A385" s="3">
        <v>2023</v>
      </c>
      <c r="B385" s="3" t="s">
        <v>9739</v>
      </c>
      <c r="C385" s="3" t="s">
        <v>21</v>
      </c>
      <c r="D385" s="3" t="s">
        <v>39</v>
      </c>
      <c r="E385" s="3">
        <v>237</v>
      </c>
      <c r="F385" s="3">
        <v>892326.69</v>
      </c>
      <c r="G385" s="3">
        <v>567382.18999999994</v>
      </c>
      <c r="H385" s="3">
        <v>324944.5</v>
      </c>
      <c r="I385" s="3">
        <v>36.42</v>
      </c>
      <c r="J385" s="3">
        <v>3765.09</v>
      </c>
      <c r="K385" s="3">
        <v>30</v>
      </c>
      <c r="L385" s="3">
        <v>12.66</v>
      </c>
      <c r="M385" s="3">
        <v>75</v>
      </c>
    </row>
    <row r="386" spans="1:13" x14ac:dyDescent="0.3">
      <c r="A386" s="2">
        <v>2023</v>
      </c>
      <c r="B386" s="2" t="s">
        <v>9739</v>
      </c>
      <c r="C386" s="2" t="s">
        <v>19</v>
      </c>
      <c r="D386" s="2" t="s">
        <v>22</v>
      </c>
      <c r="E386" s="2">
        <v>194</v>
      </c>
      <c r="F386" s="2">
        <v>2262384.39</v>
      </c>
      <c r="G386" s="2">
        <v>1373337.63</v>
      </c>
      <c r="H386" s="2">
        <v>889046.76</v>
      </c>
      <c r="I386" s="2">
        <v>39.299999999999997</v>
      </c>
      <c r="J386" s="2">
        <v>11661.78</v>
      </c>
      <c r="K386" s="2">
        <v>6</v>
      </c>
      <c r="L386" s="2">
        <v>3.09</v>
      </c>
      <c r="M386" s="2">
        <v>43</v>
      </c>
    </row>
    <row r="387" spans="1:13" x14ac:dyDescent="0.3">
      <c r="A387" s="3">
        <v>2023</v>
      </c>
      <c r="B387" s="3" t="s">
        <v>9739</v>
      </c>
      <c r="C387" s="3" t="s">
        <v>19</v>
      </c>
      <c r="D387" s="3" t="s">
        <v>29</v>
      </c>
      <c r="E387" s="3">
        <v>254</v>
      </c>
      <c r="F387" s="3">
        <v>1676712.29</v>
      </c>
      <c r="G387" s="3">
        <v>956871.9</v>
      </c>
      <c r="H387" s="3">
        <v>719840.39</v>
      </c>
      <c r="I387" s="3">
        <v>42.93</v>
      </c>
      <c r="J387" s="3">
        <v>6601.23</v>
      </c>
      <c r="K387" s="3">
        <v>17</v>
      </c>
      <c r="L387" s="3">
        <v>6.69</v>
      </c>
      <c r="M387" s="3">
        <v>11</v>
      </c>
    </row>
    <row r="388" spans="1:13" x14ac:dyDescent="0.3">
      <c r="A388" s="2">
        <v>2023</v>
      </c>
      <c r="B388" s="2" t="s">
        <v>9739</v>
      </c>
      <c r="C388" s="2" t="s">
        <v>19</v>
      </c>
      <c r="D388" s="2" t="s">
        <v>14</v>
      </c>
      <c r="E388" s="2">
        <v>280</v>
      </c>
      <c r="F388" s="2">
        <v>3294329.26</v>
      </c>
      <c r="G388" s="2">
        <v>1689298.17</v>
      </c>
      <c r="H388" s="2">
        <v>1605031.09</v>
      </c>
      <c r="I388" s="2">
        <v>48.72</v>
      </c>
      <c r="J388" s="2">
        <v>11765.46</v>
      </c>
      <c r="K388" s="2">
        <v>10</v>
      </c>
      <c r="L388" s="2">
        <v>3.57</v>
      </c>
      <c r="M388" s="2">
        <v>90</v>
      </c>
    </row>
    <row r="389" spans="1:13" x14ac:dyDescent="0.3">
      <c r="A389" s="3">
        <v>2023</v>
      </c>
      <c r="B389" s="3" t="s">
        <v>9739</v>
      </c>
      <c r="C389" s="3" t="s">
        <v>19</v>
      </c>
      <c r="D389" s="3" t="s">
        <v>39</v>
      </c>
      <c r="E389" s="3">
        <v>258</v>
      </c>
      <c r="F389" s="3">
        <v>799772.97</v>
      </c>
      <c r="G389" s="3">
        <v>504510.92</v>
      </c>
      <c r="H389" s="3">
        <v>295262.05</v>
      </c>
      <c r="I389" s="3">
        <v>36.92</v>
      </c>
      <c r="J389" s="3">
        <v>3099.9</v>
      </c>
      <c r="K389" s="3">
        <v>10</v>
      </c>
      <c r="L389" s="3">
        <v>3.88</v>
      </c>
      <c r="M389" s="3">
        <v>23</v>
      </c>
    </row>
    <row r="390" spans="1:13" x14ac:dyDescent="0.3">
      <c r="A390" s="2">
        <v>2023</v>
      </c>
      <c r="B390" s="2" t="s">
        <v>9739</v>
      </c>
      <c r="C390" s="2" t="s">
        <v>13</v>
      </c>
      <c r="D390" s="2" t="s">
        <v>22</v>
      </c>
      <c r="E390" s="2">
        <v>277</v>
      </c>
      <c r="F390" s="2">
        <v>4518125.12</v>
      </c>
      <c r="G390" s="2">
        <v>3049565.16</v>
      </c>
      <c r="H390" s="2">
        <v>1468559.96</v>
      </c>
      <c r="I390" s="2">
        <v>32.5</v>
      </c>
      <c r="J390" s="2">
        <v>16310.92</v>
      </c>
      <c r="K390" s="2">
        <v>8</v>
      </c>
      <c r="L390" s="2">
        <v>2.89</v>
      </c>
      <c r="M390" s="2">
        <v>55</v>
      </c>
    </row>
    <row r="391" spans="1:13" x14ac:dyDescent="0.3">
      <c r="A391" s="3">
        <v>2023</v>
      </c>
      <c r="B391" s="3" t="s">
        <v>9739</v>
      </c>
      <c r="C391" s="3" t="s">
        <v>13</v>
      </c>
      <c r="D391" s="3" t="s">
        <v>29</v>
      </c>
      <c r="E391" s="3">
        <v>60</v>
      </c>
      <c r="F391" s="3">
        <v>1659616.17</v>
      </c>
      <c r="G391" s="3">
        <v>961125.95</v>
      </c>
      <c r="H391" s="3">
        <v>698490.22</v>
      </c>
      <c r="I391" s="3">
        <v>42.09</v>
      </c>
      <c r="J391" s="3">
        <v>27660.27</v>
      </c>
      <c r="K391" s="3">
        <v>9</v>
      </c>
      <c r="L391" s="3">
        <v>15</v>
      </c>
      <c r="M391" s="3">
        <v>34</v>
      </c>
    </row>
    <row r="392" spans="1:13" x14ac:dyDescent="0.3">
      <c r="A392" s="2">
        <v>2023</v>
      </c>
      <c r="B392" s="2" t="s">
        <v>9739</v>
      </c>
      <c r="C392" s="2" t="s">
        <v>13</v>
      </c>
      <c r="D392" s="2" t="s">
        <v>14</v>
      </c>
      <c r="E392" s="2">
        <v>81</v>
      </c>
      <c r="F392" s="2">
        <v>3710890.45</v>
      </c>
      <c r="G392" s="2">
        <v>2117494.6800000002</v>
      </c>
      <c r="H392" s="2">
        <v>1593395.77</v>
      </c>
      <c r="I392" s="2">
        <v>42.94</v>
      </c>
      <c r="J392" s="2">
        <v>45813.46</v>
      </c>
      <c r="K392" s="2">
        <v>0</v>
      </c>
      <c r="L392" s="2">
        <v>0</v>
      </c>
      <c r="M392" s="2">
        <v>59</v>
      </c>
    </row>
    <row r="393" spans="1:13" x14ac:dyDescent="0.3">
      <c r="A393" s="3">
        <v>2023</v>
      </c>
      <c r="B393" s="3" t="s">
        <v>9739</v>
      </c>
      <c r="C393" s="3" t="s">
        <v>13</v>
      </c>
      <c r="D393" s="3" t="s">
        <v>39</v>
      </c>
      <c r="E393" s="3">
        <v>206</v>
      </c>
      <c r="F393" s="3">
        <v>2111767.7999999998</v>
      </c>
      <c r="G393" s="3">
        <v>1329574.67</v>
      </c>
      <c r="H393" s="3">
        <v>782193.13</v>
      </c>
      <c r="I393" s="3">
        <v>37.04</v>
      </c>
      <c r="J393" s="3">
        <v>10251.299999999999</v>
      </c>
      <c r="K393" s="3">
        <v>17</v>
      </c>
      <c r="L393" s="3">
        <v>8.25</v>
      </c>
      <c r="M393" s="3">
        <v>53</v>
      </c>
    </row>
    <row r="394" spans="1:13" x14ac:dyDescent="0.3">
      <c r="A394" s="2">
        <v>2023</v>
      </c>
      <c r="B394" s="2" t="s">
        <v>9739</v>
      </c>
      <c r="C394" s="2" t="s">
        <v>27</v>
      </c>
      <c r="D394" s="2" t="s">
        <v>22</v>
      </c>
      <c r="E394" s="2">
        <v>244</v>
      </c>
      <c r="F394" s="2">
        <v>1264011.2</v>
      </c>
      <c r="G394" s="2">
        <v>853368.86</v>
      </c>
      <c r="H394" s="2">
        <v>410642.34</v>
      </c>
      <c r="I394" s="2">
        <v>32.49</v>
      </c>
      <c r="J394" s="2">
        <v>5180.37</v>
      </c>
      <c r="K394" s="2">
        <v>24</v>
      </c>
      <c r="L394" s="2">
        <v>9.84</v>
      </c>
      <c r="M394" s="2">
        <v>86</v>
      </c>
    </row>
    <row r="395" spans="1:13" x14ac:dyDescent="0.3">
      <c r="A395" s="3">
        <v>2023</v>
      </c>
      <c r="B395" s="3" t="s">
        <v>9739</v>
      </c>
      <c r="C395" s="3" t="s">
        <v>27</v>
      </c>
      <c r="D395" s="3" t="s">
        <v>29</v>
      </c>
      <c r="E395" s="3">
        <v>90</v>
      </c>
      <c r="F395" s="3">
        <v>878878.42</v>
      </c>
      <c r="G395" s="3">
        <v>498012.07</v>
      </c>
      <c r="H395" s="3">
        <v>380866.35</v>
      </c>
      <c r="I395" s="3">
        <v>43.34</v>
      </c>
      <c r="J395" s="3">
        <v>9765.32</v>
      </c>
      <c r="K395" s="3">
        <v>29</v>
      </c>
      <c r="L395" s="3">
        <v>32.22</v>
      </c>
      <c r="M395" s="3">
        <v>90</v>
      </c>
    </row>
    <row r="396" spans="1:13" x14ac:dyDescent="0.3">
      <c r="A396" s="2">
        <v>2023</v>
      </c>
      <c r="B396" s="2" t="s">
        <v>9739</v>
      </c>
      <c r="C396" s="2" t="s">
        <v>27</v>
      </c>
      <c r="D396" s="2" t="s">
        <v>14</v>
      </c>
      <c r="E396" s="2">
        <v>127</v>
      </c>
      <c r="F396" s="2">
        <v>1090672.28</v>
      </c>
      <c r="G396" s="2">
        <v>568394.31000000006</v>
      </c>
      <c r="H396" s="2">
        <v>522277.97</v>
      </c>
      <c r="I396" s="2">
        <v>47.89</v>
      </c>
      <c r="J396" s="2">
        <v>8587.9699999999993</v>
      </c>
      <c r="K396" s="2">
        <v>4</v>
      </c>
      <c r="L396" s="2">
        <v>3.15</v>
      </c>
      <c r="M396" s="2">
        <v>83</v>
      </c>
    </row>
    <row r="397" spans="1:13" x14ac:dyDescent="0.3">
      <c r="A397" s="3">
        <v>2023</v>
      </c>
      <c r="B397" s="3" t="s">
        <v>9739</v>
      </c>
      <c r="C397" s="3" t="s">
        <v>27</v>
      </c>
      <c r="D397" s="3" t="s">
        <v>39</v>
      </c>
      <c r="E397" s="3">
        <v>146</v>
      </c>
      <c r="F397" s="3">
        <v>647553.85</v>
      </c>
      <c r="G397" s="3">
        <v>425694.68</v>
      </c>
      <c r="H397" s="3">
        <v>221859.17</v>
      </c>
      <c r="I397" s="3">
        <v>34.26</v>
      </c>
      <c r="J397" s="3">
        <v>4435.3</v>
      </c>
      <c r="K397" s="3">
        <v>11</v>
      </c>
      <c r="L397" s="3">
        <v>7.53</v>
      </c>
      <c r="M397" s="3">
        <v>27</v>
      </c>
    </row>
    <row r="398" spans="1:13" x14ac:dyDescent="0.3">
      <c r="A398" s="2">
        <v>2023</v>
      </c>
      <c r="B398" s="2" t="s">
        <v>9739</v>
      </c>
      <c r="C398" s="2" t="s">
        <v>28</v>
      </c>
      <c r="D398" s="2" t="s">
        <v>22</v>
      </c>
      <c r="E398" s="2">
        <v>145</v>
      </c>
      <c r="F398" s="2">
        <v>4625458.92</v>
      </c>
      <c r="G398" s="2">
        <v>3117940.62</v>
      </c>
      <c r="H398" s="2">
        <v>1507518.3</v>
      </c>
      <c r="I398" s="2">
        <v>32.590000000000003</v>
      </c>
      <c r="J398" s="2">
        <v>31899.72</v>
      </c>
      <c r="K398" s="2">
        <v>21</v>
      </c>
      <c r="L398" s="2">
        <v>14.48</v>
      </c>
      <c r="M398" s="2">
        <v>7</v>
      </c>
    </row>
    <row r="399" spans="1:13" x14ac:dyDescent="0.3">
      <c r="A399" s="3">
        <v>2023</v>
      </c>
      <c r="B399" s="3" t="s">
        <v>9739</v>
      </c>
      <c r="C399" s="3" t="s">
        <v>28</v>
      </c>
      <c r="D399" s="3" t="s">
        <v>29</v>
      </c>
      <c r="E399" s="3">
        <v>192</v>
      </c>
      <c r="F399" s="3">
        <v>4554202.3600000003</v>
      </c>
      <c r="G399" s="3">
        <v>2663864.41</v>
      </c>
      <c r="H399" s="3">
        <v>1890337.95</v>
      </c>
      <c r="I399" s="3">
        <v>41.51</v>
      </c>
      <c r="J399" s="3">
        <v>23719.8</v>
      </c>
      <c r="K399" s="3">
        <v>13</v>
      </c>
      <c r="L399" s="3">
        <v>6.77</v>
      </c>
      <c r="M399" s="3">
        <v>86</v>
      </c>
    </row>
    <row r="400" spans="1:13" x14ac:dyDescent="0.3">
      <c r="A400" s="2">
        <v>2023</v>
      </c>
      <c r="B400" s="2" t="s">
        <v>9739</v>
      </c>
      <c r="C400" s="2" t="s">
        <v>28</v>
      </c>
      <c r="D400" s="2" t="s">
        <v>14</v>
      </c>
      <c r="E400" s="2">
        <v>201</v>
      </c>
      <c r="F400" s="2">
        <v>763144.06</v>
      </c>
      <c r="G400" s="2">
        <v>413410.12</v>
      </c>
      <c r="H400" s="2">
        <v>349733.94</v>
      </c>
      <c r="I400" s="2">
        <v>45.83</v>
      </c>
      <c r="J400" s="2">
        <v>3796.74</v>
      </c>
      <c r="K400" s="2">
        <v>9</v>
      </c>
      <c r="L400" s="2">
        <v>4.4800000000000004</v>
      </c>
      <c r="M400" s="2">
        <v>34</v>
      </c>
    </row>
    <row r="401" spans="1:13" x14ac:dyDescent="0.3">
      <c r="A401" s="3">
        <v>2023</v>
      </c>
      <c r="B401" s="3" t="s">
        <v>9739</v>
      </c>
      <c r="C401" s="3" t="s">
        <v>28</v>
      </c>
      <c r="D401" s="3" t="s">
        <v>39</v>
      </c>
      <c r="E401" s="3">
        <v>54</v>
      </c>
      <c r="F401" s="3">
        <v>2871643.51</v>
      </c>
      <c r="G401" s="3">
        <v>1652411.91</v>
      </c>
      <c r="H401" s="3">
        <v>1219231.6000000001</v>
      </c>
      <c r="I401" s="3">
        <v>42.46</v>
      </c>
      <c r="J401" s="3">
        <v>53178.58</v>
      </c>
      <c r="K401" s="3">
        <v>23</v>
      </c>
      <c r="L401" s="3">
        <v>42.59</v>
      </c>
      <c r="M401" s="3">
        <v>63</v>
      </c>
    </row>
    <row r="402" spans="1:13" x14ac:dyDescent="0.3">
      <c r="A402" s="2">
        <v>2023</v>
      </c>
      <c r="B402" s="2" t="s">
        <v>9740</v>
      </c>
      <c r="C402" s="2" t="s">
        <v>21</v>
      </c>
      <c r="D402" s="2" t="s">
        <v>22</v>
      </c>
      <c r="E402" s="2">
        <v>169</v>
      </c>
      <c r="F402" s="2">
        <v>4508623.59</v>
      </c>
      <c r="G402" s="2">
        <v>2808912.27</v>
      </c>
      <c r="H402" s="2">
        <v>1699711.32</v>
      </c>
      <c r="I402" s="2">
        <v>37.700000000000003</v>
      </c>
      <c r="J402" s="2">
        <v>26678.25</v>
      </c>
      <c r="K402" s="2">
        <v>22</v>
      </c>
      <c r="L402" s="2">
        <v>13.02</v>
      </c>
      <c r="M402" s="2">
        <v>71</v>
      </c>
    </row>
    <row r="403" spans="1:13" x14ac:dyDescent="0.3">
      <c r="A403" s="3">
        <v>2023</v>
      </c>
      <c r="B403" s="3" t="s">
        <v>9740</v>
      </c>
      <c r="C403" s="3" t="s">
        <v>21</v>
      </c>
      <c r="D403" s="3" t="s">
        <v>29</v>
      </c>
      <c r="E403" s="3">
        <v>54</v>
      </c>
      <c r="F403" s="3">
        <v>2126303.9</v>
      </c>
      <c r="G403" s="3">
        <v>1186971.92</v>
      </c>
      <c r="H403" s="3">
        <v>939331.98</v>
      </c>
      <c r="I403" s="3">
        <v>44.18</v>
      </c>
      <c r="J403" s="3">
        <v>39376</v>
      </c>
      <c r="K403" s="3">
        <v>16</v>
      </c>
      <c r="L403" s="3">
        <v>29.63</v>
      </c>
      <c r="M403" s="3">
        <v>43</v>
      </c>
    </row>
    <row r="404" spans="1:13" x14ac:dyDescent="0.3">
      <c r="A404" s="2">
        <v>2023</v>
      </c>
      <c r="B404" s="2" t="s">
        <v>9740</v>
      </c>
      <c r="C404" s="2" t="s">
        <v>21</v>
      </c>
      <c r="D404" s="2" t="s">
        <v>14</v>
      </c>
      <c r="E404" s="2">
        <v>222</v>
      </c>
      <c r="F404" s="2">
        <v>4648884.83</v>
      </c>
      <c r="G404" s="2">
        <v>2574618.4300000002</v>
      </c>
      <c r="H404" s="2">
        <v>2074266.4</v>
      </c>
      <c r="I404" s="2">
        <v>44.62</v>
      </c>
      <c r="J404" s="2">
        <v>20940.919999999998</v>
      </c>
      <c r="K404" s="2">
        <v>28</v>
      </c>
      <c r="L404" s="2">
        <v>12.61</v>
      </c>
      <c r="M404" s="2">
        <v>33</v>
      </c>
    </row>
    <row r="405" spans="1:13" x14ac:dyDescent="0.3">
      <c r="A405" s="3">
        <v>2023</v>
      </c>
      <c r="B405" s="3" t="s">
        <v>9740</v>
      </c>
      <c r="C405" s="3" t="s">
        <v>21</v>
      </c>
      <c r="D405" s="3" t="s">
        <v>39</v>
      </c>
      <c r="E405" s="3">
        <v>80</v>
      </c>
      <c r="F405" s="3">
        <v>1505835.9</v>
      </c>
      <c r="G405" s="3">
        <v>813024.46</v>
      </c>
      <c r="H405" s="3">
        <v>692811.44</v>
      </c>
      <c r="I405" s="3">
        <v>46.01</v>
      </c>
      <c r="J405" s="3">
        <v>18822.95</v>
      </c>
      <c r="K405" s="3">
        <v>13</v>
      </c>
      <c r="L405" s="3">
        <v>16.25</v>
      </c>
      <c r="M405" s="3">
        <v>6</v>
      </c>
    </row>
    <row r="406" spans="1:13" x14ac:dyDescent="0.3">
      <c r="A406" s="2">
        <v>2023</v>
      </c>
      <c r="B406" s="2" t="s">
        <v>9740</v>
      </c>
      <c r="C406" s="2" t="s">
        <v>19</v>
      </c>
      <c r="D406" s="2" t="s">
        <v>22</v>
      </c>
      <c r="E406" s="2">
        <v>142</v>
      </c>
      <c r="F406" s="2">
        <v>1298008.95</v>
      </c>
      <c r="G406" s="2">
        <v>667136.44999999995</v>
      </c>
      <c r="H406" s="2">
        <v>630872.5</v>
      </c>
      <c r="I406" s="2">
        <v>48.6</v>
      </c>
      <c r="J406" s="2">
        <v>9140.91</v>
      </c>
      <c r="K406" s="2">
        <v>8</v>
      </c>
      <c r="L406" s="2">
        <v>5.63</v>
      </c>
      <c r="M406" s="2">
        <v>59</v>
      </c>
    </row>
    <row r="407" spans="1:13" x14ac:dyDescent="0.3">
      <c r="A407" s="3">
        <v>2023</v>
      </c>
      <c r="B407" s="3" t="s">
        <v>9740</v>
      </c>
      <c r="C407" s="3" t="s">
        <v>19</v>
      </c>
      <c r="D407" s="3" t="s">
        <v>29</v>
      </c>
      <c r="E407" s="3">
        <v>113</v>
      </c>
      <c r="F407" s="3">
        <v>1795016.57</v>
      </c>
      <c r="G407" s="3">
        <v>1215378.24</v>
      </c>
      <c r="H407" s="3">
        <v>579638.32999999996</v>
      </c>
      <c r="I407" s="3">
        <v>32.29</v>
      </c>
      <c r="J407" s="3">
        <v>15885.1</v>
      </c>
      <c r="K407" s="3">
        <v>25</v>
      </c>
      <c r="L407" s="3">
        <v>22.12</v>
      </c>
      <c r="M407" s="3">
        <v>47</v>
      </c>
    </row>
    <row r="408" spans="1:13" x14ac:dyDescent="0.3">
      <c r="A408" s="2">
        <v>2023</v>
      </c>
      <c r="B408" s="2" t="s">
        <v>9740</v>
      </c>
      <c r="C408" s="2" t="s">
        <v>19</v>
      </c>
      <c r="D408" s="2" t="s">
        <v>14</v>
      </c>
      <c r="E408" s="2">
        <v>162</v>
      </c>
      <c r="F408" s="2">
        <v>554160.94999999995</v>
      </c>
      <c r="G408" s="2">
        <v>364394.61</v>
      </c>
      <c r="H408" s="2">
        <v>189766.34</v>
      </c>
      <c r="I408" s="2">
        <v>34.24</v>
      </c>
      <c r="J408" s="2">
        <v>3420.75</v>
      </c>
      <c r="K408" s="2">
        <v>0</v>
      </c>
      <c r="L408" s="2">
        <v>0</v>
      </c>
      <c r="M408" s="2">
        <v>91</v>
      </c>
    </row>
    <row r="409" spans="1:13" x14ac:dyDescent="0.3">
      <c r="A409" s="3">
        <v>2023</v>
      </c>
      <c r="B409" s="3" t="s">
        <v>9740</v>
      </c>
      <c r="C409" s="3" t="s">
        <v>19</v>
      </c>
      <c r="D409" s="3" t="s">
        <v>39</v>
      </c>
      <c r="E409" s="3">
        <v>161</v>
      </c>
      <c r="F409" s="3">
        <v>3989146.77</v>
      </c>
      <c r="G409" s="3">
        <v>2151489.21</v>
      </c>
      <c r="H409" s="3">
        <v>1837657.56</v>
      </c>
      <c r="I409" s="3">
        <v>46.07</v>
      </c>
      <c r="J409" s="3">
        <v>24777.31</v>
      </c>
      <c r="K409" s="3">
        <v>10</v>
      </c>
      <c r="L409" s="3">
        <v>6.21</v>
      </c>
      <c r="M409" s="3">
        <v>91</v>
      </c>
    </row>
    <row r="410" spans="1:13" x14ac:dyDescent="0.3">
      <c r="A410" s="2">
        <v>2023</v>
      </c>
      <c r="B410" s="2" t="s">
        <v>9740</v>
      </c>
      <c r="C410" s="2" t="s">
        <v>13</v>
      </c>
      <c r="D410" s="2" t="s">
        <v>22</v>
      </c>
      <c r="E410" s="2">
        <v>183</v>
      </c>
      <c r="F410" s="2">
        <v>1100951.92</v>
      </c>
      <c r="G410" s="2">
        <v>765136.58</v>
      </c>
      <c r="H410" s="2">
        <v>335815.34</v>
      </c>
      <c r="I410" s="2">
        <v>30.5</v>
      </c>
      <c r="J410" s="2">
        <v>6016.13</v>
      </c>
      <c r="K410" s="2">
        <v>20</v>
      </c>
      <c r="L410" s="2">
        <v>10.93</v>
      </c>
      <c r="M410" s="2">
        <v>8</v>
      </c>
    </row>
    <row r="411" spans="1:13" x14ac:dyDescent="0.3">
      <c r="A411" s="3">
        <v>2023</v>
      </c>
      <c r="B411" s="3" t="s">
        <v>9740</v>
      </c>
      <c r="C411" s="3" t="s">
        <v>13</v>
      </c>
      <c r="D411" s="3" t="s">
        <v>29</v>
      </c>
      <c r="E411" s="3">
        <v>176</v>
      </c>
      <c r="F411" s="3">
        <v>2089815.77</v>
      </c>
      <c r="G411" s="3">
        <v>1164244.73</v>
      </c>
      <c r="H411" s="3">
        <v>925571.04</v>
      </c>
      <c r="I411" s="3">
        <v>44.29</v>
      </c>
      <c r="J411" s="3">
        <v>11873.95</v>
      </c>
      <c r="K411" s="3">
        <v>0</v>
      </c>
      <c r="L411" s="3">
        <v>0</v>
      </c>
      <c r="M411" s="3">
        <v>40</v>
      </c>
    </row>
    <row r="412" spans="1:13" x14ac:dyDescent="0.3">
      <c r="A412" s="2">
        <v>2023</v>
      </c>
      <c r="B412" s="2" t="s">
        <v>9740</v>
      </c>
      <c r="C412" s="2" t="s">
        <v>13</v>
      </c>
      <c r="D412" s="2" t="s">
        <v>14</v>
      </c>
      <c r="E412" s="2">
        <v>74</v>
      </c>
      <c r="F412" s="2">
        <v>486934.27</v>
      </c>
      <c r="G412" s="2">
        <v>274481.59000000003</v>
      </c>
      <c r="H412" s="2">
        <v>212452.68</v>
      </c>
      <c r="I412" s="2">
        <v>43.63</v>
      </c>
      <c r="J412" s="2">
        <v>6580.19</v>
      </c>
      <c r="K412" s="2">
        <v>11</v>
      </c>
      <c r="L412" s="2">
        <v>14.86</v>
      </c>
      <c r="M412" s="2">
        <v>32</v>
      </c>
    </row>
    <row r="413" spans="1:13" x14ac:dyDescent="0.3">
      <c r="A413" s="3">
        <v>2023</v>
      </c>
      <c r="B413" s="3" t="s">
        <v>9740</v>
      </c>
      <c r="C413" s="3" t="s">
        <v>13</v>
      </c>
      <c r="D413" s="3" t="s">
        <v>39</v>
      </c>
      <c r="E413" s="3">
        <v>133</v>
      </c>
      <c r="F413" s="3">
        <v>2982548.96</v>
      </c>
      <c r="G413" s="3">
        <v>1892792.72</v>
      </c>
      <c r="H413" s="3">
        <v>1089756.24</v>
      </c>
      <c r="I413" s="3">
        <v>36.54</v>
      </c>
      <c r="J413" s="3">
        <v>22425.18</v>
      </c>
      <c r="K413" s="3">
        <v>11</v>
      </c>
      <c r="L413" s="3">
        <v>8.27</v>
      </c>
      <c r="M413" s="3">
        <v>87</v>
      </c>
    </row>
    <row r="414" spans="1:13" x14ac:dyDescent="0.3">
      <c r="A414" s="2">
        <v>2023</v>
      </c>
      <c r="B414" s="2" t="s">
        <v>9740</v>
      </c>
      <c r="C414" s="2" t="s">
        <v>27</v>
      </c>
      <c r="D414" s="2" t="s">
        <v>22</v>
      </c>
      <c r="E414" s="2">
        <v>252</v>
      </c>
      <c r="F414" s="2">
        <v>1385374.75</v>
      </c>
      <c r="G414" s="2">
        <v>811220.65</v>
      </c>
      <c r="H414" s="2">
        <v>574154.1</v>
      </c>
      <c r="I414" s="2">
        <v>41.44</v>
      </c>
      <c r="J414" s="2">
        <v>5497.52</v>
      </c>
      <c r="K414" s="2">
        <v>13</v>
      </c>
      <c r="L414" s="2">
        <v>5.16</v>
      </c>
      <c r="M414" s="2">
        <v>64</v>
      </c>
    </row>
    <row r="415" spans="1:13" x14ac:dyDescent="0.3">
      <c r="A415" s="3">
        <v>2023</v>
      </c>
      <c r="B415" s="3" t="s">
        <v>9740</v>
      </c>
      <c r="C415" s="3" t="s">
        <v>27</v>
      </c>
      <c r="D415" s="3" t="s">
        <v>29</v>
      </c>
      <c r="E415" s="3">
        <v>277</v>
      </c>
      <c r="F415" s="3">
        <v>177802.44</v>
      </c>
      <c r="G415" s="3">
        <v>108162.49</v>
      </c>
      <c r="H415" s="3">
        <v>69639.95</v>
      </c>
      <c r="I415" s="3">
        <v>39.17</v>
      </c>
      <c r="J415" s="3">
        <v>641.89</v>
      </c>
      <c r="K415" s="3">
        <v>2</v>
      </c>
      <c r="L415" s="3">
        <v>0.72</v>
      </c>
      <c r="M415" s="3">
        <v>28</v>
      </c>
    </row>
    <row r="416" spans="1:13" x14ac:dyDescent="0.3">
      <c r="A416" s="2">
        <v>2023</v>
      </c>
      <c r="B416" s="2" t="s">
        <v>9740</v>
      </c>
      <c r="C416" s="2" t="s">
        <v>27</v>
      </c>
      <c r="D416" s="2" t="s">
        <v>14</v>
      </c>
      <c r="E416" s="2">
        <v>151</v>
      </c>
      <c r="F416" s="2">
        <v>2199937.64</v>
      </c>
      <c r="G416" s="2">
        <v>1465285.29</v>
      </c>
      <c r="H416" s="2">
        <v>734652.35</v>
      </c>
      <c r="I416" s="2">
        <v>33.39</v>
      </c>
      <c r="J416" s="2">
        <v>14569.12</v>
      </c>
      <c r="K416" s="2">
        <v>11</v>
      </c>
      <c r="L416" s="2">
        <v>7.28</v>
      </c>
      <c r="M416" s="2">
        <v>30</v>
      </c>
    </row>
    <row r="417" spans="1:13" x14ac:dyDescent="0.3">
      <c r="A417" s="3">
        <v>2023</v>
      </c>
      <c r="B417" s="3" t="s">
        <v>9740</v>
      </c>
      <c r="C417" s="3" t="s">
        <v>27</v>
      </c>
      <c r="D417" s="3" t="s">
        <v>39</v>
      </c>
      <c r="E417" s="3">
        <v>21</v>
      </c>
      <c r="F417" s="3">
        <v>2459144.4</v>
      </c>
      <c r="G417" s="3">
        <v>1617525.51</v>
      </c>
      <c r="H417" s="3">
        <v>841618.89</v>
      </c>
      <c r="I417" s="3">
        <v>34.22</v>
      </c>
      <c r="J417" s="3">
        <v>117102.11</v>
      </c>
      <c r="K417" s="3">
        <v>23</v>
      </c>
      <c r="L417" s="3">
        <v>109.52</v>
      </c>
      <c r="M417" s="3">
        <v>27</v>
      </c>
    </row>
    <row r="418" spans="1:13" x14ac:dyDescent="0.3">
      <c r="A418" s="2">
        <v>2023</v>
      </c>
      <c r="B418" s="2" t="s">
        <v>9740</v>
      </c>
      <c r="C418" s="2" t="s">
        <v>28</v>
      </c>
      <c r="D418" s="2" t="s">
        <v>22</v>
      </c>
      <c r="E418" s="2">
        <v>205</v>
      </c>
      <c r="F418" s="2">
        <v>1711258.26</v>
      </c>
      <c r="G418" s="2">
        <v>905651.52</v>
      </c>
      <c r="H418" s="2">
        <v>805606.74</v>
      </c>
      <c r="I418" s="2">
        <v>47.08</v>
      </c>
      <c r="J418" s="2">
        <v>8347.6</v>
      </c>
      <c r="K418" s="2">
        <v>10</v>
      </c>
      <c r="L418" s="2">
        <v>4.88</v>
      </c>
      <c r="M418" s="2">
        <v>62</v>
      </c>
    </row>
    <row r="419" spans="1:13" x14ac:dyDescent="0.3">
      <c r="A419" s="3">
        <v>2023</v>
      </c>
      <c r="B419" s="3" t="s">
        <v>9740</v>
      </c>
      <c r="C419" s="3" t="s">
        <v>28</v>
      </c>
      <c r="D419" s="3" t="s">
        <v>29</v>
      </c>
      <c r="E419" s="3">
        <v>107</v>
      </c>
      <c r="F419" s="3">
        <v>4586297.49</v>
      </c>
      <c r="G419" s="3">
        <v>2506963.7599999998</v>
      </c>
      <c r="H419" s="3">
        <v>2079333.73</v>
      </c>
      <c r="I419" s="3">
        <v>45.34</v>
      </c>
      <c r="J419" s="3">
        <v>42862.59</v>
      </c>
      <c r="K419" s="3">
        <v>8</v>
      </c>
      <c r="L419" s="3">
        <v>7.48</v>
      </c>
      <c r="M419" s="3">
        <v>76</v>
      </c>
    </row>
    <row r="420" spans="1:13" x14ac:dyDescent="0.3">
      <c r="A420" s="2">
        <v>2023</v>
      </c>
      <c r="B420" s="2" t="s">
        <v>9740</v>
      </c>
      <c r="C420" s="2" t="s">
        <v>28</v>
      </c>
      <c r="D420" s="2" t="s">
        <v>14</v>
      </c>
      <c r="E420" s="2">
        <v>246</v>
      </c>
      <c r="F420" s="2">
        <v>3169153.99</v>
      </c>
      <c r="G420" s="2">
        <v>1815978.78</v>
      </c>
      <c r="H420" s="2">
        <v>1353175.21</v>
      </c>
      <c r="I420" s="2">
        <v>42.7</v>
      </c>
      <c r="J420" s="2">
        <v>12882.74</v>
      </c>
      <c r="K420" s="2">
        <v>27</v>
      </c>
      <c r="L420" s="2">
        <v>10.98</v>
      </c>
      <c r="M420" s="2">
        <v>51</v>
      </c>
    </row>
    <row r="421" spans="1:13" x14ac:dyDescent="0.3">
      <c r="A421" s="3">
        <v>2023</v>
      </c>
      <c r="B421" s="3" t="s">
        <v>9740</v>
      </c>
      <c r="C421" s="3" t="s">
        <v>28</v>
      </c>
      <c r="D421" s="3" t="s">
        <v>39</v>
      </c>
      <c r="E421" s="3">
        <v>232</v>
      </c>
      <c r="F421" s="3">
        <v>2555827.06</v>
      </c>
      <c r="G421" s="3">
        <v>1773290.33</v>
      </c>
      <c r="H421" s="3">
        <v>782536.73</v>
      </c>
      <c r="I421" s="3">
        <v>30.62</v>
      </c>
      <c r="J421" s="3">
        <v>11016.5</v>
      </c>
      <c r="K421" s="3">
        <v>6</v>
      </c>
      <c r="L421" s="3">
        <v>2.59</v>
      </c>
      <c r="M421" s="3">
        <v>75</v>
      </c>
    </row>
    <row r="422" spans="1:13" x14ac:dyDescent="0.3">
      <c r="A422" s="2">
        <v>2023</v>
      </c>
      <c r="B422" s="2" t="s">
        <v>9741</v>
      </c>
      <c r="C422" s="2" t="s">
        <v>21</v>
      </c>
      <c r="D422" s="2" t="s">
        <v>22</v>
      </c>
      <c r="E422" s="2">
        <v>86</v>
      </c>
      <c r="F422" s="2">
        <v>4750454.51</v>
      </c>
      <c r="G422" s="2">
        <v>2875529.27</v>
      </c>
      <c r="H422" s="2">
        <v>1874925.24</v>
      </c>
      <c r="I422" s="2">
        <v>39.47</v>
      </c>
      <c r="J422" s="2">
        <v>55237.84</v>
      </c>
      <c r="K422" s="2">
        <v>17</v>
      </c>
      <c r="L422" s="2">
        <v>19.77</v>
      </c>
      <c r="M422" s="2">
        <v>64</v>
      </c>
    </row>
    <row r="423" spans="1:13" x14ac:dyDescent="0.3">
      <c r="A423" s="3">
        <v>2023</v>
      </c>
      <c r="B423" s="3" t="s">
        <v>9741</v>
      </c>
      <c r="C423" s="3" t="s">
        <v>21</v>
      </c>
      <c r="D423" s="3" t="s">
        <v>29</v>
      </c>
      <c r="E423" s="3">
        <v>191</v>
      </c>
      <c r="F423" s="3">
        <v>1955962.64</v>
      </c>
      <c r="G423" s="3">
        <v>1209572.28</v>
      </c>
      <c r="H423" s="3">
        <v>746390.36</v>
      </c>
      <c r="I423" s="3">
        <v>38.159999999999997</v>
      </c>
      <c r="J423" s="3">
        <v>10240.64</v>
      </c>
      <c r="K423" s="3">
        <v>19</v>
      </c>
      <c r="L423" s="3">
        <v>9.9499999999999993</v>
      </c>
      <c r="M423" s="3">
        <v>83</v>
      </c>
    </row>
    <row r="424" spans="1:13" x14ac:dyDescent="0.3">
      <c r="A424" s="2">
        <v>2023</v>
      </c>
      <c r="B424" s="2" t="s">
        <v>9741</v>
      </c>
      <c r="C424" s="2" t="s">
        <v>21</v>
      </c>
      <c r="D424" s="2" t="s">
        <v>14</v>
      </c>
      <c r="E424" s="2">
        <v>27</v>
      </c>
      <c r="F424" s="2">
        <v>4529730.63</v>
      </c>
      <c r="G424" s="2">
        <v>2933123.27</v>
      </c>
      <c r="H424" s="2">
        <v>1596607.36</v>
      </c>
      <c r="I424" s="2">
        <v>35.25</v>
      </c>
      <c r="J424" s="2">
        <v>167767.79999999999</v>
      </c>
      <c r="K424" s="2">
        <v>29</v>
      </c>
      <c r="L424" s="2">
        <v>107.41</v>
      </c>
      <c r="M424" s="2">
        <v>45</v>
      </c>
    </row>
    <row r="425" spans="1:13" x14ac:dyDescent="0.3">
      <c r="A425" s="3">
        <v>2023</v>
      </c>
      <c r="B425" s="3" t="s">
        <v>9741</v>
      </c>
      <c r="C425" s="3" t="s">
        <v>21</v>
      </c>
      <c r="D425" s="3" t="s">
        <v>39</v>
      </c>
      <c r="E425" s="3">
        <v>220</v>
      </c>
      <c r="F425" s="3">
        <v>3031922.98</v>
      </c>
      <c r="G425" s="3">
        <v>2046562.39</v>
      </c>
      <c r="H425" s="3">
        <v>985360.59</v>
      </c>
      <c r="I425" s="3">
        <v>32.5</v>
      </c>
      <c r="J425" s="3">
        <v>13781.47</v>
      </c>
      <c r="K425" s="3">
        <v>4</v>
      </c>
      <c r="L425" s="3">
        <v>1.82</v>
      </c>
      <c r="M425" s="3">
        <v>11</v>
      </c>
    </row>
    <row r="426" spans="1:13" x14ac:dyDescent="0.3">
      <c r="A426" s="2">
        <v>2023</v>
      </c>
      <c r="B426" s="2" t="s">
        <v>9741</v>
      </c>
      <c r="C426" s="2" t="s">
        <v>19</v>
      </c>
      <c r="D426" s="2" t="s">
        <v>22</v>
      </c>
      <c r="E426" s="2">
        <v>98</v>
      </c>
      <c r="F426" s="2">
        <v>2685325.07</v>
      </c>
      <c r="G426" s="2">
        <v>1685297.59</v>
      </c>
      <c r="H426" s="2">
        <v>1000027.48</v>
      </c>
      <c r="I426" s="2">
        <v>37.24</v>
      </c>
      <c r="J426" s="2">
        <v>27401.279999999999</v>
      </c>
      <c r="K426" s="2">
        <v>6</v>
      </c>
      <c r="L426" s="2">
        <v>6.12</v>
      </c>
      <c r="M426" s="2">
        <v>48</v>
      </c>
    </row>
    <row r="427" spans="1:13" x14ac:dyDescent="0.3">
      <c r="A427" s="3">
        <v>2023</v>
      </c>
      <c r="B427" s="3" t="s">
        <v>9741</v>
      </c>
      <c r="C427" s="3" t="s">
        <v>19</v>
      </c>
      <c r="D427" s="3" t="s">
        <v>29</v>
      </c>
      <c r="E427" s="3">
        <v>88</v>
      </c>
      <c r="F427" s="3">
        <v>3838664.59</v>
      </c>
      <c r="G427" s="3">
        <v>2265185.16</v>
      </c>
      <c r="H427" s="3">
        <v>1573479.43</v>
      </c>
      <c r="I427" s="3">
        <v>40.99</v>
      </c>
      <c r="J427" s="3">
        <v>43621.19</v>
      </c>
      <c r="K427" s="3">
        <v>26</v>
      </c>
      <c r="L427" s="3">
        <v>29.55</v>
      </c>
      <c r="M427" s="3">
        <v>90</v>
      </c>
    </row>
    <row r="428" spans="1:13" x14ac:dyDescent="0.3">
      <c r="A428" s="2">
        <v>2023</v>
      </c>
      <c r="B428" s="2" t="s">
        <v>9741</v>
      </c>
      <c r="C428" s="2" t="s">
        <v>19</v>
      </c>
      <c r="D428" s="2" t="s">
        <v>14</v>
      </c>
      <c r="E428" s="2">
        <v>266</v>
      </c>
      <c r="F428" s="2">
        <v>3891842.14</v>
      </c>
      <c r="G428" s="2">
        <v>2242553.46</v>
      </c>
      <c r="H428" s="2">
        <v>1649288.68</v>
      </c>
      <c r="I428" s="2">
        <v>42.38</v>
      </c>
      <c r="J428" s="2">
        <v>14630.99</v>
      </c>
      <c r="K428" s="2">
        <v>13</v>
      </c>
      <c r="L428" s="2">
        <v>4.8899999999999997</v>
      </c>
      <c r="M428" s="2">
        <v>65</v>
      </c>
    </row>
    <row r="429" spans="1:13" x14ac:dyDescent="0.3">
      <c r="A429" s="3">
        <v>2023</v>
      </c>
      <c r="B429" s="3" t="s">
        <v>9741</v>
      </c>
      <c r="C429" s="3" t="s">
        <v>19</v>
      </c>
      <c r="D429" s="3" t="s">
        <v>39</v>
      </c>
      <c r="E429" s="3">
        <v>130</v>
      </c>
      <c r="F429" s="3">
        <v>3258274.33</v>
      </c>
      <c r="G429" s="3">
        <v>1870157.35</v>
      </c>
      <c r="H429" s="3">
        <v>1388116.98</v>
      </c>
      <c r="I429" s="3">
        <v>42.6</v>
      </c>
      <c r="J429" s="3">
        <v>25063.65</v>
      </c>
      <c r="K429" s="3">
        <v>25</v>
      </c>
      <c r="L429" s="3">
        <v>19.23</v>
      </c>
      <c r="M429" s="3">
        <v>74</v>
      </c>
    </row>
    <row r="430" spans="1:13" x14ac:dyDescent="0.3">
      <c r="A430" s="2">
        <v>2023</v>
      </c>
      <c r="B430" s="2" t="s">
        <v>9741</v>
      </c>
      <c r="C430" s="2" t="s">
        <v>13</v>
      </c>
      <c r="D430" s="2" t="s">
        <v>22</v>
      </c>
      <c r="E430" s="2">
        <v>157</v>
      </c>
      <c r="F430" s="2">
        <v>667626.86</v>
      </c>
      <c r="G430" s="2">
        <v>347123.65</v>
      </c>
      <c r="H430" s="2">
        <v>320503.21000000002</v>
      </c>
      <c r="I430" s="2">
        <v>48.01</v>
      </c>
      <c r="J430" s="2">
        <v>4252.3999999999996</v>
      </c>
      <c r="K430" s="2">
        <v>8</v>
      </c>
      <c r="L430" s="2">
        <v>5.0999999999999996</v>
      </c>
      <c r="M430" s="2">
        <v>64</v>
      </c>
    </row>
    <row r="431" spans="1:13" x14ac:dyDescent="0.3">
      <c r="A431" s="3">
        <v>2023</v>
      </c>
      <c r="B431" s="3" t="s">
        <v>9741</v>
      </c>
      <c r="C431" s="3" t="s">
        <v>13</v>
      </c>
      <c r="D431" s="3" t="s">
        <v>29</v>
      </c>
      <c r="E431" s="3">
        <v>215</v>
      </c>
      <c r="F431" s="3">
        <v>4799857.9000000004</v>
      </c>
      <c r="G431" s="3">
        <v>2707811.89</v>
      </c>
      <c r="H431" s="3">
        <v>2092046.01</v>
      </c>
      <c r="I431" s="3">
        <v>43.59</v>
      </c>
      <c r="J431" s="3">
        <v>22324.92</v>
      </c>
      <c r="K431" s="3">
        <v>19</v>
      </c>
      <c r="L431" s="3">
        <v>8.84</v>
      </c>
      <c r="M431" s="3">
        <v>98</v>
      </c>
    </row>
    <row r="432" spans="1:13" x14ac:dyDescent="0.3">
      <c r="A432" s="2">
        <v>2023</v>
      </c>
      <c r="B432" s="2" t="s">
        <v>9741</v>
      </c>
      <c r="C432" s="2" t="s">
        <v>13</v>
      </c>
      <c r="D432" s="2" t="s">
        <v>14</v>
      </c>
      <c r="E432" s="2">
        <v>23</v>
      </c>
      <c r="F432" s="2">
        <v>2355878.2400000002</v>
      </c>
      <c r="G432" s="2">
        <v>1513153.37</v>
      </c>
      <c r="H432" s="2">
        <v>842724.87</v>
      </c>
      <c r="I432" s="2">
        <v>35.770000000000003</v>
      </c>
      <c r="J432" s="2">
        <v>102429.49</v>
      </c>
      <c r="K432" s="2">
        <v>3</v>
      </c>
      <c r="L432" s="2">
        <v>13.04</v>
      </c>
      <c r="M432" s="2">
        <v>52</v>
      </c>
    </row>
    <row r="433" spans="1:13" x14ac:dyDescent="0.3">
      <c r="A433" s="3">
        <v>2023</v>
      </c>
      <c r="B433" s="3" t="s">
        <v>9741</v>
      </c>
      <c r="C433" s="3" t="s">
        <v>13</v>
      </c>
      <c r="D433" s="3" t="s">
        <v>39</v>
      </c>
      <c r="E433" s="3">
        <v>92</v>
      </c>
      <c r="F433" s="3">
        <v>176727.08</v>
      </c>
      <c r="G433" s="3">
        <v>115839.98</v>
      </c>
      <c r="H433" s="3">
        <v>60887.1</v>
      </c>
      <c r="I433" s="3">
        <v>34.450000000000003</v>
      </c>
      <c r="J433" s="3">
        <v>1920.95</v>
      </c>
      <c r="K433" s="3">
        <v>10</v>
      </c>
      <c r="L433" s="3">
        <v>10.87</v>
      </c>
      <c r="M433" s="3">
        <v>9</v>
      </c>
    </row>
    <row r="434" spans="1:13" x14ac:dyDescent="0.3">
      <c r="A434" s="2">
        <v>2023</v>
      </c>
      <c r="B434" s="2" t="s">
        <v>9741</v>
      </c>
      <c r="C434" s="2" t="s">
        <v>27</v>
      </c>
      <c r="D434" s="2" t="s">
        <v>22</v>
      </c>
      <c r="E434" s="2">
        <v>279</v>
      </c>
      <c r="F434" s="2">
        <v>1142131.83</v>
      </c>
      <c r="G434" s="2">
        <v>661118.68000000005</v>
      </c>
      <c r="H434" s="2">
        <v>481013.15</v>
      </c>
      <c r="I434" s="2">
        <v>42.12</v>
      </c>
      <c r="J434" s="2">
        <v>4093.66</v>
      </c>
      <c r="K434" s="2">
        <v>13</v>
      </c>
      <c r="L434" s="2">
        <v>4.66</v>
      </c>
      <c r="M434" s="2">
        <v>8</v>
      </c>
    </row>
    <row r="435" spans="1:13" x14ac:dyDescent="0.3">
      <c r="A435" s="3">
        <v>2023</v>
      </c>
      <c r="B435" s="3" t="s">
        <v>9741</v>
      </c>
      <c r="C435" s="3" t="s">
        <v>27</v>
      </c>
      <c r="D435" s="3" t="s">
        <v>29</v>
      </c>
      <c r="E435" s="3">
        <v>242</v>
      </c>
      <c r="F435" s="3">
        <v>2390724.2000000002</v>
      </c>
      <c r="G435" s="3">
        <v>1614691.62</v>
      </c>
      <c r="H435" s="3">
        <v>776032.58</v>
      </c>
      <c r="I435" s="3">
        <v>32.46</v>
      </c>
      <c r="J435" s="3">
        <v>9879.0300000000007</v>
      </c>
      <c r="K435" s="3">
        <v>8</v>
      </c>
      <c r="L435" s="3">
        <v>3.31</v>
      </c>
      <c r="M435" s="3">
        <v>44</v>
      </c>
    </row>
    <row r="436" spans="1:13" x14ac:dyDescent="0.3">
      <c r="A436" s="2">
        <v>2023</v>
      </c>
      <c r="B436" s="2" t="s">
        <v>9741</v>
      </c>
      <c r="C436" s="2" t="s">
        <v>27</v>
      </c>
      <c r="D436" s="2" t="s">
        <v>14</v>
      </c>
      <c r="E436" s="2">
        <v>233</v>
      </c>
      <c r="F436" s="2">
        <v>1344845.63</v>
      </c>
      <c r="G436" s="2">
        <v>705415.19</v>
      </c>
      <c r="H436" s="2">
        <v>639430.43999999994</v>
      </c>
      <c r="I436" s="2">
        <v>47.55</v>
      </c>
      <c r="J436" s="2">
        <v>5771.87</v>
      </c>
      <c r="K436" s="2">
        <v>7</v>
      </c>
      <c r="L436" s="2">
        <v>3</v>
      </c>
      <c r="M436" s="2">
        <v>51</v>
      </c>
    </row>
    <row r="437" spans="1:13" x14ac:dyDescent="0.3">
      <c r="A437" s="3">
        <v>2023</v>
      </c>
      <c r="B437" s="3" t="s">
        <v>9741</v>
      </c>
      <c r="C437" s="3" t="s">
        <v>27</v>
      </c>
      <c r="D437" s="3" t="s">
        <v>39</v>
      </c>
      <c r="E437" s="3">
        <v>291</v>
      </c>
      <c r="F437" s="3">
        <v>3168028.71</v>
      </c>
      <c r="G437" s="3">
        <v>2091123.98</v>
      </c>
      <c r="H437" s="3">
        <v>1076904.73</v>
      </c>
      <c r="I437" s="3">
        <v>33.99</v>
      </c>
      <c r="J437" s="3">
        <v>10886.7</v>
      </c>
      <c r="K437" s="3">
        <v>5</v>
      </c>
      <c r="L437" s="3">
        <v>1.72</v>
      </c>
      <c r="M437" s="3">
        <v>89</v>
      </c>
    </row>
    <row r="438" spans="1:13" x14ac:dyDescent="0.3">
      <c r="A438" s="2">
        <v>2023</v>
      </c>
      <c r="B438" s="2" t="s">
        <v>9741</v>
      </c>
      <c r="C438" s="2" t="s">
        <v>28</v>
      </c>
      <c r="D438" s="2" t="s">
        <v>22</v>
      </c>
      <c r="E438" s="2">
        <v>267</v>
      </c>
      <c r="F438" s="2">
        <v>3448355.22</v>
      </c>
      <c r="G438" s="2">
        <v>1739164.93</v>
      </c>
      <c r="H438" s="2">
        <v>1709190.29</v>
      </c>
      <c r="I438" s="2">
        <v>49.57</v>
      </c>
      <c r="J438" s="2">
        <v>12915.19</v>
      </c>
      <c r="K438" s="2">
        <v>12</v>
      </c>
      <c r="L438" s="2">
        <v>4.49</v>
      </c>
      <c r="M438" s="2">
        <v>81</v>
      </c>
    </row>
    <row r="439" spans="1:13" x14ac:dyDescent="0.3">
      <c r="A439" s="3">
        <v>2023</v>
      </c>
      <c r="B439" s="3" t="s">
        <v>9741</v>
      </c>
      <c r="C439" s="3" t="s">
        <v>28</v>
      </c>
      <c r="D439" s="3" t="s">
        <v>29</v>
      </c>
      <c r="E439" s="3">
        <v>96</v>
      </c>
      <c r="F439" s="3">
        <v>478297.52</v>
      </c>
      <c r="G439" s="3">
        <v>254056.78</v>
      </c>
      <c r="H439" s="3">
        <v>224240.74</v>
      </c>
      <c r="I439" s="3">
        <v>46.88</v>
      </c>
      <c r="J439" s="3">
        <v>4982.2700000000004</v>
      </c>
      <c r="K439" s="3">
        <v>1</v>
      </c>
      <c r="L439" s="3">
        <v>1.04</v>
      </c>
      <c r="M439" s="3">
        <v>24</v>
      </c>
    </row>
    <row r="440" spans="1:13" x14ac:dyDescent="0.3">
      <c r="A440" s="2">
        <v>2023</v>
      </c>
      <c r="B440" s="2" t="s">
        <v>9741</v>
      </c>
      <c r="C440" s="2" t="s">
        <v>28</v>
      </c>
      <c r="D440" s="2" t="s">
        <v>14</v>
      </c>
      <c r="E440" s="2">
        <v>165</v>
      </c>
      <c r="F440" s="2">
        <v>1620307.79</v>
      </c>
      <c r="G440" s="2">
        <v>952626.65</v>
      </c>
      <c r="H440" s="2">
        <v>667681.14</v>
      </c>
      <c r="I440" s="2">
        <v>41.21</v>
      </c>
      <c r="J440" s="2">
        <v>9820.0499999999993</v>
      </c>
      <c r="K440" s="2">
        <v>5</v>
      </c>
      <c r="L440" s="2">
        <v>3.03</v>
      </c>
      <c r="M440" s="2">
        <v>42</v>
      </c>
    </row>
    <row r="441" spans="1:13" x14ac:dyDescent="0.3">
      <c r="A441" s="3">
        <v>2023</v>
      </c>
      <c r="B441" s="3" t="s">
        <v>9741</v>
      </c>
      <c r="C441" s="3" t="s">
        <v>28</v>
      </c>
      <c r="D441" s="3" t="s">
        <v>39</v>
      </c>
      <c r="E441" s="3">
        <v>292</v>
      </c>
      <c r="F441" s="3">
        <v>2048649.19</v>
      </c>
      <c r="G441" s="3">
        <v>1132100.97</v>
      </c>
      <c r="H441" s="3">
        <v>916548.22</v>
      </c>
      <c r="I441" s="3">
        <v>44.74</v>
      </c>
      <c r="J441" s="3">
        <v>7015.92</v>
      </c>
      <c r="K441" s="3">
        <v>24</v>
      </c>
      <c r="L441" s="3">
        <v>8.2200000000000006</v>
      </c>
      <c r="M441" s="3">
        <v>92</v>
      </c>
    </row>
    <row r="442" spans="1:13" x14ac:dyDescent="0.3">
      <c r="A442" s="2">
        <v>2023</v>
      </c>
      <c r="B442" s="2" t="s">
        <v>9742</v>
      </c>
      <c r="C442" s="2" t="s">
        <v>21</v>
      </c>
      <c r="D442" s="2" t="s">
        <v>22</v>
      </c>
      <c r="E442" s="2">
        <v>296</v>
      </c>
      <c r="F442" s="2">
        <v>573975.81000000006</v>
      </c>
      <c r="G442" s="2">
        <v>326839.36</v>
      </c>
      <c r="H442" s="2">
        <v>247136.45</v>
      </c>
      <c r="I442" s="2">
        <v>43.06</v>
      </c>
      <c r="J442" s="2">
        <v>1939.11</v>
      </c>
      <c r="K442" s="2">
        <v>21</v>
      </c>
      <c r="L442" s="2">
        <v>7.09</v>
      </c>
      <c r="M442" s="2">
        <v>48</v>
      </c>
    </row>
    <row r="443" spans="1:13" x14ac:dyDescent="0.3">
      <c r="A443" s="3">
        <v>2023</v>
      </c>
      <c r="B443" s="3" t="s">
        <v>9742</v>
      </c>
      <c r="C443" s="3" t="s">
        <v>21</v>
      </c>
      <c r="D443" s="3" t="s">
        <v>29</v>
      </c>
      <c r="E443" s="3">
        <v>70</v>
      </c>
      <c r="F443" s="3">
        <v>3202373.05</v>
      </c>
      <c r="G443" s="3">
        <v>1894055.39</v>
      </c>
      <c r="H443" s="3">
        <v>1308317.6599999999</v>
      </c>
      <c r="I443" s="3">
        <v>40.85</v>
      </c>
      <c r="J443" s="3">
        <v>45748.19</v>
      </c>
      <c r="K443" s="3">
        <v>8</v>
      </c>
      <c r="L443" s="3">
        <v>11.43</v>
      </c>
      <c r="M443" s="3">
        <v>36</v>
      </c>
    </row>
    <row r="444" spans="1:13" x14ac:dyDescent="0.3">
      <c r="A444" s="2">
        <v>2023</v>
      </c>
      <c r="B444" s="2" t="s">
        <v>9742</v>
      </c>
      <c r="C444" s="2" t="s">
        <v>21</v>
      </c>
      <c r="D444" s="2" t="s">
        <v>14</v>
      </c>
      <c r="E444" s="2">
        <v>166</v>
      </c>
      <c r="F444" s="2">
        <v>305950.5</v>
      </c>
      <c r="G444" s="2">
        <v>157832.16</v>
      </c>
      <c r="H444" s="2">
        <v>148118.34</v>
      </c>
      <c r="I444" s="2">
        <v>48.41</v>
      </c>
      <c r="J444" s="2">
        <v>1843.08</v>
      </c>
      <c r="K444" s="2">
        <v>15</v>
      </c>
      <c r="L444" s="2">
        <v>9.0399999999999991</v>
      </c>
      <c r="M444" s="2">
        <v>12</v>
      </c>
    </row>
    <row r="445" spans="1:13" x14ac:dyDescent="0.3">
      <c r="A445" s="3">
        <v>2023</v>
      </c>
      <c r="B445" s="3" t="s">
        <v>9742</v>
      </c>
      <c r="C445" s="3" t="s">
        <v>21</v>
      </c>
      <c r="D445" s="3" t="s">
        <v>39</v>
      </c>
      <c r="E445" s="3">
        <v>106</v>
      </c>
      <c r="F445" s="3">
        <v>138463.31</v>
      </c>
      <c r="G445" s="3">
        <v>94650.73</v>
      </c>
      <c r="H445" s="3">
        <v>43812.58</v>
      </c>
      <c r="I445" s="3">
        <v>31.64</v>
      </c>
      <c r="J445" s="3">
        <v>1306.26</v>
      </c>
      <c r="K445" s="3">
        <v>28</v>
      </c>
      <c r="L445" s="3">
        <v>26.42</v>
      </c>
      <c r="M445" s="3">
        <v>39</v>
      </c>
    </row>
    <row r="446" spans="1:13" x14ac:dyDescent="0.3">
      <c r="A446" s="2">
        <v>2023</v>
      </c>
      <c r="B446" s="2" t="s">
        <v>9742</v>
      </c>
      <c r="C446" s="2" t="s">
        <v>19</v>
      </c>
      <c r="D446" s="2" t="s">
        <v>22</v>
      </c>
      <c r="E446" s="2">
        <v>284</v>
      </c>
      <c r="F446" s="2">
        <v>4799518.66</v>
      </c>
      <c r="G446" s="2">
        <v>2561948.65</v>
      </c>
      <c r="H446" s="2">
        <v>2237570.0099999998</v>
      </c>
      <c r="I446" s="2">
        <v>46.62</v>
      </c>
      <c r="J446" s="2">
        <v>16899.71</v>
      </c>
      <c r="K446" s="2">
        <v>9</v>
      </c>
      <c r="L446" s="2">
        <v>3.17</v>
      </c>
      <c r="M446" s="2">
        <v>70</v>
      </c>
    </row>
    <row r="447" spans="1:13" x14ac:dyDescent="0.3">
      <c r="A447" s="3">
        <v>2023</v>
      </c>
      <c r="B447" s="3" t="s">
        <v>9742</v>
      </c>
      <c r="C447" s="3" t="s">
        <v>19</v>
      </c>
      <c r="D447" s="3" t="s">
        <v>29</v>
      </c>
      <c r="E447" s="3">
        <v>236</v>
      </c>
      <c r="F447" s="3">
        <v>1015816.75</v>
      </c>
      <c r="G447" s="3">
        <v>698237.58</v>
      </c>
      <c r="H447" s="3">
        <v>317579.17</v>
      </c>
      <c r="I447" s="3">
        <v>31.26</v>
      </c>
      <c r="J447" s="3">
        <v>4304.3100000000004</v>
      </c>
      <c r="K447" s="3">
        <v>11</v>
      </c>
      <c r="L447" s="3">
        <v>4.66</v>
      </c>
      <c r="M447" s="3">
        <v>25</v>
      </c>
    </row>
    <row r="448" spans="1:13" x14ac:dyDescent="0.3">
      <c r="A448" s="2">
        <v>2023</v>
      </c>
      <c r="B448" s="2" t="s">
        <v>9742</v>
      </c>
      <c r="C448" s="2" t="s">
        <v>19</v>
      </c>
      <c r="D448" s="2" t="s">
        <v>14</v>
      </c>
      <c r="E448" s="2">
        <v>71</v>
      </c>
      <c r="F448" s="2">
        <v>1088152.49</v>
      </c>
      <c r="G448" s="2">
        <v>704142.3</v>
      </c>
      <c r="H448" s="2">
        <v>384010.19</v>
      </c>
      <c r="I448" s="2">
        <v>35.29</v>
      </c>
      <c r="J448" s="2">
        <v>15326.09</v>
      </c>
      <c r="K448" s="2">
        <v>15</v>
      </c>
      <c r="L448" s="2">
        <v>21.13</v>
      </c>
      <c r="M448" s="2">
        <v>86</v>
      </c>
    </row>
    <row r="449" spans="1:13" x14ac:dyDescent="0.3">
      <c r="A449" s="3">
        <v>2023</v>
      </c>
      <c r="B449" s="3" t="s">
        <v>9742</v>
      </c>
      <c r="C449" s="3" t="s">
        <v>19</v>
      </c>
      <c r="D449" s="3" t="s">
        <v>39</v>
      </c>
      <c r="E449" s="3">
        <v>179</v>
      </c>
      <c r="F449" s="3">
        <v>519220.65</v>
      </c>
      <c r="G449" s="3">
        <v>305304.14</v>
      </c>
      <c r="H449" s="3">
        <v>213916.51</v>
      </c>
      <c r="I449" s="3">
        <v>41.2</v>
      </c>
      <c r="J449" s="3">
        <v>2900.67</v>
      </c>
      <c r="K449" s="3">
        <v>3</v>
      </c>
      <c r="L449" s="3">
        <v>1.68</v>
      </c>
      <c r="M449" s="3">
        <v>37</v>
      </c>
    </row>
    <row r="450" spans="1:13" x14ac:dyDescent="0.3">
      <c r="A450" s="2">
        <v>2023</v>
      </c>
      <c r="B450" s="2" t="s">
        <v>9742</v>
      </c>
      <c r="C450" s="2" t="s">
        <v>13</v>
      </c>
      <c r="D450" s="2" t="s">
        <v>22</v>
      </c>
      <c r="E450" s="2">
        <v>175</v>
      </c>
      <c r="F450" s="2">
        <v>2601081.2400000002</v>
      </c>
      <c r="G450" s="2">
        <v>1688125.43</v>
      </c>
      <c r="H450" s="2">
        <v>912955.81</v>
      </c>
      <c r="I450" s="2">
        <v>35.1</v>
      </c>
      <c r="J450" s="2">
        <v>14863.32</v>
      </c>
      <c r="K450" s="2">
        <v>0</v>
      </c>
      <c r="L450" s="2">
        <v>0</v>
      </c>
      <c r="M450" s="2">
        <v>64</v>
      </c>
    </row>
    <row r="451" spans="1:13" x14ac:dyDescent="0.3">
      <c r="A451" s="3">
        <v>2023</v>
      </c>
      <c r="B451" s="3" t="s">
        <v>9742</v>
      </c>
      <c r="C451" s="3" t="s">
        <v>13</v>
      </c>
      <c r="D451" s="3" t="s">
        <v>29</v>
      </c>
      <c r="E451" s="3">
        <v>54</v>
      </c>
      <c r="F451" s="3">
        <v>1259079.95</v>
      </c>
      <c r="G451" s="3">
        <v>770725.61</v>
      </c>
      <c r="H451" s="3">
        <v>488354.34</v>
      </c>
      <c r="I451" s="3">
        <v>38.79</v>
      </c>
      <c r="J451" s="3">
        <v>23316.3</v>
      </c>
      <c r="K451" s="3">
        <v>10</v>
      </c>
      <c r="L451" s="3">
        <v>18.52</v>
      </c>
      <c r="M451" s="3">
        <v>55</v>
      </c>
    </row>
    <row r="452" spans="1:13" x14ac:dyDescent="0.3">
      <c r="A452" s="2">
        <v>2023</v>
      </c>
      <c r="B452" s="2" t="s">
        <v>9742</v>
      </c>
      <c r="C452" s="2" t="s">
        <v>13</v>
      </c>
      <c r="D452" s="2" t="s">
        <v>14</v>
      </c>
      <c r="E452" s="2">
        <v>286</v>
      </c>
      <c r="F452" s="2">
        <v>1442145.62</v>
      </c>
      <c r="G452" s="2">
        <v>881054.32</v>
      </c>
      <c r="H452" s="2">
        <v>561091.30000000005</v>
      </c>
      <c r="I452" s="2">
        <v>38.909999999999997</v>
      </c>
      <c r="J452" s="2">
        <v>5042.47</v>
      </c>
      <c r="K452" s="2">
        <v>2</v>
      </c>
      <c r="L452" s="2">
        <v>0.7</v>
      </c>
      <c r="M452" s="2">
        <v>60</v>
      </c>
    </row>
    <row r="453" spans="1:13" x14ac:dyDescent="0.3">
      <c r="A453" s="3">
        <v>2023</v>
      </c>
      <c r="B453" s="3" t="s">
        <v>9742</v>
      </c>
      <c r="C453" s="3" t="s">
        <v>13</v>
      </c>
      <c r="D453" s="3" t="s">
        <v>39</v>
      </c>
      <c r="E453" s="3">
        <v>101</v>
      </c>
      <c r="F453" s="3">
        <v>4622972.72</v>
      </c>
      <c r="G453" s="3">
        <v>3096139.71</v>
      </c>
      <c r="H453" s="3">
        <v>1526833.01</v>
      </c>
      <c r="I453" s="3">
        <v>33.03</v>
      </c>
      <c r="J453" s="3">
        <v>45772.01</v>
      </c>
      <c r="K453" s="3">
        <v>8</v>
      </c>
      <c r="L453" s="3">
        <v>7.92</v>
      </c>
      <c r="M453" s="3">
        <v>33</v>
      </c>
    </row>
    <row r="454" spans="1:13" x14ac:dyDescent="0.3">
      <c r="A454" s="2">
        <v>2023</v>
      </c>
      <c r="B454" s="2" t="s">
        <v>9742</v>
      </c>
      <c r="C454" s="2" t="s">
        <v>27</v>
      </c>
      <c r="D454" s="2" t="s">
        <v>22</v>
      </c>
      <c r="E454" s="2">
        <v>281</v>
      </c>
      <c r="F454" s="2">
        <v>4459674.1500000004</v>
      </c>
      <c r="G454" s="2">
        <v>2918876.44</v>
      </c>
      <c r="H454" s="2">
        <v>1540797.71</v>
      </c>
      <c r="I454" s="2">
        <v>34.549999999999997</v>
      </c>
      <c r="J454" s="2">
        <v>15870.73</v>
      </c>
      <c r="K454" s="2">
        <v>23</v>
      </c>
      <c r="L454" s="2">
        <v>8.19</v>
      </c>
      <c r="M454" s="2">
        <v>34</v>
      </c>
    </row>
    <row r="455" spans="1:13" x14ac:dyDescent="0.3">
      <c r="A455" s="3">
        <v>2023</v>
      </c>
      <c r="B455" s="3" t="s">
        <v>9742</v>
      </c>
      <c r="C455" s="3" t="s">
        <v>27</v>
      </c>
      <c r="D455" s="3" t="s">
        <v>29</v>
      </c>
      <c r="E455" s="3">
        <v>41</v>
      </c>
      <c r="F455" s="3">
        <v>3275235.2</v>
      </c>
      <c r="G455" s="3">
        <v>2196267.4700000002</v>
      </c>
      <c r="H455" s="3">
        <v>1078967.73</v>
      </c>
      <c r="I455" s="3">
        <v>32.94</v>
      </c>
      <c r="J455" s="3">
        <v>79883.789999999994</v>
      </c>
      <c r="K455" s="3">
        <v>8</v>
      </c>
      <c r="L455" s="3">
        <v>19.510000000000002</v>
      </c>
      <c r="M455" s="3">
        <v>41</v>
      </c>
    </row>
    <row r="456" spans="1:13" x14ac:dyDescent="0.3">
      <c r="A456" s="2">
        <v>2023</v>
      </c>
      <c r="B456" s="2" t="s">
        <v>9742</v>
      </c>
      <c r="C456" s="2" t="s">
        <v>27</v>
      </c>
      <c r="D456" s="2" t="s">
        <v>14</v>
      </c>
      <c r="E456" s="2">
        <v>299</v>
      </c>
      <c r="F456" s="2">
        <v>384753.96</v>
      </c>
      <c r="G456" s="2">
        <v>248005.32</v>
      </c>
      <c r="H456" s="2">
        <v>136748.64000000001</v>
      </c>
      <c r="I456" s="2">
        <v>35.54</v>
      </c>
      <c r="J456" s="2">
        <v>1286.8</v>
      </c>
      <c r="K456" s="2">
        <v>22</v>
      </c>
      <c r="L456" s="2">
        <v>7.36</v>
      </c>
      <c r="M456" s="2">
        <v>83</v>
      </c>
    </row>
    <row r="457" spans="1:13" x14ac:dyDescent="0.3">
      <c r="A457" s="3">
        <v>2023</v>
      </c>
      <c r="B457" s="3" t="s">
        <v>9742</v>
      </c>
      <c r="C457" s="3" t="s">
        <v>27</v>
      </c>
      <c r="D457" s="3" t="s">
        <v>39</v>
      </c>
      <c r="E457" s="3">
        <v>183</v>
      </c>
      <c r="F457" s="3">
        <v>4185735.95</v>
      </c>
      <c r="G457" s="3">
        <v>2187148.91</v>
      </c>
      <c r="H457" s="3">
        <v>1998587.04</v>
      </c>
      <c r="I457" s="3">
        <v>47.75</v>
      </c>
      <c r="J457" s="3">
        <v>22872.87</v>
      </c>
      <c r="K457" s="3">
        <v>26</v>
      </c>
      <c r="L457" s="3">
        <v>14.21</v>
      </c>
      <c r="M457" s="3">
        <v>23</v>
      </c>
    </row>
    <row r="458" spans="1:13" x14ac:dyDescent="0.3">
      <c r="A458" s="2">
        <v>2023</v>
      </c>
      <c r="B458" s="2" t="s">
        <v>9742</v>
      </c>
      <c r="C458" s="2" t="s">
        <v>28</v>
      </c>
      <c r="D458" s="2" t="s">
        <v>22</v>
      </c>
      <c r="E458" s="2">
        <v>129</v>
      </c>
      <c r="F458" s="2">
        <v>3753588.77</v>
      </c>
      <c r="G458" s="2">
        <v>2260136.39</v>
      </c>
      <c r="H458" s="2">
        <v>1493452.38</v>
      </c>
      <c r="I458" s="2">
        <v>39.79</v>
      </c>
      <c r="J458" s="2">
        <v>29097.59</v>
      </c>
      <c r="K458" s="2">
        <v>20</v>
      </c>
      <c r="L458" s="2">
        <v>15.5</v>
      </c>
      <c r="M458" s="2">
        <v>91</v>
      </c>
    </row>
    <row r="459" spans="1:13" x14ac:dyDescent="0.3">
      <c r="A459" s="3">
        <v>2023</v>
      </c>
      <c r="B459" s="3" t="s">
        <v>9742</v>
      </c>
      <c r="C459" s="3" t="s">
        <v>28</v>
      </c>
      <c r="D459" s="3" t="s">
        <v>29</v>
      </c>
      <c r="E459" s="3">
        <v>220</v>
      </c>
      <c r="F459" s="3">
        <v>2301760.89</v>
      </c>
      <c r="G459" s="3">
        <v>1584820.29</v>
      </c>
      <c r="H459" s="3">
        <v>716940.6</v>
      </c>
      <c r="I459" s="3">
        <v>31.15</v>
      </c>
      <c r="J459" s="3">
        <v>10462.549999999999</v>
      </c>
      <c r="K459" s="3">
        <v>14</v>
      </c>
      <c r="L459" s="3">
        <v>6.36</v>
      </c>
      <c r="M459" s="3">
        <v>81</v>
      </c>
    </row>
    <row r="460" spans="1:13" x14ac:dyDescent="0.3">
      <c r="A460" s="2">
        <v>2023</v>
      </c>
      <c r="B460" s="2" t="s">
        <v>9742</v>
      </c>
      <c r="C460" s="2" t="s">
        <v>28</v>
      </c>
      <c r="D460" s="2" t="s">
        <v>14</v>
      </c>
      <c r="E460" s="2">
        <v>217</v>
      </c>
      <c r="F460" s="2">
        <v>183646.77</v>
      </c>
      <c r="G460" s="2">
        <v>111162.99</v>
      </c>
      <c r="H460" s="2">
        <v>72483.78</v>
      </c>
      <c r="I460" s="2">
        <v>39.47</v>
      </c>
      <c r="J460" s="2">
        <v>846.3</v>
      </c>
      <c r="K460" s="2">
        <v>23</v>
      </c>
      <c r="L460" s="2">
        <v>10.6</v>
      </c>
      <c r="M460" s="2">
        <v>5</v>
      </c>
    </row>
    <row r="461" spans="1:13" x14ac:dyDescent="0.3">
      <c r="A461" s="3">
        <v>2023</v>
      </c>
      <c r="B461" s="3" t="s">
        <v>9742</v>
      </c>
      <c r="C461" s="3" t="s">
        <v>28</v>
      </c>
      <c r="D461" s="3" t="s">
        <v>39</v>
      </c>
      <c r="E461" s="3">
        <v>269</v>
      </c>
      <c r="F461" s="3">
        <v>2644966.21</v>
      </c>
      <c r="G461" s="3">
        <v>1476055.54</v>
      </c>
      <c r="H461" s="3">
        <v>1168910.67</v>
      </c>
      <c r="I461" s="3">
        <v>44.19</v>
      </c>
      <c r="J461" s="3">
        <v>9832.59</v>
      </c>
      <c r="K461" s="3">
        <v>18</v>
      </c>
      <c r="L461" s="3">
        <v>6.69</v>
      </c>
      <c r="M461" s="3">
        <v>9</v>
      </c>
    </row>
    <row r="462" spans="1:13" x14ac:dyDescent="0.3">
      <c r="A462" s="2">
        <v>2023</v>
      </c>
      <c r="B462" s="2" t="s">
        <v>9743</v>
      </c>
      <c r="C462" s="2" t="s">
        <v>21</v>
      </c>
      <c r="D462" s="2" t="s">
        <v>22</v>
      </c>
      <c r="E462" s="2">
        <v>131</v>
      </c>
      <c r="F462" s="2">
        <v>1081442.05</v>
      </c>
      <c r="G462" s="2">
        <v>700029.34</v>
      </c>
      <c r="H462" s="2">
        <v>381412.71</v>
      </c>
      <c r="I462" s="2">
        <v>35.270000000000003</v>
      </c>
      <c r="J462" s="2">
        <v>8255.2800000000007</v>
      </c>
      <c r="K462" s="2">
        <v>21</v>
      </c>
      <c r="L462" s="2">
        <v>16.03</v>
      </c>
      <c r="M462" s="2">
        <v>53</v>
      </c>
    </row>
    <row r="463" spans="1:13" x14ac:dyDescent="0.3">
      <c r="A463" s="3">
        <v>2023</v>
      </c>
      <c r="B463" s="3" t="s">
        <v>9743</v>
      </c>
      <c r="C463" s="3" t="s">
        <v>21</v>
      </c>
      <c r="D463" s="3" t="s">
        <v>29</v>
      </c>
      <c r="E463" s="3">
        <v>120</v>
      </c>
      <c r="F463" s="3">
        <v>557926.47</v>
      </c>
      <c r="G463" s="3">
        <v>367797.15</v>
      </c>
      <c r="H463" s="3">
        <v>190129.32</v>
      </c>
      <c r="I463" s="3">
        <v>34.08</v>
      </c>
      <c r="J463" s="3">
        <v>4649.3900000000003</v>
      </c>
      <c r="K463" s="3">
        <v>21</v>
      </c>
      <c r="L463" s="3">
        <v>17.5</v>
      </c>
      <c r="M463" s="3">
        <v>47</v>
      </c>
    </row>
    <row r="464" spans="1:13" x14ac:dyDescent="0.3">
      <c r="A464" s="2">
        <v>2023</v>
      </c>
      <c r="B464" s="2" t="s">
        <v>9743</v>
      </c>
      <c r="C464" s="2" t="s">
        <v>21</v>
      </c>
      <c r="D464" s="2" t="s">
        <v>14</v>
      </c>
      <c r="E464" s="2">
        <v>72</v>
      </c>
      <c r="F464" s="2">
        <v>3906464.92</v>
      </c>
      <c r="G464" s="2">
        <v>2547938.7999999998</v>
      </c>
      <c r="H464" s="2">
        <v>1358526.12</v>
      </c>
      <c r="I464" s="2">
        <v>34.78</v>
      </c>
      <c r="J464" s="2">
        <v>54256.46</v>
      </c>
      <c r="K464" s="2">
        <v>14</v>
      </c>
      <c r="L464" s="2">
        <v>19.440000000000001</v>
      </c>
      <c r="M464" s="2">
        <v>59</v>
      </c>
    </row>
    <row r="465" spans="1:13" x14ac:dyDescent="0.3">
      <c r="A465" s="3">
        <v>2023</v>
      </c>
      <c r="B465" s="3" t="s">
        <v>9743</v>
      </c>
      <c r="C465" s="3" t="s">
        <v>21</v>
      </c>
      <c r="D465" s="3" t="s">
        <v>39</v>
      </c>
      <c r="E465" s="3">
        <v>291</v>
      </c>
      <c r="F465" s="3">
        <v>1076054.22</v>
      </c>
      <c r="G465" s="3">
        <v>625560.77</v>
      </c>
      <c r="H465" s="3">
        <v>450493.45</v>
      </c>
      <c r="I465" s="3">
        <v>41.87</v>
      </c>
      <c r="J465" s="3">
        <v>3697.78</v>
      </c>
      <c r="K465" s="3">
        <v>15</v>
      </c>
      <c r="L465" s="3">
        <v>5.15</v>
      </c>
      <c r="M465" s="3">
        <v>90</v>
      </c>
    </row>
    <row r="466" spans="1:13" x14ac:dyDescent="0.3">
      <c r="A466" s="2">
        <v>2023</v>
      </c>
      <c r="B466" s="2" t="s">
        <v>9743</v>
      </c>
      <c r="C466" s="2" t="s">
        <v>19</v>
      </c>
      <c r="D466" s="2" t="s">
        <v>22</v>
      </c>
      <c r="E466" s="2">
        <v>81</v>
      </c>
      <c r="F466" s="2">
        <v>4640330.42</v>
      </c>
      <c r="G466" s="2">
        <v>2542290.5299999998</v>
      </c>
      <c r="H466" s="2">
        <v>2098039.89</v>
      </c>
      <c r="I466" s="2">
        <v>45.21</v>
      </c>
      <c r="J466" s="2">
        <v>57288.03</v>
      </c>
      <c r="K466" s="2">
        <v>0</v>
      </c>
      <c r="L466" s="2">
        <v>0</v>
      </c>
      <c r="M466" s="2">
        <v>75</v>
      </c>
    </row>
    <row r="467" spans="1:13" x14ac:dyDescent="0.3">
      <c r="A467" s="3">
        <v>2023</v>
      </c>
      <c r="B467" s="3" t="s">
        <v>9743</v>
      </c>
      <c r="C467" s="3" t="s">
        <v>19</v>
      </c>
      <c r="D467" s="3" t="s">
        <v>29</v>
      </c>
      <c r="E467" s="3">
        <v>204</v>
      </c>
      <c r="F467" s="3">
        <v>4285914.22</v>
      </c>
      <c r="G467" s="3">
        <v>2190991.41</v>
      </c>
      <c r="H467" s="3">
        <v>2094922.81</v>
      </c>
      <c r="I467" s="3">
        <v>48.88</v>
      </c>
      <c r="J467" s="3">
        <v>21009.38</v>
      </c>
      <c r="K467" s="3">
        <v>10</v>
      </c>
      <c r="L467" s="3">
        <v>4.9000000000000004</v>
      </c>
      <c r="M467" s="3">
        <v>37</v>
      </c>
    </row>
    <row r="468" spans="1:13" x14ac:dyDescent="0.3">
      <c r="A468" s="2">
        <v>2023</v>
      </c>
      <c r="B468" s="2" t="s">
        <v>9743</v>
      </c>
      <c r="C468" s="2" t="s">
        <v>19</v>
      </c>
      <c r="D468" s="2" t="s">
        <v>14</v>
      </c>
      <c r="E468" s="2">
        <v>98</v>
      </c>
      <c r="F468" s="2">
        <v>1416947.42</v>
      </c>
      <c r="G468" s="2">
        <v>742461.32</v>
      </c>
      <c r="H468" s="2">
        <v>674486.1</v>
      </c>
      <c r="I468" s="2">
        <v>47.6</v>
      </c>
      <c r="J468" s="2">
        <v>14458.65</v>
      </c>
      <c r="K468" s="2">
        <v>4</v>
      </c>
      <c r="L468" s="2">
        <v>4.08</v>
      </c>
      <c r="M468" s="2">
        <v>69</v>
      </c>
    </row>
    <row r="469" spans="1:13" x14ac:dyDescent="0.3">
      <c r="A469" s="3">
        <v>2023</v>
      </c>
      <c r="B469" s="3" t="s">
        <v>9743</v>
      </c>
      <c r="C469" s="3" t="s">
        <v>19</v>
      </c>
      <c r="D469" s="3" t="s">
        <v>39</v>
      </c>
      <c r="E469" s="3">
        <v>108</v>
      </c>
      <c r="F469" s="3">
        <v>2435450.96</v>
      </c>
      <c r="G469" s="3">
        <v>1260028.7</v>
      </c>
      <c r="H469" s="3">
        <v>1175422.26</v>
      </c>
      <c r="I469" s="3">
        <v>48.26</v>
      </c>
      <c r="J469" s="3">
        <v>22550.47</v>
      </c>
      <c r="K469" s="3">
        <v>9</v>
      </c>
      <c r="L469" s="3">
        <v>8.33</v>
      </c>
      <c r="M469" s="3">
        <v>24</v>
      </c>
    </row>
    <row r="470" spans="1:13" x14ac:dyDescent="0.3">
      <c r="A470" s="2">
        <v>2023</v>
      </c>
      <c r="B470" s="2" t="s">
        <v>9743</v>
      </c>
      <c r="C470" s="2" t="s">
        <v>13</v>
      </c>
      <c r="D470" s="2" t="s">
        <v>22</v>
      </c>
      <c r="E470" s="2">
        <v>64</v>
      </c>
      <c r="F470" s="2">
        <v>4225513.63</v>
      </c>
      <c r="G470" s="2">
        <v>2414798.6</v>
      </c>
      <c r="H470" s="2">
        <v>1810715.03</v>
      </c>
      <c r="I470" s="2">
        <v>42.85</v>
      </c>
      <c r="J470" s="2">
        <v>66023.649999999994</v>
      </c>
      <c r="K470" s="2">
        <v>17</v>
      </c>
      <c r="L470" s="2">
        <v>26.56</v>
      </c>
      <c r="M470" s="2">
        <v>64</v>
      </c>
    </row>
    <row r="471" spans="1:13" x14ac:dyDescent="0.3">
      <c r="A471" s="3">
        <v>2023</v>
      </c>
      <c r="B471" s="3" t="s">
        <v>9743</v>
      </c>
      <c r="C471" s="3" t="s">
        <v>13</v>
      </c>
      <c r="D471" s="3" t="s">
        <v>29</v>
      </c>
      <c r="E471" s="3">
        <v>46</v>
      </c>
      <c r="F471" s="3">
        <v>2057149.23</v>
      </c>
      <c r="G471" s="3">
        <v>1395678.86</v>
      </c>
      <c r="H471" s="3">
        <v>661470.37</v>
      </c>
      <c r="I471" s="3">
        <v>32.15</v>
      </c>
      <c r="J471" s="3">
        <v>44720.639999999999</v>
      </c>
      <c r="K471" s="3">
        <v>25</v>
      </c>
      <c r="L471" s="3">
        <v>54.35</v>
      </c>
      <c r="M471" s="3">
        <v>11</v>
      </c>
    </row>
    <row r="472" spans="1:13" x14ac:dyDescent="0.3">
      <c r="A472" s="2">
        <v>2023</v>
      </c>
      <c r="B472" s="2" t="s">
        <v>9743</v>
      </c>
      <c r="C472" s="2" t="s">
        <v>13</v>
      </c>
      <c r="D472" s="2" t="s">
        <v>14</v>
      </c>
      <c r="E472" s="2">
        <v>112</v>
      </c>
      <c r="F472" s="2">
        <v>3376174.54</v>
      </c>
      <c r="G472" s="2">
        <v>2315574.2599999998</v>
      </c>
      <c r="H472" s="2">
        <v>1060600.28</v>
      </c>
      <c r="I472" s="2">
        <v>31.41</v>
      </c>
      <c r="J472" s="2">
        <v>30144.42</v>
      </c>
      <c r="K472" s="2">
        <v>8</v>
      </c>
      <c r="L472" s="2">
        <v>7.14</v>
      </c>
      <c r="M472" s="2">
        <v>97</v>
      </c>
    </row>
    <row r="473" spans="1:13" x14ac:dyDescent="0.3">
      <c r="A473" s="3">
        <v>2023</v>
      </c>
      <c r="B473" s="3" t="s">
        <v>9743</v>
      </c>
      <c r="C473" s="3" t="s">
        <v>13</v>
      </c>
      <c r="D473" s="3" t="s">
        <v>39</v>
      </c>
      <c r="E473" s="3">
        <v>207</v>
      </c>
      <c r="F473" s="3">
        <v>792061.6</v>
      </c>
      <c r="G473" s="3">
        <v>549014.11</v>
      </c>
      <c r="H473" s="3">
        <v>243047.49</v>
      </c>
      <c r="I473" s="3">
        <v>30.69</v>
      </c>
      <c r="J473" s="3">
        <v>3826.38</v>
      </c>
      <c r="K473" s="3">
        <v>16</v>
      </c>
      <c r="L473" s="3">
        <v>7.73</v>
      </c>
      <c r="M473" s="3">
        <v>20</v>
      </c>
    </row>
    <row r="474" spans="1:13" x14ac:dyDescent="0.3">
      <c r="A474" s="2">
        <v>2023</v>
      </c>
      <c r="B474" s="2" t="s">
        <v>9743</v>
      </c>
      <c r="C474" s="2" t="s">
        <v>27</v>
      </c>
      <c r="D474" s="2" t="s">
        <v>22</v>
      </c>
      <c r="E474" s="2">
        <v>171</v>
      </c>
      <c r="F474" s="2">
        <v>2604671.02</v>
      </c>
      <c r="G474" s="2">
        <v>1590056.54</v>
      </c>
      <c r="H474" s="2">
        <v>1014614.48</v>
      </c>
      <c r="I474" s="2">
        <v>38.950000000000003</v>
      </c>
      <c r="J474" s="2">
        <v>15231.99</v>
      </c>
      <c r="K474" s="2">
        <v>28</v>
      </c>
      <c r="L474" s="2">
        <v>16.37</v>
      </c>
      <c r="M474" s="2">
        <v>52</v>
      </c>
    </row>
    <row r="475" spans="1:13" x14ac:dyDescent="0.3">
      <c r="A475" s="3">
        <v>2023</v>
      </c>
      <c r="B475" s="3" t="s">
        <v>9743</v>
      </c>
      <c r="C475" s="3" t="s">
        <v>27</v>
      </c>
      <c r="D475" s="3" t="s">
        <v>29</v>
      </c>
      <c r="E475" s="3">
        <v>171</v>
      </c>
      <c r="F475" s="3">
        <v>2708462.01</v>
      </c>
      <c r="G475" s="3">
        <v>1706758.27</v>
      </c>
      <c r="H475" s="3">
        <v>1001703.74</v>
      </c>
      <c r="I475" s="3">
        <v>36.979999999999997</v>
      </c>
      <c r="J475" s="3">
        <v>15838.96</v>
      </c>
      <c r="K475" s="3">
        <v>21</v>
      </c>
      <c r="L475" s="3">
        <v>12.28</v>
      </c>
      <c r="M475" s="3">
        <v>6</v>
      </c>
    </row>
    <row r="476" spans="1:13" x14ac:dyDescent="0.3">
      <c r="A476" s="2">
        <v>2023</v>
      </c>
      <c r="B476" s="2" t="s">
        <v>9743</v>
      </c>
      <c r="C476" s="2" t="s">
        <v>27</v>
      </c>
      <c r="D476" s="2" t="s">
        <v>14</v>
      </c>
      <c r="E476" s="2">
        <v>44</v>
      </c>
      <c r="F476" s="2">
        <v>4516597.9400000004</v>
      </c>
      <c r="G476" s="2">
        <v>2816928.43</v>
      </c>
      <c r="H476" s="2">
        <v>1699669.51</v>
      </c>
      <c r="I476" s="2">
        <v>37.630000000000003</v>
      </c>
      <c r="J476" s="2">
        <v>102649.95</v>
      </c>
      <c r="K476" s="2">
        <v>16</v>
      </c>
      <c r="L476" s="2">
        <v>36.36</v>
      </c>
      <c r="M476" s="2">
        <v>48</v>
      </c>
    </row>
    <row r="477" spans="1:13" x14ac:dyDescent="0.3">
      <c r="A477" s="3">
        <v>2023</v>
      </c>
      <c r="B477" s="3" t="s">
        <v>9743</v>
      </c>
      <c r="C477" s="3" t="s">
        <v>27</v>
      </c>
      <c r="D477" s="3" t="s">
        <v>39</v>
      </c>
      <c r="E477" s="3">
        <v>67</v>
      </c>
      <c r="F477" s="3">
        <v>4713990.3899999997</v>
      </c>
      <c r="G477" s="3">
        <v>2830435.6</v>
      </c>
      <c r="H477" s="3">
        <v>1883554.79</v>
      </c>
      <c r="I477" s="3">
        <v>39.96</v>
      </c>
      <c r="J477" s="3">
        <v>70358.070000000007</v>
      </c>
      <c r="K477" s="3">
        <v>0</v>
      </c>
      <c r="L477" s="3">
        <v>0</v>
      </c>
      <c r="M477" s="3">
        <v>45</v>
      </c>
    </row>
    <row r="478" spans="1:13" x14ac:dyDescent="0.3">
      <c r="A478" s="2">
        <v>2023</v>
      </c>
      <c r="B478" s="2" t="s">
        <v>9743</v>
      </c>
      <c r="C478" s="2" t="s">
        <v>28</v>
      </c>
      <c r="D478" s="2" t="s">
        <v>22</v>
      </c>
      <c r="E478" s="2">
        <v>90</v>
      </c>
      <c r="F478" s="2">
        <v>3860751.67</v>
      </c>
      <c r="G478" s="2">
        <v>2372055.2599999998</v>
      </c>
      <c r="H478" s="2">
        <v>1488696.41</v>
      </c>
      <c r="I478" s="2">
        <v>38.56</v>
      </c>
      <c r="J478" s="2">
        <v>42897.24</v>
      </c>
      <c r="K478" s="2">
        <v>10</v>
      </c>
      <c r="L478" s="2">
        <v>11.11</v>
      </c>
      <c r="M478" s="2">
        <v>37</v>
      </c>
    </row>
    <row r="479" spans="1:13" x14ac:dyDescent="0.3">
      <c r="A479" s="3">
        <v>2023</v>
      </c>
      <c r="B479" s="3" t="s">
        <v>9743</v>
      </c>
      <c r="C479" s="3" t="s">
        <v>28</v>
      </c>
      <c r="D479" s="3" t="s">
        <v>29</v>
      </c>
      <c r="E479" s="3">
        <v>83</v>
      </c>
      <c r="F479" s="3">
        <v>160603.48000000001</v>
      </c>
      <c r="G479" s="3">
        <v>109023.72</v>
      </c>
      <c r="H479" s="3">
        <v>51579.76</v>
      </c>
      <c r="I479" s="3">
        <v>32.119999999999997</v>
      </c>
      <c r="J479" s="3">
        <v>1934.98</v>
      </c>
      <c r="K479" s="3">
        <v>7</v>
      </c>
      <c r="L479" s="3">
        <v>8.43</v>
      </c>
      <c r="M479" s="3">
        <v>62</v>
      </c>
    </row>
    <row r="480" spans="1:13" x14ac:dyDescent="0.3">
      <c r="A480" s="2">
        <v>2023</v>
      </c>
      <c r="B480" s="2" t="s">
        <v>9743</v>
      </c>
      <c r="C480" s="2" t="s">
        <v>28</v>
      </c>
      <c r="D480" s="2" t="s">
        <v>14</v>
      </c>
      <c r="E480" s="2">
        <v>96</v>
      </c>
      <c r="F480" s="2">
        <v>313723.61</v>
      </c>
      <c r="G480" s="2">
        <v>208964.38</v>
      </c>
      <c r="H480" s="2">
        <v>104759.23</v>
      </c>
      <c r="I480" s="2">
        <v>33.39</v>
      </c>
      <c r="J480" s="2">
        <v>3267.95</v>
      </c>
      <c r="K480" s="2">
        <v>4</v>
      </c>
      <c r="L480" s="2">
        <v>4.17</v>
      </c>
      <c r="M480" s="2">
        <v>28</v>
      </c>
    </row>
    <row r="481" spans="1:13" x14ac:dyDescent="0.3">
      <c r="A481" s="3">
        <v>2023</v>
      </c>
      <c r="B481" s="3" t="s">
        <v>9743</v>
      </c>
      <c r="C481" s="3" t="s">
        <v>28</v>
      </c>
      <c r="D481" s="3" t="s">
        <v>39</v>
      </c>
      <c r="E481" s="3">
        <v>202</v>
      </c>
      <c r="F481" s="3">
        <v>2263320.85</v>
      </c>
      <c r="G481" s="3">
        <v>1307940.75</v>
      </c>
      <c r="H481" s="3">
        <v>955380.1</v>
      </c>
      <c r="I481" s="3">
        <v>42.21</v>
      </c>
      <c r="J481" s="3">
        <v>11204.56</v>
      </c>
      <c r="K481" s="3">
        <v>10</v>
      </c>
      <c r="L481" s="3">
        <v>4.95</v>
      </c>
      <c r="M481" s="3">
        <v>87</v>
      </c>
    </row>
    <row r="482" spans="1:13" x14ac:dyDescent="0.3">
      <c r="A482" s="2">
        <v>2024</v>
      </c>
      <c r="B482" s="2" t="s">
        <v>9744</v>
      </c>
      <c r="C482" s="2" t="s">
        <v>21</v>
      </c>
      <c r="D482" s="2" t="s">
        <v>22</v>
      </c>
      <c r="E482" s="2">
        <v>162</v>
      </c>
      <c r="F482" s="2">
        <v>3211801.05</v>
      </c>
      <c r="G482" s="2">
        <v>1942917.9</v>
      </c>
      <c r="H482" s="2">
        <v>1268883.1499999999</v>
      </c>
      <c r="I482" s="2">
        <v>39.51</v>
      </c>
      <c r="J482" s="2">
        <v>19825.93</v>
      </c>
      <c r="K482" s="2">
        <v>13</v>
      </c>
      <c r="L482" s="2">
        <v>8.02</v>
      </c>
      <c r="M482" s="2">
        <v>30</v>
      </c>
    </row>
    <row r="483" spans="1:13" x14ac:dyDescent="0.3">
      <c r="A483" s="3">
        <v>2024</v>
      </c>
      <c r="B483" s="3" t="s">
        <v>9744</v>
      </c>
      <c r="C483" s="3" t="s">
        <v>21</v>
      </c>
      <c r="D483" s="3" t="s">
        <v>29</v>
      </c>
      <c r="E483" s="3">
        <v>154</v>
      </c>
      <c r="F483" s="3">
        <v>4203254.96</v>
      </c>
      <c r="G483" s="3">
        <v>2726123.42</v>
      </c>
      <c r="H483" s="3">
        <v>1477131.54</v>
      </c>
      <c r="I483" s="3">
        <v>35.14</v>
      </c>
      <c r="J483" s="3">
        <v>27293.86</v>
      </c>
      <c r="K483" s="3">
        <v>16</v>
      </c>
      <c r="L483" s="3">
        <v>10.39</v>
      </c>
      <c r="M483" s="3">
        <v>10</v>
      </c>
    </row>
    <row r="484" spans="1:13" x14ac:dyDescent="0.3">
      <c r="A484" s="2">
        <v>2024</v>
      </c>
      <c r="B484" s="2" t="s">
        <v>9744</v>
      </c>
      <c r="C484" s="2" t="s">
        <v>21</v>
      </c>
      <c r="D484" s="2" t="s">
        <v>14</v>
      </c>
      <c r="E484" s="2">
        <v>103</v>
      </c>
      <c r="F484" s="2">
        <v>1229432.67</v>
      </c>
      <c r="G484" s="2">
        <v>620877.87</v>
      </c>
      <c r="H484" s="2">
        <v>608554.80000000005</v>
      </c>
      <c r="I484" s="2">
        <v>49.5</v>
      </c>
      <c r="J484" s="2">
        <v>11936.24</v>
      </c>
      <c r="K484" s="2">
        <v>0</v>
      </c>
      <c r="L484" s="2">
        <v>0</v>
      </c>
      <c r="M484" s="2">
        <v>28</v>
      </c>
    </row>
    <row r="485" spans="1:13" x14ac:dyDescent="0.3">
      <c r="A485" s="3">
        <v>2024</v>
      </c>
      <c r="B485" s="3" t="s">
        <v>9744</v>
      </c>
      <c r="C485" s="3" t="s">
        <v>21</v>
      </c>
      <c r="D485" s="3" t="s">
        <v>39</v>
      </c>
      <c r="E485" s="3">
        <v>230</v>
      </c>
      <c r="F485" s="3">
        <v>4649523.37</v>
      </c>
      <c r="G485" s="3">
        <v>3168779.96</v>
      </c>
      <c r="H485" s="3">
        <v>1480743.41</v>
      </c>
      <c r="I485" s="3">
        <v>31.85</v>
      </c>
      <c r="J485" s="3">
        <v>20215.32</v>
      </c>
      <c r="K485" s="3">
        <v>14</v>
      </c>
      <c r="L485" s="3">
        <v>6.09</v>
      </c>
      <c r="M485" s="3">
        <v>97</v>
      </c>
    </row>
    <row r="486" spans="1:13" x14ac:dyDescent="0.3">
      <c r="A486" s="2">
        <v>2024</v>
      </c>
      <c r="B486" s="2" t="s">
        <v>9744</v>
      </c>
      <c r="C486" s="2" t="s">
        <v>19</v>
      </c>
      <c r="D486" s="2" t="s">
        <v>22</v>
      </c>
      <c r="E486" s="2">
        <v>89</v>
      </c>
      <c r="F486" s="2">
        <v>3818346.06</v>
      </c>
      <c r="G486" s="2">
        <v>2237024.9</v>
      </c>
      <c r="H486" s="2">
        <v>1581321.16</v>
      </c>
      <c r="I486" s="2">
        <v>41.41</v>
      </c>
      <c r="J486" s="2">
        <v>42902.76</v>
      </c>
      <c r="K486" s="2">
        <v>3</v>
      </c>
      <c r="L486" s="2">
        <v>3.37</v>
      </c>
      <c r="M486" s="2">
        <v>69</v>
      </c>
    </row>
    <row r="487" spans="1:13" x14ac:dyDescent="0.3">
      <c r="A487" s="3">
        <v>2024</v>
      </c>
      <c r="B487" s="3" t="s">
        <v>9744</v>
      </c>
      <c r="C487" s="3" t="s">
        <v>19</v>
      </c>
      <c r="D487" s="3" t="s">
        <v>29</v>
      </c>
      <c r="E487" s="3">
        <v>293</v>
      </c>
      <c r="F487" s="3">
        <v>3814480.42</v>
      </c>
      <c r="G487" s="3">
        <v>2540416.0699999998</v>
      </c>
      <c r="H487" s="3">
        <v>1274064.3500000001</v>
      </c>
      <c r="I487" s="3">
        <v>33.4</v>
      </c>
      <c r="J487" s="3">
        <v>13018.7</v>
      </c>
      <c r="K487" s="3">
        <v>16</v>
      </c>
      <c r="L487" s="3">
        <v>5.46</v>
      </c>
      <c r="M487" s="3">
        <v>19</v>
      </c>
    </row>
    <row r="488" spans="1:13" x14ac:dyDescent="0.3">
      <c r="A488" s="2">
        <v>2024</v>
      </c>
      <c r="B488" s="2" t="s">
        <v>9744</v>
      </c>
      <c r="C488" s="2" t="s">
        <v>19</v>
      </c>
      <c r="D488" s="2" t="s">
        <v>14</v>
      </c>
      <c r="E488" s="2">
        <v>168</v>
      </c>
      <c r="F488" s="2">
        <v>1612473.43</v>
      </c>
      <c r="G488" s="2">
        <v>810378.39</v>
      </c>
      <c r="H488" s="2">
        <v>802095.04</v>
      </c>
      <c r="I488" s="2">
        <v>49.74</v>
      </c>
      <c r="J488" s="2">
        <v>9598.06</v>
      </c>
      <c r="K488" s="2">
        <v>19</v>
      </c>
      <c r="L488" s="2">
        <v>11.31</v>
      </c>
      <c r="M488" s="2">
        <v>68</v>
      </c>
    </row>
    <row r="489" spans="1:13" x14ac:dyDescent="0.3">
      <c r="A489" s="3">
        <v>2024</v>
      </c>
      <c r="B489" s="3" t="s">
        <v>9744</v>
      </c>
      <c r="C489" s="3" t="s">
        <v>19</v>
      </c>
      <c r="D489" s="3" t="s">
        <v>39</v>
      </c>
      <c r="E489" s="3">
        <v>26</v>
      </c>
      <c r="F489" s="3">
        <v>2327875.9</v>
      </c>
      <c r="G489" s="3">
        <v>1408835.37</v>
      </c>
      <c r="H489" s="3">
        <v>919040.53</v>
      </c>
      <c r="I489" s="3">
        <v>39.479999999999997</v>
      </c>
      <c r="J489" s="3">
        <v>89533.69</v>
      </c>
      <c r="K489" s="3">
        <v>9</v>
      </c>
      <c r="L489" s="3">
        <v>34.619999999999997</v>
      </c>
      <c r="M489" s="3">
        <v>100</v>
      </c>
    </row>
    <row r="490" spans="1:13" x14ac:dyDescent="0.3">
      <c r="A490" s="2">
        <v>2024</v>
      </c>
      <c r="B490" s="2" t="s">
        <v>9744</v>
      </c>
      <c r="C490" s="2" t="s">
        <v>13</v>
      </c>
      <c r="D490" s="2" t="s">
        <v>22</v>
      </c>
      <c r="E490" s="2">
        <v>61</v>
      </c>
      <c r="F490" s="2">
        <v>1514953.46</v>
      </c>
      <c r="G490" s="2">
        <v>846199.35</v>
      </c>
      <c r="H490" s="2">
        <v>668754.11</v>
      </c>
      <c r="I490" s="2">
        <v>44.14</v>
      </c>
      <c r="J490" s="2">
        <v>24835.3</v>
      </c>
      <c r="K490" s="2">
        <v>3</v>
      </c>
      <c r="L490" s="2">
        <v>4.92</v>
      </c>
      <c r="M490" s="2">
        <v>14</v>
      </c>
    </row>
    <row r="491" spans="1:13" x14ac:dyDescent="0.3">
      <c r="A491" s="3">
        <v>2024</v>
      </c>
      <c r="B491" s="3" t="s">
        <v>9744</v>
      </c>
      <c r="C491" s="3" t="s">
        <v>13</v>
      </c>
      <c r="D491" s="3" t="s">
        <v>29</v>
      </c>
      <c r="E491" s="3">
        <v>80</v>
      </c>
      <c r="F491" s="3">
        <v>2017905.8</v>
      </c>
      <c r="G491" s="3">
        <v>1294077.28</v>
      </c>
      <c r="H491" s="3">
        <v>723828.52</v>
      </c>
      <c r="I491" s="3">
        <v>35.869999999999997</v>
      </c>
      <c r="J491" s="3">
        <v>25223.82</v>
      </c>
      <c r="K491" s="3">
        <v>18</v>
      </c>
      <c r="L491" s="3">
        <v>22.5</v>
      </c>
      <c r="M491" s="3">
        <v>57</v>
      </c>
    </row>
    <row r="492" spans="1:13" x14ac:dyDescent="0.3">
      <c r="A492" s="2">
        <v>2024</v>
      </c>
      <c r="B492" s="2" t="s">
        <v>9744</v>
      </c>
      <c r="C492" s="2" t="s">
        <v>13</v>
      </c>
      <c r="D492" s="2" t="s">
        <v>14</v>
      </c>
      <c r="E492" s="2">
        <v>148</v>
      </c>
      <c r="F492" s="2">
        <v>3145025.47</v>
      </c>
      <c r="G492" s="2">
        <v>1944930.26</v>
      </c>
      <c r="H492" s="2">
        <v>1200095.21</v>
      </c>
      <c r="I492" s="2">
        <v>38.159999999999997</v>
      </c>
      <c r="J492" s="2">
        <v>21250.17</v>
      </c>
      <c r="K492" s="2">
        <v>8</v>
      </c>
      <c r="L492" s="2">
        <v>5.41</v>
      </c>
      <c r="M492" s="2">
        <v>88</v>
      </c>
    </row>
    <row r="493" spans="1:13" x14ac:dyDescent="0.3">
      <c r="A493" s="3">
        <v>2024</v>
      </c>
      <c r="B493" s="3" t="s">
        <v>9744</v>
      </c>
      <c r="C493" s="3" t="s">
        <v>13</v>
      </c>
      <c r="D493" s="3" t="s">
        <v>39</v>
      </c>
      <c r="E493" s="3">
        <v>299</v>
      </c>
      <c r="F493" s="3">
        <v>2914615.73</v>
      </c>
      <c r="G493" s="3">
        <v>1955714.44</v>
      </c>
      <c r="H493" s="3">
        <v>958901.29</v>
      </c>
      <c r="I493" s="3">
        <v>32.9</v>
      </c>
      <c r="J493" s="3">
        <v>9747.8799999999992</v>
      </c>
      <c r="K493" s="3">
        <v>30</v>
      </c>
      <c r="L493" s="3">
        <v>10.029999999999999</v>
      </c>
      <c r="M493" s="3">
        <v>90</v>
      </c>
    </row>
    <row r="494" spans="1:13" x14ac:dyDescent="0.3">
      <c r="A494" s="2">
        <v>2024</v>
      </c>
      <c r="B494" s="2" t="s">
        <v>9744</v>
      </c>
      <c r="C494" s="2" t="s">
        <v>27</v>
      </c>
      <c r="D494" s="2" t="s">
        <v>22</v>
      </c>
      <c r="E494" s="2">
        <v>41</v>
      </c>
      <c r="F494" s="2">
        <v>3017992.07</v>
      </c>
      <c r="G494" s="2">
        <v>1942644.43</v>
      </c>
      <c r="H494" s="2">
        <v>1075347.6399999999</v>
      </c>
      <c r="I494" s="2">
        <v>35.630000000000003</v>
      </c>
      <c r="J494" s="2">
        <v>73609.56</v>
      </c>
      <c r="K494" s="2">
        <v>18</v>
      </c>
      <c r="L494" s="2">
        <v>43.9</v>
      </c>
      <c r="M494" s="2">
        <v>53</v>
      </c>
    </row>
    <row r="495" spans="1:13" x14ac:dyDescent="0.3">
      <c r="A495" s="3">
        <v>2024</v>
      </c>
      <c r="B495" s="3" t="s">
        <v>9744</v>
      </c>
      <c r="C495" s="3" t="s">
        <v>27</v>
      </c>
      <c r="D495" s="3" t="s">
        <v>29</v>
      </c>
      <c r="E495" s="3">
        <v>185</v>
      </c>
      <c r="F495" s="3">
        <v>1334913.98</v>
      </c>
      <c r="G495" s="3">
        <v>832674.2</v>
      </c>
      <c r="H495" s="3">
        <v>502239.78</v>
      </c>
      <c r="I495" s="3">
        <v>37.619999999999997</v>
      </c>
      <c r="J495" s="3">
        <v>7215.75</v>
      </c>
      <c r="K495" s="3">
        <v>1</v>
      </c>
      <c r="L495" s="3">
        <v>0.54</v>
      </c>
      <c r="M495" s="3">
        <v>7</v>
      </c>
    </row>
    <row r="496" spans="1:13" x14ac:dyDescent="0.3">
      <c r="A496" s="2">
        <v>2024</v>
      </c>
      <c r="B496" s="2" t="s">
        <v>9744</v>
      </c>
      <c r="C496" s="2" t="s">
        <v>27</v>
      </c>
      <c r="D496" s="2" t="s">
        <v>14</v>
      </c>
      <c r="E496" s="2">
        <v>279</v>
      </c>
      <c r="F496" s="2">
        <v>166584.38</v>
      </c>
      <c r="G496" s="2">
        <v>91362.8</v>
      </c>
      <c r="H496" s="2">
        <v>75221.58</v>
      </c>
      <c r="I496" s="2">
        <v>45.16</v>
      </c>
      <c r="J496" s="2">
        <v>597.08000000000004</v>
      </c>
      <c r="K496" s="2">
        <v>1</v>
      </c>
      <c r="L496" s="2">
        <v>0.36</v>
      </c>
      <c r="M496" s="2">
        <v>16</v>
      </c>
    </row>
    <row r="497" spans="1:13" x14ac:dyDescent="0.3">
      <c r="A497" s="3">
        <v>2024</v>
      </c>
      <c r="B497" s="3" t="s">
        <v>9744</v>
      </c>
      <c r="C497" s="3" t="s">
        <v>27</v>
      </c>
      <c r="D497" s="3" t="s">
        <v>39</v>
      </c>
      <c r="E497" s="3">
        <v>189</v>
      </c>
      <c r="F497" s="3">
        <v>3293545.94</v>
      </c>
      <c r="G497" s="3">
        <v>1790717.57</v>
      </c>
      <c r="H497" s="3">
        <v>1502828.37</v>
      </c>
      <c r="I497" s="3">
        <v>45.63</v>
      </c>
      <c r="J497" s="3">
        <v>17426.169999999998</v>
      </c>
      <c r="K497" s="3">
        <v>16</v>
      </c>
      <c r="L497" s="3">
        <v>8.4700000000000006</v>
      </c>
      <c r="M497" s="3">
        <v>41</v>
      </c>
    </row>
    <row r="498" spans="1:13" x14ac:dyDescent="0.3">
      <c r="A498" s="2">
        <v>2024</v>
      </c>
      <c r="B498" s="2" t="s">
        <v>9744</v>
      </c>
      <c r="C498" s="2" t="s">
        <v>28</v>
      </c>
      <c r="D498" s="2" t="s">
        <v>22</v>
      </c>
      <c r="E498" s="2">
        <v>91</v>
      </c>
      <c r="F498" s="2">
        <v>2934128.62</v>
      </c>
      <c r="G498" s="2">
        <v>1867494.65</v>
      </c>
      <c r="H498" s="2">
        <v>1066633.97</v>
      </c>
      <c r="I498" s="2">
        <v>36.35</v>
      </c>
      <c r="J498" s="2">
        <v>32243.17</v>
      </c>
      <c r="K498" s="2">
        <v>21</v>
      </c>
      <c r="L498" s="2">
        <v>23.08</v>
      </c>
      <c r="M498" s="2">
        <v>76</v>
      </c>
    </row>
    <row r="499" spans="1:13" x14ac:dyDescent="0.3">
      <c r="A499" s="3">
        <v>2024</v>
      </c>
      <c r="B499" s="3" t="s">
        <v>9744</v>
      </c>
      <c r="C499" s="3" t="s">
        <v>28</v>
      </c>
      <c r="D499" s="3" t="s">
        <v>29</v>
      </c>
      <c r="E499" s="3">
        <v>53</v>
      </c>
      <c r="F499" s="3">
        <v>4771140.7699999996</v>
      </c>
      <c r="G499" s="3">
        <v>2921405.63</v>
      </c>
      <c r="H499" s="3">
        <v>1849735.14</v>
      </c>
      <c r="I499" s="3">
        <v>38.770000000000003</v>
      </c>
      <c r="J499" s="3">
        <v>90021.52</v>
      </c>
      <c r="K499" s="3">
        <v>15</v>
      </c>
      <c r="L499" s="3">
        <v>28.3</v>
      </c>
      <c r="M499" s="3">
        <v>72</v>
      </c>
    </row>
    <row r="500" spans="1:13" x14ac:dyDescent="0.3">
      <c r="A500" s="2">
        <v>2024</v>
      </c>
      <c r="B500" s="2" t="s">
        <v>9744</v>
      </c>
      <c r="C500" s="2" t="s">
        <v>28</v>
      </c>
      <c r="D500" s="2" t="s">
        <v>14</v>
      </c>
      <c r="E500" s="2">
        <v>135</v>
      </c>
      <c r="F500" s="2">
        <v>4133515.18</v>
      </c>
      <c r="G500" s="2">
        <v>2087976.07</v>
      </c>
      <c r="H500" s="2">
        <v>2045539.11</v>
      </c>
      <c r="I500" s="2">
        <v>49.49</v>
      </c>
      <c r="J500" s="2">
        <v>30618.63</v>
      </c>
      <c r="K500" s="2">
        <v>0</v>
      </c>
      <c r="L500" s="2">
        <v>0</v>
      </c>
      <c r="M500" s="2">
        <v>79</v>
      </c>
    </row>
    <row r="501" spans="1:13" x14ac:dyDescent="0.3">
      <c r="A501" s="3">
        <v>2024</v>
      </c>
      <c r="B501" s="3" t="s">
        <v>9744</v>
      </c>
      <c r="C501" s="3" t="s">
        <v>28</v>
      </c>
      <c r="D501" s="3" t="s">
        <v>39</v>
      </c>
      <c r="E501" s="3">
        <v>34</v>
      </c>
      <c r="F501" s="3">
        <v>2340160.11</v>
      </c>
      <c r="G501" s="3">
        <v>1381115.09</v>
      </c>
      <c r="H501" s="3">
        <v>959045.02</v>
      </c>
      <c r="I501" s="3">
        <v>40.98</v>
      </c>
      <c r="J501" s="3">
        <v>68828.240000000005</v>
      </c>
      <c r="K501" s="3">
        <v>4</v>
      </c>
      <c r="L501" s="3">
        <v>11.76</v>
      </c>
      <c r="M501" s="3">
        <v>81</v>
      </c>
    </row>
    <row r="502" spans="1:13" x14ac:dyDescent="0.3">
      <c r="A502" s="2">
        <v>2024</v>
      </c>
      <c r="B502" s="2" t="s">
        <v>9745</v>
      </c>
      <c r="C502" s="2" t="s">
        <v>21</v>
      </c>
      <c r="D502" s="2" t="s">
        <v>22</v>
      </c>
      <c r="E502" s="2">
        <v>32</v>
      </c>
      <c r="F502" s="2">
        <v>927068.13</v>
      </c>
      <c r="G502" s="2">
        <v>598741.14</v>
      </c>
      <c r="H502" s="2">
        <v>328326.99</v>
      </c>
      <c r="I502" s="2">
        <v>35.42</v>
      </c>
      <c r="J502" s="2">
        <v>28970.880000000001</v>
      </c>
      <c r="K502" s="2">
        <v>1</v>
      </c>
      <c r="L502" s="2">
        <v>3.12</v>
      </c>
      <c r="M502" s="2">
        <v>91</v>
      </c>
    </row>
    <row r="503" spans="1:13" x14ac:dyDescent="0.3">
      <c r="A503" s="3">
        <v>2024</v>
      </c>
      <c r="B503" s="3" t="s">
        <v>9745</v>
      </c>
      <c r="C503" s="3" t="s">
        <v>21</v>
      </c>
      <c r="D503" s="3" t="s">
        <v>29</v>
      </c>
      <c r="E503" s="3">
        <v>78</v>
      </c>
      <c r="F503" s="3">
        <v>1157234.49</v>
      </c>
      <c r="G503" s="3">
        <v>634914.80000000005</v>
      </c>
      <c r="H503" s="3">
        <v>522319.69</v>
      </c>
      <c r="I503" s="3">
        <v>45.14</v>
      </c>
      <c r="J503" s="3">
        <v>14836.34</v>
      </c>
      <c r="K503" s="3">
        <v>4</v>
      </c>
      <c r="L503" s="3">
        <v>5.13</v>
      </c>
      <c r="M503" s="3">
        <v>66</v>
      </c>
    </row>
    <row r="504" spans="1:13" x14ac:dyDescent="0.3">
      <c r="A504" s="2">
        <v>2024</v>
      </c>
      <c r="B504" s="2" t="s">
        <v>9745</v>
      </c>
      <c r="C504" s="2" t="s">
        <v>21</v>
      </c>
      <c r="D504" s="2" t="s">
        <v>14</v>
      </c>
      <c r="E504" s="2">
        <v>286</v>
      </c>
      <c r="F504" s="2">
        <v>123762.47</v>
      </c>
      <c r="G504" s="2">
        <v>64710.57</v>
      </c>
      <c r="H504" s="2">
        <v>59051.9</v>
      </c>
      <c r="I504" s="2">
        <v>47.71</v>
      </c>
      <c r="J504" s="2">
        <v>432.74</v>
      </c>
      <c r="K504" s="2">
        <v>28</v>
      </c>
      <c r="L504" s="2">
        <v>9.7899999999999991</v>
      </c>
      <c r="M504" s="2">
        <v>77</v>
      </c>
    </row>
    <row r="505" spans="1:13" x14ac:dyDescent="0.3">
      <c r="A505" s="3">
        <v>2024</v>
      </c>
      <c r="B505" s="3" t="s">
        <v>9745</v>
      </c>
      <c r="C505" s="3" t="s">
        <v>21</v>
      </c>
      <c r="D505" s="3" t="s">
        <v>39</v>
      </c>
      <c r="E505" s="3">
        <v>75</v>
      </c>
      <c r="F505" s="3">
        <v>4271275.17</v>
      </c>
      <c r="G505" s="3">
        <v>2572588.64</v>
      </c>
      <c r="H505" s="3">
        <v>1698686.53</v>
      </c>
      <c r="I505" s="3">
        <v>39.770000000000003</v>
      </c>
      <c r="J505" s="3">
        <v>56950.34</v>
      </c>
      <c r="K505" s="3">
        <v>6</v>
      </c>
      <c r="L505" s="3">
        <v>8</v>
      </c>
      <c r="M505" s="3">
        <v>64</v>
      </c>
    </row>
    <row r="506" spans="1:13" x14ac:dyDescent="0.3">
      <c r="A506" s="2">
        <v>2024</v>
      </c>
      <c r="B506" s="2" t="s">
        <v>9745</v>
      </c>
      <c r="C506" s="2" t="s">
        <v>19</v>
      </c>
      <c r="D506" s="2" t="s">
        <v>22</v>
      </c>
      <c r="E506" s="2">
        <v>270</v>
      </c>
      <c r="F506" s="2">
        <v>4180388.86</v>
      </c>
      <c r="G506" s="2">
        <v>2260808.7799999998</v>
      </c>
      <c r="H506" s="2">
        <v>1919580.08</v>
      </c>
      <c r="I506" s="2">
        <v>45.92</v>
      </c>
      <c r="J506" s="2">
        <v>15482.92</v>
      </c>
      <c r="K506" s="2">
        <v>28</v>
      </c>
      <c r="L506" s="2">
        <v>10.37</v>
      </c>
      <c r="M506" s="2">
        <v>49</v>
      </c>
    </row>
    <row r="507" spans="1:13" x14ac:dyDescent="0.3">
      <c r="A507" s="3">
        <v>2024</v>
      </c>
      <c r="B507" s="3" t="s">
        <v>9745</v>
      </c>
      <c r="C507" s="3" t="s">
        <v>19</v>
      </c>
      <c r="D507" s="3" t="s">
        <v>29</v>
      </c>
      <c r="E507" s="3">
        <v>237</v>
      </c>
      <c r="F507" s="3">
        <v>4582252.57</v>
      </c>
      <c r="G507" s="3">
        <v>3133377.13</v>
      </c>
      <c r="H507" s="3">
        <v>1448875.44</v>
      </c>
      <c r="I507" s="3">
        <v>31.62</v>
      </c>
      <c r="J507" s="3">
        <v>19334.400000000001</v>
      </c>
      <c r="K507" s="3">
        <v>15</v>
      </c>
      <c r="L507" s="3">
        <v>6.33</v>
      </c>
      <c r="M507" s="3">
        <v>14</v>
      </c>
    </row>
    <row r="508" spans="1:13" x14ac:dyDescent="0.3">
      <c r="A508" s="2">
        <v>2024</v>
      </c>
      <c r="B508" s="2" t="s">
        <v>9745</v>
      </c>
      <c r="C508" s="2" t="s">
        <v>19</v>
      </c>
      <c r="D508" s="2" t="s">
        <v>14</v>
      </c>
      <c r="E508" s="2">
        <v>170</v>
      </c>
      <c r="F508" s="2">
        <v>3044192.12</v>
      </c>
      <c r="G508" s="2">
        <v>1917877.47</v>
      </c>
      <c r="H508" s="2">
        <v>1126314.6499999999</v>
      </c>
      <c r="I508" s="2">
        <v>37</v>
      </c>
      <c r="J508" s="2">
        <v>17907.009999999998</v>
      </c>
      <c r="K508" s="2">
        <v>29</v>
      </c>
      <c r="L508" s="2">
        <v>17.059999999999999</v>
      </c>
      <c r="M508" s="2">
        <v>48</v>
      </c>
    </row>
    <row r="509" spans="1:13" x14ac:dyDescent="0.3">
      <c r="A509" s="3">
        <v>2024</v>
      </c>
      <c r="B509" s="3" t="s">
        <v>9745</v>
      </c>
      <c r="C509" s="3" t="s">
        <v>19</v>
      </c>
      <c r="D509" s="3" t="s">
        <v>39</v>
      </c>
      <c r="E509" s="3">
        <v>228</v>
      </c>
      <c r="F509" s="3">
        <v>2770387.67</v>
      </c>
      <c r="G509" s="3">
        <v>1429387.38</v>
      </c>
      <c r="H509" s="3">
        <v>1341000.29</v>
      </c>
      <c r="I509" s="3">
        <v>48.4</v>
      </c>
      <c r="J509" s="3">
        <v>12150.82</v>
      </c>
      <c r="K509" s="3">
        <v>23</v>
      </c>
      <c r="L509" s="3">
        <v>10.09</v>
      </c>
      <c r="M509" s="3">
        <v>5</v>
      </c>
    </row>
    <row r="510" spans="1:13" x14ac:dyDescent="0.3">
      <c r="A510" s="2">
        <v>2024</v>
      </c>
      <c r="B510" s="2" t="s">
        <v>9745</v>
      </c>
      <c r="C510" s="2" t="s">
        <v>13</v>
      </c>
      <c r="D510" s="2" t="s">
        <v>22</v>
      </c>
      <c r="E510" s="2">
        <v>230</v>
      </c>
      <c r="F510" s="2">
        <v>3066126.15</v>
      </c>
      <c r="G510" s="2">
        <v>1861652.38</v>
      </c>
      <c r="H510" s="2">
        <v>1204473.77</v>
      </c>
      <c r="I510" s="2">
        <v>39.28</v>
      </c>
      <c r="J510" s="2">
        <v>13330.98</v>
      </c>
      <c r="K510" s="2">
        <v>9</v>
      </c>
      <c r="L510" s="2">
        <v>3.91</v>
      </c>
      <c r="M510" s="2">
        <v>8</v>
      </c>
    </row>
    <row r="511" spans="1:13" x14ac:dyDescent="0.3">
      <c r="A511" s="3">
        <v>2024</v>
      </c>
      <c r="B511" s="3" t="s">
        <v>9745</v>
      </c>
      <c r="C511" s="3" t="s">
        <v>13</v>
      </c>
      <c r="D511" s="3" t="s">
        <v>29</v>
      </c>
      <c r="E511" s="3">
        <v>121</v>
      </c>
      <c r="F511" s="3">
        <v>2743518.59</v>
      </c>
      <c r="G511" s="3">
        <v>1914661.23</v>
      </c>
      <c r="H511" s="3">
        <v>828857.36</v>
      </c>
      <c r="I511" s="3">
        <v>30.21</v>
      </c>
      <c r="J511" s="3">
        <v>22673.71</v>
      </c>
      <c r="K511" s="3">
        <v>6</v>
      </c>
      <c r="L511" s="3">
        <v>4.96</v>
      </c>
      <c r="M511" s="3">
        <v>91</v>
      </c>
    </row>
    <row r="512" spans="1:13" x14ac:dyDescent="0.3">
      <c r="A512" s="2">
        <v>2024</v>
      </c>
      <c r="B512" s="2" t="s">
        <v>9745</v>
      </c>
      <c r="C512" s="2" t="s">
        <v>13</v>
      </c>
      <c r="D512" s="2" t="s">
        <v>14</v>
      </c>
      <c r="E512" s="2">
        <v>205</v>
      </c>
      <c r="F512" s="2">
        <v>4210073.05</v>
      </c>
      <c r="G512" s="2">
        <v>2423738.37</v>
      </c>
      <c r="H512" s="2">
        <v>1786334.68</v>
      </c>
      <c r="I512" s="2">
        <v>42.43</v>
      </c>
      <c r="J512" s="2">
        <v>20536.939999999999</v>
      </c>
      <c r="K512" s="2">
        <v>4</v>
      </c>
      <c r="L512" s="2">
        <v>1.95</v>
      </c>
      <c r="M512" s="2">
        <v>30</v>
      </c>
    </row>
    <row r="513" spans="1:13" x14ac:dyDescent="0.3">
      <c r="A513" s="3">
        <v>2024</v>
      </c>
      <c r="B513" s="3" t="s">
        <v>9745</v>
      </c>
      <c r="C513" s="3" t="s">
        <v>13</v>
      </c>
      <c r="D513" s="3" t="s">
        <v>39</v>
      </c>
      <c r="E513" s="3">
        <v>181</v>
      </c>
      <c r="F513" s="3">
        <v>4897816.22</v>
      </c>
      <c r="G513" s="3">
        <v>2828293.32</v>
      </c>
      <c r="H513" s="3">
        <v>2069522.9</v>
      </c>
      <c r="I513" s="3">
        <v>42.25</v>
      </c>
      <c r="J513" s="3">
        <v>27059.759999999998</v>
      </c>
      <c r="K513" s="3">
        <v>24</v>
      </c>
      <c r="L513" s="3">
        <v>13.26</v>
      </c>
      <c r="M513" s="3">
        <v>83</v>
      </c>
    </row>
    <row r="514" spans="1:13" x14ac:dyDescent="0.3">
      <c r="A514" s="2">
        <v>2024</v>
      </c>
      <c r="B514" s="2" t="s">
        <v>9745</v>
      </c>
      <c r="C514" s="2" t="s">
        <v>27</v>
      </c>
      <c r="D514" s="2" t="s">
        <v>22</v>
      </c>
      <c r="E514" s="2">
        <v>202</v>
      </c>
      <c r="F514" s="2">
        <v>4020349.33</v>
      </c>
      <c r="G514" s="2">
        <v>2629495.7599999998</v>
      </c>
      <c r="H514" s="2">
        <v>1390853.57</v>
      </c>
      <c r="I514" s="2">
        <v>34.6</v>
      </c>
      <c r="J514" s="2">
        <v>19902.72</v>
      </c>
      <c r="K514" s="2">
        <v>6</v>
      </c>
      <c r="L514" s="2">
        <v>2.97</v>
      </c>
      <c r="M514" s="2">
        <v>61</v>
      </c>
    </row>
    <row r="515" spans="1:13" x14ac:dyDescent="0.3">
      <c r="A515" s="3">
        <v>2024</v>
      </c>
      <c r="B515" s="3" t="s">
        <v>9745</v>
      </c>
      <c r="C515" s="3" t="s">
        <v>27</v>
      </c>
      <c r="D515" s="3" t="s">
        <v>29</v>
      </c>
      <c r="E515" s="3">
        <v>274</v>
      </c>
      <c r="F515" s="3">
        <v>2989480.43</v>
      </c>
      <c r="G515" s="3">
        <v>1935448.15</v>
      </c>
      <c r="H515" s="3">
        <v>1054032.28</v>
      </c>
      <c r="I515" s="3">
        <v>35.26</v>
      </c>
      <c r="J515" s="3">
        <v>10910.51</v>
      </c>
      <c r="K515" s="3">
        <v>10</v>
      </c>
      <c r="L515" s="3">
        <v>3.65</v>
      </c>
      <c r="M515" s="3">
        <v>65</v>
      </c>
    </row>
    <row r="516" spans="1:13" x14ac:dyDescent="0.3">
      <c r="A516" s="2">
        <v>2024</v>
      </c>
      <c r="B516" s="2" t="s">
        <v>9745</v>
      </c>
      <c r="C516" s="2" t="s">
        <v>27</v>
      </c>
      <c r="D516" s="2" t="s">
        <v>14</v>
      </c>
      <c r="E516" s="2">
        <v>167</v>
      </c>
      <c r="F516" s="2">
        <v>231072.89</v>
      </c>
      <c r="G516" s="2">
        <v>130676.87</v>
      </c>
      <c r="H516" s="2">
        <v>100396.02</v>
      </c>
      <c r="I516" s="2">
        <v>43.45</v>
      </c>
      <c r="J516" s="2">
        <v>1383.67</v>
      </c>
      <c r="K516" s="2">
        <v>18</v>
      </c>
      <c r="L516" s="2">
        <v>10.78</v>
      </c>
      <c r="M516" s="2">
        <v>29</v>
      </c>
    </row>
    <row r="517" spans="1:13" x14ac:dyDescent="0.3">
      <c r="A517" s="3">
        <v>2024</v>
      </c>
      <c r="B517" s="3" t="s">
        <v>9745</v>
      </c>
      <c r="C517" s="3" t="s">
        <v>27</v>
      </c>
      <c r="D517" s="3" t="s">
        <v>39</v>
      </c>
      <c r="E517" s="3">
        <v>254</v>
      </c>
      <c r="F517" s="3">
        <v>1958655.49</v>
      </c>
      <c r="G517" s="3">
        <v>1346514.22</v>
      </c>
      <c r="H517" s="3">
        <v>612141.27</v>
      </c>
      <c r="I517" s="3">
        <v>31.25</v>
      </c>
      <c r="J517" s="3">
        <v>7711.24</v>
      </c>
      <c r="K517" s="3">
        <v>0</v>
      </c>
      <c r="L517" s="3">
        <v>0</v>
      </c>
      <c r="M517" s="3">
        <v>23</v>
      </c>
    </row>
    <row r="518" spans="1:13" x14ac:dyDescent="0.3">
      <c r="A518" s="2">
        <v>2024</v>
      </c>
      <c r="B518" s="2" t="s">
        <v>9745</v>
      </c>
      <c r="C518" s="2" t="s">
        <v>28</v>
      </c>
      <c r="D518" s="2" t="s">
        <v>22</v>
      </c>
      <c r="E518" s="2">
        <v>297</v>
      </c>
      <c r="F518" s="2">
        <v>1900097.19</v>
      </c>
      <c r="G518" s="2">
        <v>1214826.52</v>
      </c>
      <c r="H518" s="2">
        <v>685270.67</v>
      </c>
      <c r="I518" s="2">
        <v>36.07</v>
      </c>
      <c r="J518" s="2">
        <v>6397.63</v>
      </c>
      <c r="K518" s="2">
        <v>18</v>
      </c>
      <c r="L518" s="2">
        <v>6.06</v>
      </c>
      <c r="M518" s="2">
        <v>94</v>
      </c>
    </row>
    <row r="519" spans="1:13" x14ac:dyDescent="0.3">
      <c r="A519" s="3">
        <v>2024</v>
      </c>
      <c r="B519" s="3" t="s">
        <v>9745</v>
      </c>
      <c r="C519" s="3" t="s">
        <v>28</v>
      </c>
      <c r="D519" s="3" t="s">
        <v>29</v>
      </c>
      <c r="E519" s="3">
        <v>281</v>
      </c>
      <c r="F519" s="3">
        <v>150364.70000000001</v>
      </c>
      <c r="G519" s="3">
        <v>79000.47</v>
      </c>
      <c r="H519" s="3">
        <v>71364.23</v>
      </c>
      <c r="I519" s="3">
        <v>47.46</v>
      </c>
      <c r="J519" s="3">
        <v>535.11</v>
      </c>
      <c r="K519" s="3">
        <v>25</v>
      </c>
      <c r="L519" s="3">
        <v>8.9</v>
      </c>
      <c r="M519" s="3">
        <v>37</v>
      </c>
    </row>
    <row r="520" spans="1:13" x14ac:dyDescent="0.3">
      <c r="A520" s="2">
        <v>2024</v>
      </c>
      <c r="B520" s="2" t="s">
        <v>9745</v>
      </c>
      <c r="C520" s="2" t="s">
        <v>28</v>
      </c>
      <c r="D520" s="2" t="s">
        <v>14</v>
      </c>
      <c r="E520" s="2">
        <v>221</v>
      </c>
      <c r="F520" s="2">
        <v>371165.78</v>
      </c>
      <c r="G520" s="2">
        <v>191193.71</v>
      </c>
      <c r="H520" s="2">
        <v>179972.07</v>
      </c>
      <c r="I520" s="2">
        <v>48.49</v>
      </c>
      <c r="J520" s="2">
        <v>1679.48</v>
      </c>
      <c r="K520" s="2">
        <v>4</v>
      </c>
      <c r="L520" s="2">
        <v>1.81</v>
      </c>
      <c r="M520" s="2">
        <v>48</v>
      </c>
    </row>
    <row r="521" spans="1:13" x14ac:dyDescent="0.3">
      <c r="A521" s="3">
        <v>2024</v>
      </c>
      <c r="B521" s="3" t="s">
        <v>9745</v>
      </c>
      <c r="C521" s="3" t="s">
        <v>28</v>
      </c>
      <c r="D521" s="3" t="s">
        <v>39</v>
      </c>
      <c r="E521" s="3">
        <v>23</v>
      </c>
      <c r="F521" s="3">
        <v>1311350.0900000001</v>
      </c>
      <c r="G521" s="3">
        <v>830385.96</v>
      </c>
      <c r="H521" s="3">
        <v>480964.13</v>
      </c>
      <c r="I521" s="3">
        <v>36.68</v>
      </c>
      <c r="J521" s="3">
        <v>57015.22</v>
      </c>
      <c r="K521" s="3">
        <v>28</v>
      </c>
      <c r="L521" s="3">
        <v>121.74</v>
      </c>
      <c r="M521" s="3">
        <v>38</v>
      </c>
    </row>
    <row r="522" spans="1:13" x14ac:dyDescent="0.3">
      <c r="A522" s="2">
        <v>2024</v>
      </c>
      <c r="B522" s="2" t="s">
        <v>9746</v>
      </c>
      <c r="C522" s="2" t="s">
        <v>21</v>
      </c>
      <c r="D522" s="2" t="s">
        <v>22</v>
      </c>
      <c r="E522" s="2">
        <v>204</v>
      </c>
      <c r="F522" s="2">
        <v>3706853.97</v>
      </c>
      <c r="G522" s="2">
        <v>1938303.31</v>
      </c>
      <c r="H522" s="2">
        <v>1768550.66</v>
      </c>
      <c r="I522" s="2">
        <v>47.71</v>
      </c>
      <c r="J522" s="2">
        <v>18170.849999999999</v>
      </c>
      <c r="K522" s="2">
        <v>11</v>
      </c>
      <c r="L522" s="2">
        <v>5.39</v>
      </c>
      <c r="M522" s="2">
        <v>51</v>
      </c>
    </row>
    <row r="523" spans="1:13" x14ac:dyDescent="0.3">
      <c r="A523" s="3">
        <v>2024</v>
      </c>
      <c r="B523" s="3" t="s">
        <v>9746</v>
      </c>
      <c r="C523" s="3" t="s">
        <v>21</v>
      </c>
      <c r="D523" s="3" t="s">
        <v>29</v>
      </c>
      <c r="E523" s="3">
        <v>221</v>
      </c>
      <c r="F523" s="3">
        <v>4041493.85</v>
      </c>
      <c r="G523" s="3">
        <v>2800148.67</v>
      </c>
      <c r="H523" s="3">
        <v>1241345.18</v>
      </c>
      <c r="I523" s="3">
        <v>30.72</v>
      </c>
      <c r="J523" s="3">
        <v>18287.3</v>
      </c>
      <c r="K523" s="3">
        <v>25</v>
      </c>
      <c r="L523" s="3">
        <v>11.31</v>
      </c>
      <c r="M523" s="3">
        <v>22</v>
      </c>
    </row>
    <row r="524" spans="1:13" x14ac:dyDescent="0.3">
      <c r="A524" s="2">
        <v>2024</v>
      </c>
      <c r="B524" s="2" t="s">
        <v>9746</v>
      </c>
      <c r="C524" s="2" t="s">
        <v>21</v>
      </c>
      <c r="D524" s="2" t="s">
        <v>14</v>
      </c>
      <c r="E524" s="2">
        <v>285</v>
      </c>
      <c r="F524" s="2">
        <v>2416904.42</v>
      </c>
      <c r="G524" s="2">
        <v>1333429.5</v>
      </c>
      <c r="H524" s="2">
        <v>1083474.92</v>
      </c>
      <c r="I524" s="2">
        <v>44.83</v>
      </c>
      <c r="J524" s="2">
        <v>8480.3700000000008</v>
      </c>
      <c r="K524" s="2">
        <v>25</v>
      </c>
      <c r="L524" s="2">
        <v>8.77</v>
      </c>
      <c r="M524" s="2">
        <v>72</v>
      </c>
    </row>
    <row r="525" spans="1:13" x14ac:dyDescent="0.3">
      <c r="A525" s="3">
        <v>2024</v>
      </c>
      <c r="B525" s="3" t="s">
        <v>9746</v>
      </c>
      <c r="C525" s="3" t="s">
        <v>21</v>
      </c>
      <c r="D525" s="3" t="s">
        <v>39</v>
      </c>
      <c r="E525" s="3">
        <v>205</v>
      </c>
      <c r="F525" s="3">
        <v>1974672.26</v>
      </c>
      <c r="G525" s="3">
        <v>1296813.96</v>
      </c>
      <c r="H525" s="3">
        <v>677858.3</v>
      </c>
      <c r="I525" s="3">
        <v>34.33</v>
      </c>
      <c r="J525" s="3">
        <v>9632.5499999999993</v>
      </c>
      <c r="K525" s="3">
        <v>24</v>
      </c>
      <c r="L525" s="3">
        <v>11.71</v>
      </c>
      <c r="M525" s="3">
        <v>72</v>
      </c>
    </row>
    <row r="526" spans="1:13" x14ac:dyDescent="0.3">
      <c r="A526" s="2">
        <v>2024</v>
      </c>
      <c r="B526" s="2" t="s">
        <v>9746</v>
      </c>
      <c r="C526" s="2" t="s">
        <v>19</v>
      </c>
      <c r="D526" s="2" t="s">
        <v>22</v>
      </c>
      <c r="E526" s="2">
        <v>283</v>
      </c>
      <c r="F526" s="2">
        <v>2057005.41</v>
      </c>
      <c r="G526" s="2">
        <v>1117019.97</v>
      </c>
      <c r="H526" s="2">
        <v>939985.44</v>
      </c>
      <c r="I526" s="2">
        <v>45.7</v>
      </c>
      <c r="J526" s="2">
        <v>7268.57</v>
      </c>
      <c r="K526" s="2">
        <v>23</v>
      </c>
      <c r="L526" s="2">
        <v>8.1300000000000008</v>
      </c>
      <c r="M526" s="2">
        <v>18</v>
      </c>
    </row>
    <row r="527" spans="1:13" x14ac:dyDescent="0.3">
      <c r="A527" s="3">
        <v>2024</v>
      </c>
      <c r="B527" s="3" t="s">
        <v>9746</v>
      </c>
      <c r="C527" s="3" t="s">
        <v>19</v>
      </c>
      <c r="D527" s="3" t="s">
        <v>29</v>
      </c>
      <c r="E527" s="3">
        <v>218</v>
      </c>
      <c r="F527" s="3">
        <v>880575.28</v>
      </c>
      <c r="G527" s="3">
        <v>543389.64</v>
      </c>
      <c r="H527" s="3">
        <v>337185.64</v>
      </c>
      <c r="I527" s="3">
        <v>38.29</v>
      </c>
      <c r="J527" s="3">
        <v>4039.34</v>
      </c>
      <c r="K527" s="3">
        <v>13</v>
      </c>
      <c r="L527" s="3">
        <v>5.96</v>
      </c>
      <c r="M527" s="3">
        <v>50</v>
      </c>
    </row>
    <row r="528" spans="1:13" x14ac:dyDescent="0.3">
      <c r="A528" s="2">
        <v>2024</v>
      </c>
      <c r="B528" s="2" t="s">
        <v>9746</v>
      </c>
      <c r="C528" s="2" t="s">
        <v>19</v>
      </c>
      <c r="D528" s="2" t="s">
        <v>14</v>
      </c>
      <c r="E528" s="2">
        <v>271</v>
      </c>
      <c r="F528" s="2">
        <v>3903755.56</v>
      </c>
      <c r="G528" s="2">
        <v>2546430.69</v>
      </c>
      <c r="H528" s="2">
        <v>1357324.87</v>
      </c>
      <c r="I528" s="2">
        <v>34.770000000000003</v>
      </c>
      <c r="J528" s="2">
        <v>14405</v>
      </c>
      <c r="K528" s="2">
        <v>28</v>
      </c>
      <c r="L528" s="2">
        <v>10.33</v>
      </c>
      <c r="M528" s="2">
        <v>37</v>
      </c>
    </row>
    <row r="529" spans="1:13" x14ac:dyDescent="0.3">
      <c r="A529" s="3">
        <v>2024</v>
      </c>
      <c r="B529" s="3" t="s">
        <v>9746</v>
      </c>
      <c r="C529" s="3" t="s">
        <v>19</v>
      </c>
      <c r="D529" s="3" t="s">
        <v>39</v>
      </c>
      <c r="E529" s="3">
        <v>151</v>
      </c>
      <c r="F529" s="3">
        <v>1325835.6200000001</v>
      </c>
      <c r="G529" s="3">
        <v>713211.25</v>
      </c>
      <c r="H529" s="3">
        <v>612624.37</v>
      </c>
      <c r="I529" s="3">
        <v>46.21</v>
      </c>
      <c r="J529" s="3">
        <v>8780.3700000000008</v>
      </c>
      <c r="K529" s="3">
        <v>1</v>
      </c>
      <c r="L529" s="3">
        <v>0.66</v>
      </c>
      <c r="M529" s="3">
        <v>61</v>
      </c>
    </row>
    <row r="530" spans="1:13" x14ac:dyDescent="0.3">
      <c r="A530" s="2">
        <v>2024</v>
      </c>
      <c r="B530" s="2" t="s">
        <v>9746</v>
      </c>
      <c r="C530" s="2" t="s">
        <v>13</v>
      </c>
      <c r="D530" s="2" t="s">
        <v>22</v>
      </c>
      <c r="E530" s="2">
        <v>247</v>
      </c>
      <c r="F530" s="2">
        <v>4139315.72</v>
      </c>
      <c r="G530" s="2">
        <v>2285692.29</v>
      </c>
      <c r="H530" s="2">
        <v>1853623.43</v>
      </c>
      <c r="I530" s="2">
        <v>44.78</v>
      </c>
      <c r="J530" s="2">
        <v>16758.36</v>
      </c>
      <c r="K530" s="2">
        <v>2</v>
      </c>
      <c r="L530" s="2">
        <v>0.81</v>
      </c>
      <c r="M530" s="2">
        <v>42</v>
      </c>
    </row>
    <row r="531" spans="1:13" x14ac:dyDescent="0.3">
      <c r="A531" s="3">
        <v>2024</v>
      </c>
      <c r="B531" s="3" t="s">
        <v>9746</v>
      </c>
      <c r="C531" s="3" t="s">
        <v>13</v>
      </c>
      <c r="D531" s="3" t="s">
        <v>29</v>
      </c>
      <c r="E531" s="3">
        <v>190</v>
      </c>
      <c r="F531" s="3">
        <v>4087472.29</v>
      </c>
      <c r="G531" s="3">
        <v>2753775.23</v>
      </c>
      <c r="H531" s="3">
        <v>1333697.06</v>
      </c>
      <c r="I531" s="3">
        <v>32.630000000000003</v>
      </c>
      <c r="J531" s="3">
        <v>21513.01</v>
      </c>
      <c r="K531" s="3">
        <v>9</v>
      </c>
      <c r="L531" s="3">
        <v>4.74</v>
      </c>
      <c r="M531" s="3">
        <v>91</v>
      </c>
    </row>
    <row r="532" spans="1:13" x14ac:dyDescent="0.3">
      <c r="A532" s="2">
        <v>2024</v>
      </c>
      <c r="B532" s="2" t="s">
        <v>9746</v>
      </c>
      <c r="C532" s="2" t="s">
        <v>13</v>
      </c>
      <c r="D532" s="2" t="s">
        <v>14</v>
      </c>
      <c r="E532" s="2">
        <v>250</v>
      </c>
      <c r="F532" s="2">
        <v>3043100.37</v>
      </c>
      <c r="G532" s="2">
        <v>2021176.56</v>
      </c>
      <c r="H532" s="2">
        <v>1021923.81</v>
      </c>
      <c r="I532" s="2">
        <v>33.58</v>
      </c>
      <c r="J532" s="2">
        <v>12172.4</v>
      </c>
      <c r="K532" s="2">
        <v>22</v>
      </c>
      <c r="L532" s="2">
        <v>8.8000000000000007</v>
      </c>
      <c r="M532" s="2">
        <v>97</v>
      </c>
    </row>
    <row r="533" spans="1:13" x14ac:dyDescent="0.3">
      <c r="A533" s="3">
        <v>2024</v>
      </c>
      <c r="B533" s="3" t="s">
        <v>9746</v>
      </c>
      <c r="C533" s="3" t="s">
        <v>13</v>
      </c>
      <c r="D533" s="3" t="s">
        <v>39</v>
      </c>
      <c r="E533" s="3">
        <v>258</v>
      </c>
      <c r="F533" s="3">
        <v>3367470.14</v>
      </c>
      <c r="G533" s="3">
        <v>1959201.06</v>
      </c>
      <c r="H533" s="3">
        <v>1408269.08</v>
      </c>
      <c r="I533" s="3">
        <v>41.82</v>
      </c>
      <c r="J533" s="3">
        <v>13052.21</v>
      </c>
      <c r="K533" s="3">
        <v>9</v>
      </c>
      <c r="L533" s="3">
        <v>3.49</v>
      </c>
      <c r="M533" s="3">
        <v>88</v>
      </c>
    </row>
    <row r="534" spans="1:13" x14ac:dyDescent="0.3">
      <c r="A534" s="2">
        <v>2024</v>
      </c>
      <c r="B534" s="2" t="s">
        <v>9746</v>
      </c>
      <c r="C534" s="2" t="s">
        <v>27</v>
      </c>
      <c r="D534" s="2" t="s">
        <v>22</v>
      </c>
      <c r="E534" s="2">
        <v>70</v>
      </c>
      <c r="F534" s="2">
        <v>1761081.83</v>
      </c>
      <c r="G534" s="2">
        <v>899484.55</v>
      </c>
      <c r="H534" s="2">
        <v>861597.28</v>
      </c>
      <c r="I534" s="2">
        <v>48.92</v>
      </c>
      <c r="J534" s="2">
        <v>25158.31</v>
      </c>
      <c r="K534" s="2">
        <v>26</v>
      </c>
      <c r="L534" s="2">
        <v>37.14</v>
      </c>
      <c r="M534" s="2">
        <v>67</v>
      </c>
    </row>
    <row r="535" spans="1:13" x14ac:dyDescent="0.3">
      <c r="A535" s="3">
        <v>2024</v>
      </c>
      <c r="B535" s="3" t="s">
        <v>9746</v>
      </c>
      <c r="C535" s="3" t="s">
        <v>27</v>
      </c>
      <c r="D535" s="3" t="s">
        <v>29</v>
      </c>
      <c r="E535" s="3">
        <v>188</v>
      </c>
      <c r="F535" s="3">
        <v>4651906.21</v>
      </c>
      <c r="G535" s="3">
        <v>2810071.55</v>
      </c>
      <c r="H535" s="3">
        <v>1841834.66</v>
      </c>
      <c r="I535" s="3">
        <v>39.590000000000003</v>
      </c>
      <c r="J535" s="3">
        <v>24744.18</v>
      </c>
      <c r="K535" s="3">
        <v>6</v>
      </c>
      <c r="L535" s="3">
        <v>3.19</v>
      </c>
      <c r="M535" s="3">
        <v>23</v>
      </c>
    </row>
    <row r="536" spans="1:13" x14ac:dyDescent="0.3">
      <c r="A536" s="2">
        <v>2024</v>
      </c>
      <c r="B536" s="2" t="s">
        <v>9746</v>
      </c>
      <c r="C536" s="2" t="s">
        <v>27</v>
      </c>
      <c r="D536" s="2" t="s">
        <v>14</v>
      </c>
      <c r="E536" s="2">
        <v>243</v>
      </c>
      <c r="F536" s="2">
        <v>4842784.38</v>
      </c>
      <c r="G536" s="2">
        <v>2795523.22</v>
      </c>
      <c r="H536" s="2">
        <v>2047261.16</v>
      </c>
      <c r="I536" s="2">
        <v>42.27</v>
      </c>
      <c r="J536" s="2">
        <v>19929.150000000001</v>
      </c>
      <c r="K536" s="2">
        <v>4</v>
      </c>
      <c r="L536" s="2">
        <v>1.65</v>
      </c>
      <c r="M536" s="2">
        <v>49</v>
      </c>
    </row>
    <row r="537" spans="1:13" x14ac:dyDescent="0.3">
      <c r="A537" s="3">
        <v>2024</v>
      </c>
      <c r="B537" s="3" t="s">
        <v>9746</v>
      </c>
      <c r="C537" s="3" t="s">
        <v>27</v>
      </c>
      <c r="D537" s="3" t="s">
        <v>39</v>
      </c>
      <c r="E537" s="3">
        <v>108</v>
      </c>
      <c r="F537" s="3">
        <v>3981751.05</v>
      </c>
      <c r="G537" s="3">
        <v>2776073.43</v>
      </c>
      <c r="H537" s="3">
        <v>1205677.6200000001</v>
      </c>
      <c r="I537" s="3">
        <v>30.28</v>
      </c>
      <c r="J537" s="3">
        <v>36868.07</v>
      </c>
      <c r="K537" s="3">
        <v>15</v>
      </c>
      <c r="L537" s="3">
        <v>13.89</v>
      </c>
      <c r="M537" s="3">
        <v>96</v>
      </c>
    </row>
    <row r="538" spans="1:13" x14ac:dyDescent="0.3">
      <c r="A538" s="2">
        <v>2024</v>
      </c>
      <c r="B538" s="2" t="s">
        <v>9746</v>
      </c>
      <c r="C538" s="2" t="s">
        <v>28</v>
      </c>
      <c r="D538" s="2" t="s">
        <v>22</v>
      </c>
      <c r="E538" s="2">
        <v>67</v>
      </c>
      <c r="F538" s="2">
        <v>2172593.33</v>
      </c>
      <c r="G538" s="2">
        <v>1385602.46</v>
      </c>
      <c r="H538" s="2">
        <v>786990.87</v>
      </c>
      <c r="I538" s="2">
        <v>36.22</v>
      </c>
      <c r="J538" s="2">
        <v>32426.77</v>
      </c>
      <c r="K538" s="2">
        <v>8</v>
      </c>
      <c r="L538" s="2">
        <v>11.94</v>
      </c>
      <c r="M538" s="2">
        <v>37</v>
      </c>
    </row>
    <row r="539" spans="1:13" x14ac:dyDescent="0.3">
      <c r="A539" s="3">
        <v>2024</v>
      </c>
      <c r="B539" s="3" t="s">
        <v>9746</v>
      </c>
      <c r="C539" s="3" t="s">
        <v>28</v>
      </c>
      <c r="D539" s="3" t="s">
        <v>29</v>
      </c>
      <c r="E539" s="3">
        <v>104</v>
      </c>
      <c r="F539" s="3">
        <v>3265903.58</v>
      </c>
      <c r="G539" s="3">
        <v>1801211.99</v>
      </c>
      <c r="H539" s="3">
        <v>1464691.59</v>
      </c>
      <c r="I539" s="3">
        <v>44.85</v>
      </c>
      <c r="J539" s="3">
        <v>31402.92</v>
      </c>
      <c r="K539" s="3">
        <v>17</v>
      </c>
      <c r="L539" s="3">
        <v>16.350000000000001</v>
      </c>
      <c r="M539" s="3">
        <v>66</v>
      </c>
    </row>
    <row r="540" spans="1:13" x14ac:dyDescent="0.3">
      <c r="A540" s="2">
        <v>2024</v>
      </c>
      <c r="B540" s="2" t="s">
        <v>9746</v>
      </c>
      <c r="C540" s="2" t="s">
        <v>28</v>
      </c>
      <c r="D540" s="2" t="s">
        <v>14</v>
      </c>
      <c r="E540" s="2">
        <v>233</v>
      </c>
      <c r="F540" s="2">
        <v>4977947.72</v>
      </c>
      <c r="G540" s="2">
        <v>2818904.92</v>
      </c>
      <c r="H540" s="2">
        <v>2159042.7999999998</v>
      </c>
      <c r="I540" s="2">
        <v>43.37</v>
      </c>
      <c r="J540" s="2">
        <v>21364.58</v>
      </c>
      <c r="K540" s="2">
        <v>16</v>
      </c>
      <c r="L540" s="2">
        <v>6.87</v>
      </c>
      <c r="M540" s="2">
        <v>41</v>
      </c>
    </row>
    <row r="541" spans="1:13" x14ac:dyDescent="0.3">
      <c r="A541" s="3">
        <v>2024</v>
      </c>
      <c r="B541" s="3" t="s">
        <v>9746</v>
      </c>
      <c r="C541" s="3" t="s">
        <v>28</v>
      </c>
      <c r="D541" s="3" t="s">
        <v>39</v>
      </c>
      <c r="E541" s="3">
        <v>216</v>
      </c>
      <c r="F541" s="3">
        <v>366490.33</v>
      </c>
      <c r="G541" s="3">
        <v>238773.55</v>
      </c>
      <c r="H541" s="3">
        <v>127716.78</v>
      </c>
      <c r="I541" s="3">
        <v>34.85</v>
      </c>
      <c r="J541" s="3">
        <v>1696.71</v>
      </c>
      <c r="K541" s="3">
        <v>6</v>
      </c>
      <c r="L541" s="3">
        <v>2.78</v>
      </c>
      <c r="M541" s="3">
        <v>72</v>
      </c>
    </row>
    <row r="542" spans="1:13" x14ac:dyDescent="0.3">
      <c r="A542" s="2">
        <v>2024</v>
      </c>
      <c r="B542" s="2" t="s">
        <v>9747</v>
      </c>
      <c r="C542" s="2" t="s">
        <v>21</v>
      </c>
      <c r="D542" s="2" t="s">
        <v>22</v>
      </c>
      <c r="E542" s="2">
        <v>153</v>
      </c>
      <c r="F542" s="2">
        <v>1599177.11</v>
      </c>
      <c r="G542" s="2">
        <v>827852.49</v>
      </c>
      <c r="H542" s="2">
        <v>771324.62</v>
      </c>
      <c r="I542" s="2">
        <v>48.23</v>
      </c>
      <c r="J542" s="2">
        <v>10452.14</v>
      </c>
      <c r="K542" s="2">
        <v>30</v>
      </c>
      <c r="L542" s="2">
        <v>19.61</v>
      </c>
      <c r="M542" s="2">
        <v>29</v>
      </c>
    </row>
    <row r="543" spans="1:13" x14ac:dyDescent="0.3">
      <c r="A543" s="3">
        <v>2024</v>
      </c>
      <c r="B543" s="3" t="s">
        <v>9747</v>
      </c>
      <c r="C543" s="3" t="s">
        <v>21</v>
      </c>
      <c r="D543" s="3" t="s">
        <v>29</v>
      </c>
      <c r="E543" s="3">
        <v>22</v>
      </c>
      <c r="F543" s="3">
        <v>4817242.66</v>
      </c>
      <c r="G543" s="3">
        <v>3129632.14</v>
      </c>
      <c r="H543" s="3">
        <v>1687610.52</v>
      </c>
      <c r="I543" s="3">
        <v>35.03</v>
      </c>
      <c r="J543" s="3">
        <v>218965.58</v>
      </c>
      <c r="K543" s="3">
        <v>19</v>
      </c>
      <c r="L543" s="3">
        <v>86.36</v>
      </c>
      <c r="M543" s="3">
        <v>90</v>
      </c>
    </row>
    <row r="544" spans="1:13" x14ac:dyDescent="0.3">
      <c r="A544" s="2">
        <v>2024</v>
      </c>
      <c r="B544" s="2" t="s">
        <v>9747</v>
      </c>
      <c r="C544" s="2" t="s">
        <v>21</v>
      </c>
      <c r="D544" s="2" t="s">
        <v>14</v>
      </c>
      <c r="E544" s="2">
        <v>34</v>
      </c>
      <c r="F544" s="2">
        <v>1211861.53</v>
      </c>
      <c r="G544" s="2">
        <v>655455.69999999995</v>
      </c>
      <c r="H544" s="2">
        <v>556405.82999999996</v>
      </c>
      <c r="I544" s="2">
        <v>45.91</v>
      </c>
      <c r="J544" s="2">
        <v>35642.99</v>
      </c>
      <c r="K544" s="2">
        <v>24</v>
      </c>
      <c r="L544" s="2">
        <v>70.59</v>
      </c>
      <c r="M544" s="2">
        <v>94</v>
      </c>
    </row>
    <row r="545" spans="1:13" x14ac:dyDescent="0.3">
      <c r="A545" s="3">
        <v>2024</v>
      </c>
      <c r="B545" s="3" t="s">
        <v>9747</v>
      </c>
      <c r="C545" s="3" t="s">
        <v>21</v>
      </c>
      <c r="D545" s="3" t="s">
        <v>39</v>
      </c>
      <c r="E545" s="3">
        <v>264</v>
      </c>
      <c r="F545" s="3">
        <v>714310.47</v>
      </c>
      <c r="G545" s="3">
        <v>493049.74</v>
      </c>
      <c r="H545" s="3">
        <v>221260.73</v>
      </c>
      <c r="I545" s="3">
        <v>30.98</v>
      </c>
      <c r="J545" s="3">
        <v>2705.72</v>
      </c>
      <c r="K545" s="3">
        <v>11</v>
      </c>
      <c r="L545" s="3">
        <v>4.17</v>
      </c>
      <c r="M545" s="3">
        <v>58</v>
      </c>
    </row>
    <row r="546" spans="1:13" x14ac:dyDescent="0.3">
      <c r="A546" s="2">
        <v>2024</v>
      </c>
      <c r="B546" s="2" t="s">
        <v>9747</v>
      </c>
      <c r="C546" s="2" t="s">
        <v>19</v>
      </c>
      <c r="D546" s="2" t="s">
        <v>22</v>
      </c>
      <c r="E546" s="2">
        <v>100</v>
      </c>
      <c r="F546" s="2">
        <v>1769982.88</v>
      </c>
      <c r="G546" s="2">
        <v>895435.87</v>
      </c>
      <c r="H546" s="2">
        <v>874547.01</v>
      </c>
      <c r="I546" s="2">
        <v>49.41</v>
      </c>
      <c r="J546" s="2">
        <v>17699.830000000002</v>
      </c>
      <c r="K546" s="2">
        <v>11</v>
      </c>
      <c r="L546" s="2">
        <v>11</v>
      </c>
      <c r="M546" s="2">
        <v>68</v>
      </c>
    </row>
    <row r="547" spans="1:13" x14ac:dyDescent="0.3">
      <c r="A547" s="3">
        <v>2024</v>
      </c>
      <c r="B547" s="3" t="s">
        <v>9747</v>
      </c>
      <c r="C547" s="3" t="s">
        <v>19</v>
      </c>
      <c r="D547" s="3" t="s">
        <v>29</v>
      </c>
      <c r="E547" s="3">
        <v>207</v>
      </c>
      <c r="F547" s="3">
        <v>3191269.3</v>
      </c>
      <c r="G547" s="3">
        <v>1669134.68</v>
      </c>
      <c r="H547" s="3">
        <v>1522134.62</v>
      </c>
      <c r="I547" s="3">
        <v>47.7</v>
      </c>
      <c r="J547" s="3">
        <v>15416.76</v>
      </c>
      <c r="K547" s="3">
        <v>18</v>
      </c>
      <c r="L547" s="3">
        <v>8.6999999999999993</v>
      </c>
      <c r="M547" s="3">
        <v>66</v>
      </c>
    </row>
    <row r="548" spans="1:13" x14ac:dyDescent="0.3">
      <c r="A548" s="2">
        <v>2024</v>
      </c>
      <c r="B548" s="2" t="s">
        <v>9747</v>
      </c>
      <c r="C548" s="2" t="s">
        <v>19</v>
      </c>
      <c r="D548" s="2" t="s">
        <v>14</v>
      </c>
      <c r="E548" s="2">
        <v>152</v>
      </c>
      <c r="F548" s="2">
        <v>4164006.79</v>
      </c>
      <c r="G548" s="2">
        <v>2861410.23</v>
      </c>
      <c r="H548" s="2">
        <v>1302596.56</v>
      </c>
      <c r="I548" s="2">
        <v>31.28</v>
      </c>
      <c r="J548" s="2">
        <v>27394.78</v>
      </c>
      <c r="K548" s="2">
        <v>2</v>
      </c>
      <c r="L548" s="2">
        <v>1.32</v>
      </c>
      <c r="M548" s="2">
        <v>11</v>
      </c>
    </row>
    <row r="549" spans="1:13" x14ac:dyDescent="0.3">
      <c r="A549" s="3">
        <v>2024</v>
      </c>
      <c r="B549" s="3" t="s">
        <v>9747</v>
      </c>
      <c r="C549" s="3" t="s">
        <v>19</v>
      </c>
      <c r="D549" s="3" t="s">
        <v>39</v>
      </c>
      <c r="E549" s="3">
        <v>236</v>
      </c>
      <c r="F549" s="3">
        <v>3329874.73</v>
      </c>
      <c r="G549" s="3">
        <v>1948574.23</v>
      </c>
      <c r="H549" s="3">
        <v>1381300.5</v>
      </c>
      <c r="I549" s="3">
        <v>41.48</v>
      </c>
      <c r="J549" s="3">
        <v>14109.64</v>
      </c>
      <c r="K549" s="3">
        <v>12</v>
      </c>
      <c r="L549" s="3">
        <v>5.08</v>
      </c>
      <c r="M549" s="3">
        <v>64</v>
      </c>
    </row>
    <row r="550" spans="1:13" x14ac:dyDescent="0.3">
      <c r="A550" s="2">
        <v>2024</v>
      </c>
      <c r="B550" s="2" t="s">
        <v>9747</v>
      </c>
      <c r="C550" s="2" t="s">
        <v>13</v>
      </c>
      <c r="D550" s="2" t="s">
        <v>22</v>
      </c>
      <c r="E550" s="2">
        <v>239</v>
      </c>
      <c r="F550" s="2">
        <v>1208911.5900000001</v>
      </c>
      <c r="G550" s="2">
        <v>805441.8</v>
      </c>
      <c r="H550" s="2">
        <v>403469.79</v>
      </c>
      <c r="I550" s="2">
        <v>33.369999999999997</v>
      </c>
      <c r="J550" s="2">
        <v>5058.21</v>
      </c>
      <c r="K550" s="2">
        <v>1</v>
      </c>
      <c r="L550" s="2">
        <v>0.42</v>
      </c>
      <c r="M550" s="2">
        <v>64</v>
      </c>
    </row>
    <row r="551" spans="1:13" x14ac:dyDescent="0.3">
      <c r="A551" s="3">
        <v>2024</v>
      </c>
      <c r="B551" s="3" t="s">
        <v>9747</v>
      </c>
      <c r="C551" s="3" t="s">
        <v>13</v>
      </c>
      <c r="D551" s="3" t="s">
        <v>29</v>
      </c>
      <c r="E551" s="3">
        <v>219</v>
      </c>
      <c r="F551" s="3">
        <v>3861726.23</v>
      </c>
      <c r="G551" s="3">
        <v>1943676.53</v>
      </c>
      <c r="H551" s="3">
        <v>1918049.7</v>
      </c>
      <c r="I551" s="3">
        <v>49.67</v>
      </c>
      <c r="J551" s="3">
        <v>17633.45</v>
      </c>
      <c r="K551" s="3">
        <v>22</v>
      </c>
      <c r="L551" s="3">
        <v>10.050000000000001</v>
      </c>
      <c r="M551" s="3">
        <v>83</v>
      </c>
    </row>
    <row r="552" spans="1:13" x14ac:dyDescent="0.3">
      <c r="A552" s="2">
        <v>2024</v>
      </c>
      <c r="B552" s="2" t="s">
        <v>9747</v>
      </c>
      <c r="C552" s="2" t="s">
        <v>13</v>
      </c>
      <c r="D552" s="2" t="s">
        <v>14</v>
      </c>
      <c r="E552" s="2">
        <v>169</v>
      </c>
      <c r="F552" s="2">
        <v>711465.37</v>
      </c>
      <c r="G552" s="2">
        <v>454253.3</v>
      </c>
      <c r="H552" s="2">
        <v>257212.07</v>
      </c>
      <c r="I552" s="2">
        <v>36.15</v>
      </c>
      <c r="J552" s="2">
        <v>4209.8500000000004</v>
      </c>
      <c r="K552" s="2">
        <v>4</v>
      </c>
      <c r="L552" s="2">
        <v>2.37</v>
      </c>
      <c r="M552" s="2">
        <v>99</v>
      </c>
    </row>
    <row r="553" spans="1:13" x14ac:dyDescent="0.3">
      <c r="A553" s="3">
        <v>2024</v>
      </c>
      <c r="B553" s="3" t="s">
        <v>9747</v>
      </c>
      <c r="C553" s="3" t="s">
        <v>13</v>
      </c>
      <c r="D553" s="3" t="s">
        <v>39</v>
      </c>
      <c r="E553" s="3">
        <v>113</v>
      </c>
      <c r="F553" s="3">
        <v>3270532.85</v>
      </c>
      <c r="G553" s="3">
        <v>1860796.49</v>
      </c>
      <c r="H553" s="3">
        <v>1409736.36</v>
      </c>
      <c r="I553" s="3">
        <v>43.1</v>
      </c>
      <c r="J553" s="3">
        <v>28942.77</v>
      </c>
      <c r="K553" s="3">
        <v>17</v>
      </c>
      <c r="L553" s="3">
        <v>15.04</v>
      </c>
      <c r="M553" s="3">
        <v>72</v>
      </c>
    </row>
    <row r="554" spans="1:13" x14ac:dyDescent="0.3">
      <c r="A554" s="2">
        <v>2024</v>
      </c>
      <c r="B554" s="2" t="s">
        <v>9747</v>
      </c>
      <c r="C554" s="2" t="s">
        <v>27</v>
      </c>
      <c r="D554" s="2" t="s">
        <v>22</v>
      </c>
      <c r="E554" s="2">
        <v>208</v>
      </c>
      <c r="F554" s="2">
        <v>4822845.9800000004</v>
      </c>
      <c r="G554" s="2">
        <v>3014725.18</v>
      </c>
      <c r="H554" s="2">
        <v>1808120.8</v>
      </c>
      <c r="I554" s="2">
        <v>37.49</v>
      </c>
      <c r="J554" s="2">
        <v>23186.76</v>
      </c>
      <c r="K554" s="2">
        <v>17</v>
      </c>
      <c r="L554" s="2">
        <v>8.17</v>
      </c>
      <c r="M554" s="2">
        <v>40</v>
      </c>
    </row>
    <row r="555" spans="1:13" x14ac:dyDescent="0.3">
      <c r="A555" s="3">
        <v>2024</v>
      </c>
      <c r="B555" s="3" t="s">
        <v>9747</v>
      </c>
      <c r="C555" s="3" t="s">
        <v>27</v>
      </c>
      <c r="D555" s="3" t="s">
        <v>29</v>
      </c>
      <c r="E555" s="3">
        <v>83</v>
      </c>
      <c r="F555" s="3">
        <v>1912793.6</v>
      </c>
      <c r="G555" s="3">
        <v>1065983.83</v>
      </c>
      <c r="H555" s="3">
        <v>846809.77</v>
      </c>
      <c r="I555" s="3">
        <v>44.27</v>
      </c>
      <c r="J555" s="3">
        <v>23045.71</v>
      </c>
      <c r="K555" s="3">
        <v>28</v>
      </c>
      <c r="L555" s="3">
        <v>33.729999999999997</v>
      </c>
      <c r="M555" s="3">
        <v>62</v>
      </c>
    </row>
    <row r="556" spans="1:13" x14ac:dyDescent="0.3">
      <c r="A556" s="2">
        <v>2024</v>
      </c>
      <c r="B556" s="2" t="s">
        <v>9747</v>
      </c>
      <c r="C556" s="2" t="s">
        <v>27</v>
      </c>
      <c r="D556" s="2" t="s">
        <v>14</v>
      </c>
      <c r="E556" s="2">
        <v>177</v>
      </c>
      <c r="F556" s="2">
        <v>2426994.41</v>
      </c>
      <c r="G556" s="2">
        <v>1337988.4099999999</v>
      </c>
      <c r="H556" s="2">
        <v>1089006</v>
      </c>
      <c r="I556" s="2">
        <v>44.87</v>
      </c>
      <c r="J556" s="2">
        <v>13711.83</v>
      </c>
      <c r="K556" s="2">
        <v>3</v>
      </c>
      <c r="L556" s="2">
        <v>1.69</v>
      </c>
      <c r="M556" s="2">
        <v>76</v>
      </c>
    </row>
    <row r="557" spans="1:13" x14ac:dyDescent="0.3">
      <c r="A557" s="3">
        <v>2024</v>
      </c>
      <c r="B557" s="3" t="s">
        <v>9747</v>
      </c>
      <c r="C557" s="3" t="s">
        <v>27</v>
      </c>
      <c r="D557" s="3" t="s">
        <v>39</v>
      </c>
      <c r="E557" s="3">
        <v>51</v>
      </c>
      <c r="F557" s="3">
        <v>2444420.27</v>
      </c>
      <c r="G557" s="3">
        <v>1476740.71</v>
      </c>
      <c r="H557" s="3">
        <v>967679.56</v>
      </c>
      <c r="I557" s="3">
        <v>39.590000000000003</v>
      </c>
      <c r="J557" s="3">
        <v>47929.81</v>
      </c>
      <c r="K557" s="3">
        <v>3</v>
      </c>
      <c r="L557" s="3">
        <v>5.88</v>
      </c>
      <c r="M557" s="3">
        <v>34</v>
      </c>
    </row>
    <row r="558" spans="1:13" x14ac:dyDescent="0.3">
      <c r="A558" s="2">
        <v>2024</v>
      </c>
      <c r="B558" s="2" t="s">
        <v>9747</v>
      </c>
      <c r="C558" s="2" t="s">
        <v>28</v>
      </c>
      <c r="D558" s="2" t="s">
        <v>22</v>
      </c>
      <c r="E558" s="2">
        <v>29</v>
      </c>
      <c r="F558" s="2">
        <v>3480362.77</v>
      </c>
      <c r="G558" s="2">
        <v>1788082.73</v>
      </c>
      <c r="H558" s="2">
        <v>1692280.04</v>
      </c>
      <c r="I558" s="2">
        <v>48.62</v>
      </c>
      <c r="J558" s="2">
        <v>120012.51</v>
      </c>
      <c r="K558" s="2">
        <v>30</v>
      </c>
      <c r="L558" s="2">
        <v>103.45</v>
      </c>
      <c r="M558" s="2">
        <v>5</v>
      </c>
    </row>
    <row r="559" spans="1:13" x14ac:dyDescent="0.3">
      <c r="A559" s="3">
        <v>2024</v>
      </c>
      <c r="B559" s="3" t="s">
        <v>9747</v>
      </c>
      <c r="C559" s="3" t="s">
        <v>28</v>
      </c>
      <c r="D559" s="3" t="s">
        <v>29</v>
      </c>
      <c r="E559" s="3">
        <v>139</v>
      </c>
      <c r="F559" s="3">
        <v>1666607.1</v>
      </c>
      <c r="G559" s="3">
        <v>1059427.6200000001</v>
      </c>
      <c r="H559" s="3">
        <v>607179.48</v>
      </c>
      <c r="I559" s="3">
        <v>36.43</v>
      </c>
      <c r="J559" s="3">
        <v>11989.98</v>
      </c>
      <c r="K559" s="3">
        <v>8</v>
      </c>
      <c r="L559" s="3">
        <v>5.76</v>
      </c>
      <c r="M559" s="3">
        <v>81</v>
      </c>
    </row>
    <row r="560" spans="1:13" x14ac:dyDescent="0.3">
      <c r="A560" s="2">
        <v>2024</v>
      </c>
      <c r="B560" s="2" t="s">
        <v>9747</v>
      </c>
      <c r="C560" s="2" t="s">
        <v>28</v>
      </c>
      <c r="D560" s="2" t="s">
        <v>14</v>
      </c>
      <c r="E560" s="2">
        <v>149</v>
      </c>
      <c r="F560" s="2">
        <v>3657752.51</v>
      </c>
      <c r="G560" s="2">
        <v>2472806.83</v>
      </c>
      <c r="H560" s="2">
        <v>1184945.68</v>
      </c>
      <c r="I560" s="2">
        <v>32.4</v>
      </c>
      <c r="J560" s="2">
        <v>24548.67</v>
      </c>
      <c r="K560" s="2">
        <v>5</v>
      </c>
      <c r="L560" s="2">
        <v>3.36</v>
      </c>
      <c r="M560" s="2">
        <v>29</v>
      </c>
    </row>
    <row r="561" spans="1:13" x14ac:dyDescent="0.3">
      <c r="A561" s="3">
        <v>2024</v>
      </c>
      <c r="B561" s="3" t="s">
        <v>9747</v>
      </c>
      <c r="C561" s="3" t="s">
        <v>28</v>
      </c>
      <c r="D561" s="3" t="s">
        <v>39</v>
      </c>
      <c r="E561" s="3">
        <v>224</v>
      </c>
      <c r="F561" s="3">
        <v>632062.99</v>
      </c>
      <c r="G561" s="3">
        <v>429329.57</v>
      </c>
      <c r="H561" s="3">
        <v>202733.42</v>
      </c>
      <c r="I561" s="3">
        <v>32.07</v>
      </c>
      <c r="J561" s="3">
        <v>2821.71</v>
      </c>
      <c r="K561" s="3">
        <v>20</v>
      </c>
      <c r="L561" s="3">
        <v>8.93</v>
      </c>
      <c r="M561" s="3">
        <v>59</v>
      </c>
    </row>
    <row r="562" spans="1:13" x14ac:dyDescent="0.3">
      <c r="A562" s="2">
        <v>2024</v>
      </c>
      <c r="B562" s="2" t="s">
        <v>9748</v>
      </c>
      <c r="C562" s="2" t="s">
        <v>21</v>
      </c>
      <c r="D562" s="2" t="s">
        <v>22</v>
      </c>
      <c r="E562" s="2">
        <v>255</v>
      </c>
      <c r="F562" s="2">
        <v>2453495.2200000002</v>
      </c>
      <c r="G562" s="2">
        <v>1354222</v>
      </c>
      <c r="H562" s="2">
        <v>1099273.22</v>
      </c>
      <c r="I562" s="2">
        <v>44.8</v>
      </c>
      <c r="J562" s="2">
        <v>9621.5499999999993</v>
      </c>
      <c r="K562" s="2">
        <v>29</v>
      </c>
      <c r="L562" s="2">
        <v>11.37</v>
      </c>
      <c r="M562" s="2">
        <v>64</v>
      </c>
    </row>
    <row r="563" spans="1:13" x14ac:dyDescent="0.3">
      <c r="A563" s="3">
        <v>2024</v>
      </c>
      <c r="B563" s="3" t="s">
        <v>9748</v>
      </c>
      <c r="C563" s="3" t="s">
        <v>21</v>
      </c>
      <c r="D563" s="3" t="s">
        <v>29</v>
      </c>
      <c r="E563" s="3">
        <v>126</v>
      </c>
      <c r="F563" s="3">
        <v>398368.44</v>
      </c>
      <c r="G563" s="3">
        <v>250130.65</v>
      </c>
      <c r="H563" s="3">
        <v>148237.79</v>
      </c>
      <c r="I563" s="3">
        <v>37.21</v>
      </c>
      <c r="J563" s="3">
        <v>3161.65</v>
      </c>
      <c r="K563" s="3">
        <v>8</v>
      </c>
      <c r="L563" s="3">
        <v>6.35</v>
      </c>
      <c r="M563" s="3">
        <v>96</v>
      </c>
    </row>
    <row r="564" spans="1:13" x14ac:dyDescent="0.3">
      <c r="A564" s="2">
        <v>2024</v>
      </c>
      <c r="B564" s="2" t="s">
        <v>9748</v>
      </c>
      <c r="C564" s="2" t="s">
        <v>21</v>
      </c>
      <c r="D564" s="2" t="s">
        <v>14</v>
      </c>
      <c r="E564" s="2">
        <v>68</v>
      </c>
      <c r="F564" s="2">
        <v>561253.91</v>
      </c>
      <c r="G564" s="2">
        <v>369712.38</v>
      </c>
      <c r="H564" s="2">
        <v>191541.53</v>
      </c>
      <c r="I564" s="2">
        <v>34.130000000000003</v>
      </c>
      <c r="J564" s="2">
        <v>8253.73</v>
      </c>
      <c r="K564" s="2">
        <v>1</v>
      </c>
      <c r="L564" s="2">
        <v>1.47</v>
      </c>
      <c r="M564" s="2">
        <v>23</v>
      </c>
    </row>
    <row r="565" spans="1:13" x14ac:dyDescent="0.3">
      <c r="A565" s="3">
        <v>2024</v>
      </c>
      <c r="B565" s="3" t="s">
        <v>9748</v>
      </c>
      <c r="C565" s="3" t="s">
        <v>21</v>
      </c>
      <c r="D565" s="3" t="s">
        <v>39</v>
      </c>
      <c r="E565" s="3">
        <v>259</v>
      </c>
      <c r="F565" s="3">
        <v>714971.68</v>
      </c>
      <c r="G565" s="3">
        <v>460731.52</v>
      </c>
      <c r="H565" s="3">
        <v>254240.16</v>
      </c>
      <c r="I565" s="3">
        <v>35.56</v>
      </c>
      <c r="J565" s="3">
        <v>2760.51</v>
      </c>
      <c r="K565" s="3">
        <v>7</v>
      </c>
      <c r="L565" s="3">
        <v>2.7</v>
      </c>
      <c r="M565" s="3">
        <v>47</v>
      </c>
    </row>
    <row r="566" spans="1:13" x14ac:dyDescent="0.3">
      <c r="A566" s="2">
        <v>2024</v>
      </c>
      <c r="B566" s="2" t="s">
        <v>9748</v>
      </c>
      <c r="C566" s="2" t="s">
        <v>19</v>
      </c>
      <c r="D566" s="2" t="s">
        <v>22</v>
      </c>
      <c r="E566" s="2">
        <v>199</v>
      </c>
      <c r="F566" s="2">
        <v>2873766.24</v>
      </c>
      <c r="G566" s="2">
        <v>1576284.64</v>
      </c>
      <c r="H566" s="2">
        <v>1297481.6000000001</v>
      </c>
      <c r="I566" s="2">
        <v>45.15</v>
      </c>
      <c r="J566" s="2">
        <v>14441.04</v>
      </c>
      <c r="K566" s="2">
        <v>24</v>
      </c>
      <c r="L566" s="2">
        <v>12.06</v>
      </c>
      <c r="M566" s="2">
        <v>92</v>
      </c>
    </row>
    <row r="567" spans="1:13" x14ac:dyDescent="0.3">
      <c r="A567" s="3">
        <v>2024</v>
      </c>
      <c r="B567" s="3" t="s">
        <v>9748</v>
      </c>
      <c r="C567" s="3" t="s">
        <v>19</v>
      </c>
      <c r="D567" s="3" t="s">
        <v>29</v>
      </c>
      <c r="E567" s="3">
        <v>279</v>
      </c>
      <c r="F567" s="3">
        <v>3781888.21</v>
      </c>
      <c r="G567" s="3">
        <v>2306182.59</v>
      </c>
      <c r="H567" s="3">
        <v>1475705.62</v>
      </c>
      <c r="I567" s="3">
        <v>39.020000000000003</v>
      </c>
      <c r="J567" s="3">
        <v>13555.15</v>
      </c>
      <c r="K567" s="3">
        <v>15</v>
      </c>
      <c r="L567" s="3">
        <v>5.38</v>
      </c>
      <c r="M567" s="3">
        <v>13</v>
      </c>
    </row>
    <row r="568" spans="1:13" x14ac:dyDescent="0.3">
      <c r="A568" s="2">
        <v>2024</v>
      </c>
      <c r="B568" s="2" t="s">
        <v>9748</v>
      </c>
      <c r="C568" s="2" t="s">
        <v>19</v>
      </c>
      <c r="D568" s="2" t="s">
        <v>14</v>
      </c>
      <c r="E568" s="2">
        <v>261</v>
      </c>
      <c r="F568" s="2">
        <v>3285999.8</v>
      </c>
      <c r="G568" s="2">
        <v>1848861.82</v>
      </c>
      <c r="H568" s="2">
        <v>1437137.98</v>
      </c>
      <c r="I568" s="2">
        <v>43.74</v>
      </c>
      <c r="J568" s="2">
        <v>12590.04</v>
      </c>
      <c r="K568" s="2">
        <v>1</v>
      </c>
      <c r="L568" s="2">
        <v>0.38</v>
      </c>
      <c r="M568" s="2">
        <v>28</v>
      </c>
    </row>
    <row r="569" spans="1:13" x14ac:dyDescent="0.3">
      <c r="A569" s="3">
        <v>2024</v>
      </c>
      <c r="B569" s="3" t="s">
        <v>9748</v>
      </c>
      <c r="C569" s="3" t="s">
        <v>19</v>
      </c>
      <c r="D569" s="3" t="s">
        <v>39</v>
      </c>
      <c r="E569" s="3">
        <v>157</v>
      </c>
      <c r="F569" s="3">
        <v>2553036.36</v>
      </c>
      <c r="G569" s="3">
        <v>1582852.13</v>
      </c>
      <c r="H569" s="3">
        <v>970184.23</v>
      </c>
      <c r="I569" s="3">
        <v>38</v>
      </c>
      <c r="J569" s="3">
        <v>16261.38</v>
      </c>
      <c r="K569" s="3">
        <v>3</v>
      </c>
      <c r="L569" s="3">
        <v>1.91</v>
      </c>
      <c r="M569" s="3">
        <v>23</v>
      </c>
    </row>
    <row r="570" spans="1:13" x14ac:dyDescent="0.3">
      <c r="A570" s="2">
        <v>2024</v>
      </c>
      <c r="B570" s="2" t="s">
        <v>9748</v>
      </c>
      <c r="C570" s="2" t="s">
        <v>13</v>
      </c>
      <c r="D570" s="2" t="s">
        <v>22</v>
      </c>
      <c r="E570" s="2">
        <v>39</v>
      </c>
      <c r="F570" s="2">
        <v>4154659.69</v>
      </c>
      <c r="G570" s="2">
        <v>2634424.04</v>
      </c>
      <c r="H570" s="2">
        <v>1520235.65</v>
      </c>
      <c r="I570" s="2">
        <v>36.590000000000003</v>
      </c>
      <c r="J570" s="2">
        <v>106529.74</v>
      </c>
      <c r="K570" s="2">
        <v>21</v>
      </c>
      <c r="L570" s="2">
        <v>53.85</v>
      </c>
      <c r="M570" s="2">
        <v>48</v>
      </c>
    </row>
    <row r="571" spans="1:13" x14ac:dyDescent="0.3">
      <c r="A571" s="3">
        <v>2024</v>
      </c>
      <c r="B571" s="3" t="s">
        <v>9748</v>
      </c>
      <c r="C571" s="3" t="s">
        <v>13</v>
      </c>
      <c r="D571" s="3" t="s">
        <v>29</v>
      </c>
      <c r="E571" s="3">
        <v>193</v>
      </c>
      <c r="F571" s="3">
        <v>4567593.0199999996</v>
      </c>
      <c r="G571" s="3">
        <v>2755845.59</v>
      </c>
      <c r="H571" s="3">
        <v>1811747.43</v>
      </c>
      <c r="I571" s="3">
        <v>39.67</v>
      </c>
      <c r="J571" s="3">
        <v>23666.29</v>
      </c>
      <c r="K571" s="3">
        <v>23</v>
      </c>
      <c r="L571" s="3">
        <v>11.92</v>
      </c>
      <c r="M571" s="3">
        <v>28</v>
      </c>
    </row>
    <row r="572" spans="1:13" x14ac:dyDescent="0.3">
      <c r="A572" s="2">
        <v>2024</v>
      </c>
      <c r="B572" s="2" t="s">
        <v>9748</v>
      </c>
      <c r="C572" s="2" t="s">
        <v>13</v>
      </c>
      <c r="D572" s="2" t="s">
        <v>14</v>
      </c>
      <c r="E572" s="2">
        <v>288</v>
      </c>
      <c r="F572" s="2">
        <v>1092997.53</v>
      </c>
      <c r="G572" s="2">
        <v>706774.66</v>
      </c>
      <c r="H572" s="2">
        <v>386222.87</v>
      </c>
      <c r="I572" s="2">
        <v>35.340000000000003</v>
      </c>
      <c r="J572" s="2">
        <v>3795.13</v>
      </c>
      <c r="K572" s="2">
        <v>14</v>
      </c>
      <c r="L572" s="2">
        <v>4.8600000000000003</v>
      </c>
      <c r="M572" s="2">
        <v>50</v>
      </c>
    </row>
    <row r="573" spans="1:13" x14ac:dyDescent="0.3">
      <c r="A573" s="3">
        <v>2024</v>
      </c>
      <c r="B573" s="3" t="s">
        <v>9748</v>
      </c>
      <c r="C573" s="3" t="s">
        <v>13</v>
      </c>
      <c r="D573" s="3" t="s">
        <v>39</v>
      </c>
      <c r="E573" s="3">
        <v>112</v>
      </c>
      <c r="F573" s="3">
        <v>4780548.71</v>
      </c>
      <c r="G573" s="3">
        <v>2533284.12</v>
      </c>
      <c r="H573" s="3">
        <v>2247264.59</v>
      </c>
      <c r="I573" s="3">
        <v>47.01</v>
      </c>
      <c r="J573" s="3">
        <v>42683.47</v>
      </c>
      <c r="K573" s="3">
        <v>6</v>
      </c>
      <c r="L573" s="3">
        <v>5.36</v>
      </c>
      <c r="M573" s="3">
        <v>49</v>
      </c>
    </row>
    <row r="574" spans="1:13" x14ac:dyDescent="0.3">
      <c r="A574" s="2">
        <v>2024</v>
      </c>
      <c r="B574" s="2" t="s">
        <v>9748</v>
      </c>
      <c r="C574" s="2" t="s">
        <v>27</v>
      </c>
      <c r="D574" s="2" t="s">
        <v>22</v>
      </c>
      <c r="E574" s="2">
        <v>213</v>
      </c>
      <c r="F574" s="2">
        <v>1818924.87</v>
      </c>
      <c r="G574" s="2">
        <v>1232928.99</v>
      </c>
      <c r="H574" s="2">
        <v>585995.88</v>
      </c>
      <c r="I574" s="2">
        <v>32.22</v>
      </c>
      <c r="J574" s="2">
        <v>8539.5499999999993</v>
      </c>
      <c r="K574" s="2">
        <v>11</v>
      </c>
      <c r="L574" s="2">
        <v>5.16</v>
      </c>
      <c r="M574" s="2">
        <v>15</v>
      </c>
    </row>
    <row r="575" spans="1:13" x14ac:dyDescent="0.3">
      <c r="A575" s="3">
        <v>2024</v>
      </c>
      <c r="B575" s="3" t="s">
        <v>9748</v>
      </c>
      <c r="C575" s="3" t="s">
        <v>27</v>
      </c>
      <c r="D575" s="3" t="s">
        <v>29</v>
      </c>
      <c r="E575" s="3">
        <v>181</v>
      </c>
      <c r="F575" s="3">
        <v>4646751.99</v>
      </c>
      <c r="G575" s="3">
        <v>2437622.62</v>
      </c>
      <c r="H575" s="3">
        <v>2209129.37</v>
      </c>
      <c r="I575" s="3">
        <v>47.54</v>
      </c>
      <c r="J575" s="3">
        <v>25672.66</v>
      </c>
      <c r="K575" s="3">
        <v>4</v>
      </c>
      <c r="L575" s="3">
        <v>2.21</v>
      </c>
      <c r="M575" s="3">
        <v>68</v>
      </c>
    </row>
    <row r="576" spans="1:13" x14ac:dyDescent="0.3">
      <c r="A576" s="2">
        <v>2024</v>
      </c>
      <c r="B576" s="2" t="s">
        <v>9748</v>
      </c>
      <c r="C576" s="2" t="s">
        <v>27</v>
      </c>
      <c r="D576" s="2" t="s">
        <v>14</v>
      </c>
      <c r="E576" s="2">
        <v>188</v>
      </c>
      <c r="F576" s="2">
        <v>3913269.94</v>
      </c>
      <c r="G576" s="2">
        <v>2176513.2400000002</v>
      </c>
      <c r="H576" s="2">
        <v>1736756.7</v>
      </c>
      <c r="I576" s="2">
        <v>44.38</v>
      </c>
      <c r="J576" s="2">
        <v>20815.27</v>
      </c>
      <c r="K576" s="2">
        <v>26</v>
      </c>
      <c r="L576" s="2">
        <v>13.83</v>
      </c>
      <c r="M576" s="2">
        <v>5</v>
      </c>
    </row>
    <row r="577" spans="1:13" x14ac:dyDescent="0.3">
      <c r="A577" s="3">
        <v>2024</v>
      </c>
      <c r="B577" s="3" t="s">
        <v>9748</v>
      </c>
      <c r="C577" s="3" t="s">
        <v>27</v>
      </c>
      <c r="D577" s="3" t="s">
        <v>39</v>
      </c>
      <c r="E577" s="3">
        <v>235</v>
      </c>
      <c r="F577" s="3">
        <v>2448742.87</v>
      </c>
      <c r="G577" s="3">
        <v>1476123.19</v>
      </c>
      <c r="H577" s="3">
        <v>972619.68</v>
      </c>
      <c r="I577" s="3">
        <v>39.72</v>
      </c>
      <c r="J577" s="3">
        <v>10420.18</v>
      </c>
      <c r="K577" s="3">
        <v>16</v>
      </c>
      <c r="L577" s="3">
        <v>6.81</v>
      </c>
      <c r="M577" s="3">
        <v>72</v>
      </c>
    </row>
    <row r="578" spans="1:13" x14ac:dyDescent="0.3">
      <c r="A578" s="2">
        <v>2024</v>
      </c>
      <c r="B578" s="2" t="s">
        <v>9748</v>
      </c>
      <c r="C578" s="2" t="s">
        <v>28</v>
      </c>
      <c r="D578" s="2" t="s">
        <v>22</v>
      </c>
      <c r="E578" s="2">
        <v>137</v>
      </c>
      <c r="F578" s="2">
        <v>1409455.11</v>
      </c>
      <c r="G578" s="2">
        <v>746568.21</v>
      </c>
      <c r="H578" s="2">
        <v>662886.9</v>
      </c>
      <c r="I578" s="2">
        <v>47.03</v>
      </c>
      <c r="J578" s="2">
        <v>10287.99</v>
      </c>
      <c r="K578" s="2">
        <v>10</v>
      </c>
      <c r="L578" s="2">
        <v>7.3</v>
      </c>
      <c r="M578" s="2">
        <v>93</v>
      </c>
    </row>
    <row r="579" spans="1:13" x14ac:dyDescent="0.3">
      <c r="A579" s="3">
        <v>2024</v>
      </c>
      <c r="B579" s="3" t="s">
        <v>9748</v>
      </c>
      <c r="C579" s="3" t="s">
        <v>28</v>
      </c>
      <c r="D579" s="3" t="s">
        <v>29</v>
      </c>
      <c r="E579" s="3">
        <v>292</v>
      </c>
      <c r="F579" s="3">
        <v>303599.71000000002</v>
      </c>
      <c r="G579" s="3">
        <v>158654.79</v>
      </c>
      <c r="H579" s="3">
        <v>144944.92000000001</v>
      </c>
      <c r="I579" s="3">
        <v>47.74</v>
      </c>
      <c r="J579" s="3">
        <v>1039.73</v>
      </c>
      <c r="K579" s="3">
        <v>24</v>
      </c>
      <c r="L579" s="3">
        <v>8.2200000000000006</v>
      </c>
      <c r="M579" s="3">
        <v>14</v>
      </c>
    </row>
    <row r="580" spans="1:13" x14ac:dyDescent="0.3">
      <c r="A580" s="2">
        <v>2024</v>
      </c>
      <c r="B580" s="2" t="s">
        <v>9748</v>
      </c>
      <c r="C580" s="2" t="s">
        <v>28</v>
      </c>
      <c r="D580" s="2" t="s">
        <v>14</v>
      </c>
      <c r="E580" s="2">
        <v>55</v>
      </c>
      <c r="F580" s="2">
        <v>604251.38</v>
      </c>
      <c r="G580" s="2">
        <v>350651.89</v>
      </c>
      <c r="H580" s="2">
        <v>253599.49</v>
      </c>
      <c r="I580" s="2">
        <v>41.97</v>
      </c>
      <c r="J580" s="2">
        <v>10986.39</v>
      </c>
      <c r="K580" s="2">
        <v>28</v>
      </c>
      <c r="L580" s="2">
        <v>50.91</v>
      </c>
      <c r="M580" s="2">
        <v>76</v>
      </c>
    </row>
    <row r="581" spans="1:13" x14ac:dyDescent="0.3">
      <c r="A581" s="3">
        <v>2024</v>
      </c>
      <c r="B581" s="3" t="s">
        <v>9748</v>
      </c>
      <c r="C581" s="3" t="s">
        <v>28</v>
      </c>
      <c r="D581" s="3" t="s">
        <v>39</v>
      </c>
      <c r="E581" s="3">
        <v>20</v>
      </c>
      <c r="F581" s="3">
        <v>952808.9</v>
      </c>
      <c r="G581" s="3">
        <v>572192.03</v>
      </c>
      <c r="H581" s="3">
        <v>380616.87</v>
      </c>
      <c r="I581" s="3">
        <v>39.950000000000003</v>
      </c>
      <c r="J581" s="3">
        <v>47640.44</v>
      </c>
      <c r="K581" s="3">
        <v>5</v>
      </c>
      <c r="L581" s="3">
        <v>25</v>
      </c>
      <c r="M581" s="3">
        <v>47</v>
      </c>
    </row>
    <row r="582" spans="1:13" x14ac:dyDescent="0.3">
      <c r="A582" s="2">
        <v>2024</v>
      </c>
      <c r="B582" s="2" t="s">
        <v>9749</v>
      </c>
      <c r="C582" s="2" t="s">
        <v>21</v>
      </c>
      <c r="D582" s="2" t="s">
        <v>22</v>
      </c>
      <c r="E582" s="2">
        <v>201</v>
      </c>
      <c r="F582" s="2">
        <v>1375556.36</v>
      </c>
      <c r="G582" s="2">
        <v>786761.09</v>
      </c>
      <c r="H582" s="2">
        <v>588795.27</v>
      </c>
      <c r="I582" s="2">
        <v>42.8</v>
      </c>
      <c r="J582" s="2">
        <v>6843.56</v>
      </c>
      <c r="K582" s="2">
        <v>8</v>
      </c>
      <c r="L582" s="2">
        <v>3.98</v>
      </c>
      <c r="M582" s="2">
        <v>85</v>
      </c>
    </row>
    <row r="583" spans="1:13" x14ac:dyDescent="0.3">
      <c r="A583" s="3">
        <v>2024</v>
      </c>
      <c r="B583" s="3" t="s">
        <v>9749</v>
      </c>
      <c r="C583" s="3" t="s">
        <v>21</v>
      </c>
      <c r="D583" s="3" t="s">
        <v>29</v>
      </c>
      <c r="E583" s="3">
        <v>145</v>
      </c>
      <c r="F583" s="3">
        <v>1536616.43</v>
      </c>
      <c r="G583" s="3">
        <v>809645.45</v>
      </c>
      <c r="H583" s="3">
        <v>726970.98</v>
      </c>
      <c r="I583" s="3">
        <v>47.31</v>
      </c>
      <c r="J583" s="3">
        <v>10597.35</v>
      </c>
      <c r="K583" s="3">
        <v>21</v>
      </c>
      <c r="L583" s="3">
        <v>14.48</v>
      </c>
      <c r="M583" s="3">
        <v>21</v>
      </c>
    </row>
    <row r="584" spans="1:13" x14ac:dyDescent="0.3">
      <c r="A584" s="2">
        <v>2024</v>
      </c>
      <c r="B584" s="2" t="s">
        <v>9749</v>
      </c>
      <c r="C584" s="2" t="s">
        <v>21</v>
      </c>
      <c r="D584" s="2" t="s">
        <v>14</v>
      </c>
      <c r="E584" s="2">
        <v>31</v>
      </c>
      <c r="F584" s="2">
        <v>1399873.49</v>
      </c>
      <c r="G584" s="2">
        <v>725337.59</v>
      </c>
      <c r="H584" s="2">
        <v>674535.9</v>
      </c>
      <c r="I584" s="2">
        <v>48.19</v>
      </c>
      <c r="J584" s="2">
        <v>45157.21</v>
      </c>
      <c r="K584" s="2">
        <v>27</v>
      </c>
      <c r="L584" s="2">
        <v>87.1</v>
      </c>
      <c r="M584" s="2">
        <v>41</v>
      </c>
    </row>
    <row r="585" spans="1:13" x14ac:dyDescent="0.3">
      <c r="A585" s="3">
        <v>2024</v>
      </c>
      <c r="B585" s="3" t="s">
        <v>9749</v>
      </c>
      <c r="C585" s="3" t="s">
        <v>21</v>
      </c>
      <c r="D585" s="3" t="s">
        <v>39</v>
      </c>
      <c r="E585" s="3">
        <v>295</v>
      </c>
      <c r="F585" s="3">
        <v>2845282.96</v>
      </c>
      <c r="G585" s="3">
        <v>1441301.41</v>
      </c>
      <c r="H585" s="3">
        <v>1403981.55</v>
      </c>
      <c r="I585" s="3">
        <v>49.34</v>
      </c>
      <c r="J585" s="3">
        <v>9645.0300000000007</v>
      </c>
      <c r="K585" s="3">
        <v>1</v>
      </c>
      <c r="L585" s="3">
        <v>0.34</v>
      </c>
      <c r="M585" s="3">
        <v>37</v>
      </c>
    </row>
    <row r="586" spans="1:13" x14ac:dyDescent="0.3">
      <c r="A586" s="2">
        <v>2024</v>
      </c>
      <c r="B586" s="2" t="s">
        <v>9749</v>
      </c>
      <c r="C586" s="2" t="s">
        <v>19</v>
      </c>
      <c r="D586" s="2" t="s">
        <v>22</v>
      </c>
      <c r="E586" s="2">
        <v>175</v>
      </c>
      <c r="F586" s="2">
        <v>3739910.82</v>
      </c>
      <c r="G586" s="2">
        <v>2309328.23</v>
      </c>
      <c r="H586" s="2">
        <v>1430582.59</v>
      </c>
      <c r="I586" s="2">
        <v>38.25</v>
      </c>
      <c r="J586" s="2">
        <v>21370.92</v>
      </c>
      <c r="K586" s="2">
        <v>6</v>
      </c>
      <c r="L586" s="2">
        <v>3.43</v>
      </c>
      <c r="M586" s="2">
        <v>43</v>
      </c>
    </row>
    <row r="587" spans="1:13" x14ac:dyDescent="0.3">
      <c r="A587" s="3">
        <v>2024</v>
      </c>
      <c r="B587" s="3" t="s">
        <v>9749</v>
      </c>
      <c r="C587" s="3" t="s">
        <v>19</v>
      </c>
      <c r="D587" s="3" t="s">
        <v>29</v>
      </c>
      <c r="E587" s="3">
        <v>139</v>
      </c>
      <c r="F587" s="3">
        <v>4232734.7300000004</v>
      </c>
      <c r="G587" s="3">
        <v>2161992.4700000002</v>
      </c>
      <c r="H587" s="3">
        <v>2070742.26</v>
      </c>
      <c r="I587" s="3">
        <v>48.92</v>
      </c>
      <c r="J587" s="3">
        <v>30451.33</v>
      </c>
      <c r="K587" s="3">
        <v>12</v>
      </c>
      <c r="L587" s="3">
        <v>8.6300000000000008</v>
      </c>
      <c r="M587" s="3">
        <v>59</v>
      </c>
    </row>
    <row r="588" spans="1:13" x14ac:dyDescent="0.3">
      <c r="A588" s="2">
        <v>2024</v>
      </c>
      <c r="B588" s="2" t="s">
        <v>9749</v>
      </c>
      <c r="C588" s="2" t="s">
        <v>19</v>
      </c>
      <c r="D588" s="2" t="s">
        <v>14</v>
      </c>
      <c r="E588" s="2">
        <v>227</v>
      </c>
      <c r="F588" s="2">
        <v>250375.51</v>
      </c>
      <c r="G588" s="2">
        <v>142163.25</v>
      </c>
      <c r="H588" s="2">
        <v>108212.26</v>
      </c>
      <c r="I588" s="2">
        <v>43.22</v>
      </c>
      <c r="J588" s="2">
        <v>1102.98</v>
      </c>
      <c r="K588" s="2">
        <v>27</v>
      </c>
      <c r="L588" s="2">
        <v>11.89</v>
      </c>
      <c r="M588" s="2">
        <v>24</v>
      </c>
    </row>
    <row r="589" spans="1:13" x14ac:dyDescent="0.3">
      <c r="A589" s="3">
        <v>2024</v>
      </c>
      <c r="B589" s="3" t="s">
        <v>9749</v>
      </c>
      <c r="C589" s="3" t="s">
        <v>19</v>
      </c>
      <c r="D589" s="3" t="s">
        <v>39</v>
      </c>
      <c r="E589" s="3">
        <v>138</v>
      </c>
      <c r="F589" s="3">
        <v>2125134.5299999998</v>
      </c>
      <c r="G589" s="3">
        <v>1485063.15</v>
      </c>
      <c r="H589" s="3">
        <v>640071.38</v>
      </c>
      <c r="I589" s="3">
        <v>30.12</v>
      </c>
      <c r="J589" s="3">
        <v>15399.53</v>
      </c>
      <c r="K589" s="3">
        <v>30</v>
      </c>
      <c r="L589" s="3">
        <v>21.74</v>
      </c>
      <c r="M589" s="3">
        <v>78</v>
      </c>
    </row>
    <row r="590" spans="1:13" x14ac:dyDescent="0.3">
      <c r="A590" s="2">
        <v>2024</v>
      </c>
      <c r="B590" s="2" t="s">
        <v>9749</v>
      </c>
      <c r="C590" s="2" t="s">
        <v>13</v>
      </c>
      <c r="D590" s="2" t="s">
        <v>22</v>
      </c>
      <c r="E590" s="2">
        <v>88</v>
      </c>
      <c r="F590" s="2">
        <v>1131174.1200000001</v>
      </c>
      <c r="G590" s="2">
        <v>686011.81</v>
      </c>
      <c r="H590" s="2">
        <v>445162.31</v>
      </c>
      <c r="I590" s="2">
        <v>39.35</v>
      </c>
      <c r="J590" s="2">
        <v>12854.25</v>
      </c>
      <c r="K590" s="2">
        <v>24</v>
      </c>
      <c r="L590" s="2">
        <v>27.27</v>
      </c>
      <c r="M590" s="2">
        <v>26</v>
      </c>
    </row>
    <row r="591" spans="1:13" x14ac:dyDescent="0.3">
      <c r="A591" s="3">
        <v>2024</v>
      </c>
      <c r="B591" s="3" t="s">
        <v>9749</v>
      </c>
      <c r="C591" s="3" t="s">
        <v>13</v>
      </c>
      <c r="D591" s="3" t="s">
        <v>29</v>
      </c>
      <c r="E591" s="3">
        <v>38</v>
      </c>
      <c r="F591" s="3">
        <v>4302580.91</v>
      </c>
      <c r="G591" s="3">
        <v>2471116.19</v>
      </c>
      <c r="H591" s="3">
        <v>1831464.72</v>
      </c>
      <c r="I591" s="3">
        <v>42.57</v>
      </c>
      <c r="J591" s="3">
        <v>113225.81</v>
      </c>
      <c r="K591" s="3">
        <v>5</v>
      </c>
      <c r="L591" s="3">
        <v>13.16</v>
      </c>
      <c r="M591" s="3">
        <v>50</v>
      </c>
    </row>
    <row r="592" spans="1:13" x14ac:dyDescent="0.3">
      <c r="A592" s="2">
        <v>2024</v>
      </c>
      <c r="B592" s="2" t="s">
        <v>9749</v>
      </c>
      <c r="C592" s="2" t="s">
        <v>13</v>
      </c>
      <c r="D592" s="2" t="s">
        <v>14</v>
      </c>
      <c r="E592" s="2">
        <v>294</v>
      </c>
      <c r="F592" s="2">
        <v>354117.01</v>
      </c>
      <c r="G592" s="2">
        <v>246712.91</v>
      </c>
      <c r="H592" s="2">
        <v>107404.1</v>
      </c>
      <c r="I592" s="2">
        <v>30.33</v>
      </c>
      <c r="J592" s="2">
        <v>1204.48</v>
      </c>
      <c r="K592" s="2">
        <v>24</v>
      </c>
      <c r="L592" s="2">
        <v>8.16</v>
      </c>
      <c r="M592" s="2">
        <v>84</v>
      </c>
    </row>
    <row r="593" spans="1:13" x14ac:dyDescent="0.3">
      <c r="A593" s="3">
        <v>2024</v>
      </c>
      <c r="B593" s="3" t="s">
        <v>9749</v>
      </c>
      <c r="C593" s="3" t="s">
        <v>13</v>
      </c>
      <c r="D593" s="3" t="s">
        <v>39</v>
      </c>
      <c r="E593" s="3">
        <v>154</v>
      </c>
      <c r="F593" s="3">
        <v>2169460.2799999998</v>
      </c>
      <c r="G593" s="3">
        <v>1414872</v>
      </c>
      <c r="H593" s="3">
        <v>754588.28</v>
      </c>
      <c r="I593" s="3">
        <v>34.78</v>
      </c>
      <c r="J593" s="3">
        <v>14087.4</v>
      </c>
      <c r="K593" s="3">
        <v>30</v>
      </c>
      <c r="L593" s="3">
        <v>19.48</v>
      </c>
      <c r="M593" s="3">
        <v>29</v>
      </c>
    </row>
    <row r="594" spans="1:13" x14ac:dyDescent="0.3">
      <c r="A594" s="2">
        <v>2024</v>
      </c>
      <c r="B594" s="2" t="s">
        <v>9749</v>
      </c>
      <c r="C594" s="2" t="s">
        <v>27</v>
      </c>
      <c r="D594" s="2" t="s">
        <v>22</v>
      </c>
      <c r="E594" s="2">
        <v>35</v>
      </c>
      <c r="F594" s="2">
        <v>3980382.79</v>
      </c>
      <c r="G594" s="2">
        <v>2256634.7000000002</v>
      </c>
      <c r="H594" s="2">
        <v>1723748.09</v>
      </c>
      <c r="I594" s="2">
        <v>43.31</v>
      </c>
      <c r="J594" s="2">
        <v>113725.22</v>
      </c>
      <c r="K594" s="2">
        <v>15</v>
      </c>
      <c r="L594" s="2">
        <v>42.86</v>
      </c>
      <c r="M594" s="2">
        <v>73</v>
      </c>
    </row>
    <row r="595" spans="1:13" x14ac:dyDescent="0.3">
      <c r="A595" s="3">
        <v>2024</v>
      </c>
      <c r="B595" s="3" t="s">
        <v>9749</v>
      </c>
      <c r="C595" s="3" t="s">
        <v>27</v>
      </c>
      <c r="D595" s="3" t="s">
        <v>29</v>
      </c>
      <c r="E595" s="3">
        <v>178</v>
      </c>
      <c r="F595" s="3">
        <v>4184479.26</v>
      </c>
      <c r="G595" s="3">
        <v>2584692.4900000002</v>
      </c>
      <c r="H595" s="3">
        <v>1599786.77</v>
      </c>
      <c r="I595" s="3">
        <v>38.229999999999997</v>
      </c>
      <c r="J595" s="3">
        <v>23508.31</v>
      </c>
      <c r="K595" s="3">
        <v>26</v>
      </c>
      <c r="L595" s="3">
        <v>14.61</v>
      </c>
      <c r="M595" s="3">
        <v>59</v>
      </c>
    </row>
    <row r="596" spans="1:13" x14ac:dyDescent="0.3">
      <c r="A596" s="2">
        <v>2024</v>
      </c>
      <c r="B596" s="2" t="s">
        <v>9749</v>
      </c>
      <c r="C596" s="2" t="s">
        <v>27</v>
      </c>
      <c r="D596" s="2" t="s">
        <v>14</v>
      </c>
      <c r="E596" s="2">
        <v>236</v>
      </c>
      <c r="F596" s="2">
        <v>2548782.87</v>
      </c>
      <c r="G596" s="2">
        <v>1582643.66</v>
      </c>
      <c r="H596" s="2">
        <v>966139.21</v>
      </c>
      <c r="I596" s="2">
        <v>37.909999999999997</v>
      </c>
      <c r="J596" s="2">
        <v>10799.93</v>
      </c>
      <c r="K596" s="2">
        <v>30</v>
      </c>
      <c r="L596" s="2">
        <v>12.71</v>
      </c>
      <c r="M596" s="2">
        <v>54</v>
      </c>
    </row>
    <row r="597" spans="1:13" x14ac:dyDescent="0.3">
      <c r="A597" s="3">
        <v>2024</v>
      </c>
      <c r="B597" s="3" t="s">
        <v>9749</v>
      </c>
      <c r="C597" s="3" t="s">
        <v>27</v>
      </c>
      <c r="D597" s="3" t="s">
        <v>39</v>
      </c>
      <c r="E597" s="3">
        <v>161</v>
      </c>
      <c r="F597" s="3">
        <v>3482764.23</v>
      </c>
      <c r="G597" s="3">
        <v>2299316.7799999998</v>
      </c>
      <c r="H597" s="3">
        <v>1183447.45</v>
      </c>
      <c r="I597" s="3">
        <v>33.979999999999997</v>
      </c>
      <c r="J597" s="3">
        <v>21632.080000000002</v>
      </c>
      <c r="K597" s="3">
        <v>30</v>
      </c>
      <c r="L597" s="3">
        <v>18.63</v>
      </c>
      <c r="M597" s="3">
        <v>59</v>
      </c>
    </row>
    <row r="598" spans="1:13" x14ac:dyDescent="0.3">
      <c r="A598" s="2">
        <v>2024</v>
      </c>
      <c r="B598" s="2" t="s">
        <v>9749</v>
      </c>
      <c r="C598" s="2" t="s">
        <v>28</v>
      </c>
      <c r="D598" s="2" t="s">
        <v>22</v>
      </c>
      <c r="E598" s="2">
        <v>162</v>
      </c>
      <c r="F598" s="2">
        <v>3334964.72</v>
      </c>
      <c r="G598" s="2">
        <v>1956954.01</v>
      </c>
      <c r="H598" s="2">
        <v>1378010.71</v>
      </c>
      <c r="I598" s="2">
        <v>41.32</v>
      </c>
      <c r="J598" s="2">
        <v>20586.2</v>
      </c>
      <c r="K598" s="2">
        <v>18</v>
      </c>
      <c r="L598" s="2">
        <v>11.11</v>
      </c>
      <c r="M598" s="2">
        <v>30</v>
      </c>
    </row>
    <row r="599" spans="1:13" x14ac:dyDescent="0.3">
      <c r="A599" s="3">
        <v>2024</v>
      </c>
      <c r="B599" s="3" t="s">
        <v>9749</v>
      </c>
      <c r="C599" s="3" t="s">
        <v>28</v>
      </c>
      <c r="D599" s="3" t="s">
        <v>29</v>
      </c>
      <c r="E599" s="3">
        <v>206</v>
      </c>
      <c r="F599" s="3">
        <v>845172.47</v>
      </c>
      <c r="G599" s="3">
        <v>464568.53</v>
      </c>
      <c r="H599" s="3">
        <v>380603.94</v>
      </c>
      <c r="I599" s="3">
        <v>45.03</v>
      </c>
      <c r="J599" s="3">
        <v>4102.78</v>
      </c>
      <c r="K599" s="3">
        <v>11</v>
      </c>
      <c r="L599" s="3">
        <v>5.34</v>
      </c>
      <c r="M599" s="3">
        <v>66</v>
      </c>
    </row>
    <row r="600" spans="1:13" x14ac:dyDescent="0.3">
      <c r="A600" s="2">
        <v>2024</v>
      </c>
      <c r="B600" s="2" t="s">
        <v>9749</v>
      </c>
      <c r="C600" s="2" t="s">
        <v>28</v>
      </c>
      <c r="D600" s="2" t="s">
        <v>14</v>
      </c>
      <c r="E600" s="2">
        <v>71</v>
      </c>
      <c r="F600" s="2">
        <v>4378570.79</v>
      </c>
      <c r="G600" s="2">
        <v>2296284.27</v>
      </c>
      <c r="H600" s="2">
        <v>2082286.52</v>
      </c>
      <c r="I600" s="2">
        <v>47.56</v>
      </c>
      <c r="J600" s="2">
        <v>61670.01</v>
      </c>
      <c r="K600" s="2">
        <v>4</v>
      </c>
      <c r="L600" s="2">
        <v>5.63</v>
      </c>
      <c r="M600" s="2">
        <v>25</v>
      </c>
    </row>
    <row r="601" spans="1:13" x14ac:dyDescent="0.3">
      <c r="A601" s="3">
        <v>2024</v>
      </c>
      <c r="B601" s="3" t="s">
        <v>9749</v>
      </c>
      <c r="C601" s="3" t="s">
        <v>28</v>
      </c>
      <c r="D601" s="3" t="s">
        <v>39</v>
      </c>
      <c r="E601" s="3">
        <v>268</v>
      </c>
      <c r="F601" s="3">
        <v>4409272.67</v>
      </c>
      <c r="G601" s="3">
        <v>2308378.89</v>
      </c>
      <c r="H601" s="3">
        <v>2100893.7799999998</v>
      </c>
      <c r="I601" s="3">
        <v>47.65</v>
      </c>
      <c r="J601" s="3">
        <v>16452.509999999998</v>
      </c>
      <c r="K601" s="3">
        <v>3</v>
      </c>
      <c r="L601" s="3">
        <v>1.1200000000000001</v>
      </c>
      <c r="M601" s="3">
        <v>78</v>
      </c>
    </row>
    <row r="602" spans="1:13" x14ac:dyDescent="0.3">
      <c r="A602" s="2">
        <v>2024</v>
      </c>
      <c r="B602" s="2" t="s">
        <v>9750</v>
      </c>
      <c r="C602" s="2" t="s">
        <v>21</v>
      </c>
      <c r="D602" s="2" t="s">
        <v>22</v>
      </c>
      <c r="E602" s="2">
        <v>90</v>
      </c>
      <c r="F602" s="2">
        <v>3249110.28</v>
      </c>
      <c r="G602" s="2">
        <v>1770920.77</v>
      </c>
      <c r="H602" s="2">
        <v>1478189.51</v>
      </c>
      <c r="I602" s="2">
        <v>45.5</v>
      </c>
      <c r="J602" s="2">
        <v>36101.230000000003</v>
      </c>
      <c r="K602" s="2">
        <v>10</v>
      </c>
      <c r="L602" s="2">
        <v>11.11</v>
      </c>
      <c r="M602" s="2">
        <v>61</v>
      </c>
    </row>
    <row r="603" spans="1:13" x14ac:dyDescent="0.3">
      <c r="A603" s="3">
        <v>2024</v>
      </c>
      <c r="B603" s="3" t="s">
        <v>9750</v>
      </c>
      <c r="C603" s="3" t="s">
        <v>21</v>
      </c>
      <c r="D603" s="3" t="s">
        <v>29</v>
      </c>
      <c r="E603" s="3">
        <v>141</v>
      </c>
      <c r="F603" s="3">
        <v>2452273.84</v>
      </c>
      <c r="G603" s="3">
        <v>1576916.07</v>
      </c>
      <c r="H603" s="3">
        <v>875357.77</v>
      </c>
      <c r="I603" s="3">
        <v>35.700000000000003</v>
      </c>
      <c r="J603" s="3">
        <v>17392.009999999998</v>
      </c>
      <c r="K603" s="3">
        <v>25</v>
      </c>
      <c r="L603" s="3">
        <v>17.73</v>
      </c>
      <c r="M603" s="3">
        <v>31</v>
      </c>
    </row>
    <row r="604" spans="1:13" x14ac:dyDescent="0.3">
      <c r="A604" s="2">
        <v>2024</v>
      </c>
      <c r="B604" s="2" t="s">
        <v>9750</v>
      </c>
      <c r="C604" s="2" t="s">
        <v>21</v>
      </c>
      <c r="D604" s="2" t="s">
        <v>14</v>
      </c>
      <c r="E604" s="2">
        <v>138</v>
      </c>
      <c r="F604" s="2">
        <v>4522308.51</v>
      </c>
      <c r="G604" s="2">
        <v>2596769.92</v>
      </c>
      <c r="H604" s="2">
        <v>1925538.59</v>
      </c>
      <c r="I604" s="2">
        <v>42.58</v>
      </c>
      <c r="J604" s="2">
        <v>32770.35</v>
      </c>
      <c r="K604" s="2">
        <v>21</v>
      </c>
      <c r="L604" s="2">
        <v>15.22</v>
      </c>
      <c r="M604" s="2">
        <v>9</v>
      </c>
    </row>
    <row r="605" spans="1:13" x14ac:dyDescent="0.3">
      <c r="A605" s="3">
        <v>2024</v>
      </c>
      <c r="B605" s="3" t="s">
        <v>9750</v>
      </c>
      <c r="C605" s="3" t="s">
        <v>21</v>
      </c>
      <c r="D605" s="3" t="s">
        <v>39</v>
      </c>
      <c r="E605" s="3">
        <v>57</v>
      </c>
      <c r="F605" s="3">
        <v>4162960.89</v>
      </c>
      <c r="G605" s="3">
        <v>2588509.41</v>
      </c>
      <c r="H605" s="3">
        <v>1574451.48</v>
      </c>
      <c r="I605" s="3">
        <v>37.82</v>
      </c>
      <c r="J605" s="3">
        <v>73034.399999999994</v>
      </c>
      <c r="K605" s="3">
        <v>5</v>
      </c>
      <c r="L605" s="3">
        <v>8.77</v>
      </c>
      <c r="M605" s="3">
        <v>65</v>
      </c>
    </row>
    <row r="606" spans="1:13" x14ac:dyDescent="0.3">
      <c r="A606" s="2">
        <v>2024</v>
      </c>
      <c r="B606" s="2" t="s">
        <v>9750</v>
      </c>
      <c r="C606" s="2" t="s">
        <v>19</v>
      </c>
      <c r="D606" s="2" t="s">
        <v>22</v>
      </c>
      <c r="E606" s="2">
        <v>68</v>
      </c>
      <c r="F606" s="2">
        <v>4627209.66</v>
      </c>
      <c r="G606" s="2">
        <v>2710509.86</v>
      </c>
      <c r="H606" s="2">
        <v>1916699.8</v>
      </c>
      <c r="I606" s="2">
        <v>41.42</v>
      </c>
      <c r="J606" s="2">
        <v>68047.199999999997</v>
      </c>
      <c r="K606" s="2">
        <v>23</v>
      </c>
      <c r="L606" s="2">
        <v>33.82</v>
      </c>
      <c r="M606" s="2">
        <v>65</v>
      </c>
    </row>
    <row r="607" spans="1:13" x14ac:dyDescent="0.3">
      <c r="A607" s="3">
        <v>2024</v>
      </c>
      <c r="B607" s="3" t="s">
        <v>9750</v>
      </c>
      <c r="C607" s="3" t="s">
        <v>19</v>
      </c>
      <c r="D607" s="3" t="s">
        <v>29</v>
      </c>
      <c r="E607" s="3">
        <v>26</v>
      </c>
      <c r="F607" s="3">
        <v>1163124.26</v>
      </c>
      <c r="G607" s="3">
        <v>584448.04</v>
      </c>
      <c r="H607" s="3">
        <v>578676.22</v>
      </c>
      <c r="I607" s="3">
        <v>49.75</v>
      </c>
      <c r="J607" s="3">
        <v>44735.55</v>
      </c>
      <c r="K607" s="3">
        <v>25</v>
      </c>
      <c r="L607" s="3">
        <v>96.15</v>
      </c>
      <c r="M607" s="3">
        <v>30</v>
      </c>
    </row>
    <row r="608" spans="1:13" x14ac:dyDescent="0.3">
      <c r="A608" s="2">
        <v>2024</v>
      </c>
      <c r="B608" s="2" t="s">
        <v>9750</v>
      </c>
      <c r="C608" s="2" t="s">
        <v>19</v>
      </c>
      <c r="D608" s="2" t="s">
        <v>14</v>
      </c>
      <c r="E608" s="2">
        <v>273</v>
      </c>
      <c r="F608" s="2">
        <v>633240.65</v>
      </c>
      <c r="G608" s="2">
        <v>383632.82</v>
      </c>
      <c r="H608" s="2">
        <v>249607.83</v>
      </c>
      <c r="I608" s="2">
        <v>39.42</v>
      </c>
      <c r="J608" s="2">
        <v>2319.56</v>
      </c>
      <c r="K608" s="2">
        <v>30</v>
      </c>
      <c r="L608" s="2">
        <v>10.99</v>
      </c>
      <c r="M608" s="2">
        <v>80</v>
      </c>
    </row>
    <row r="609" spans="1:13" x14ac:dyDescent="0.3">
      <c r="A609" s="3">
        <v>2024</v>
      </c>
      <c r="B609" s="3" t="s">
        <v>9750</v>
      </c>
      <c r="C609" s="3" t="s">
        <v>19</v>
      </c>
      <c r="D609" s="3" t="s">
        <v>39</v>
      </c>
      <c r="E609" s="3">
        <v>290</v>
      </c>
      <c r="F609" s="3">
        <v>779867.73</v>
      </c>
      <c r="G609" s="3">
        <v>526340.29</v>
      </c>
      <c r="H609" s="3">
        <v>253527.44</v>
      </c>
      <c r="I609" s="3">
        <v>32.51</v>
      </c>
      <c r="J609" s="3">
        <v>2689.2</v>
      </c>
      <c r="K609" s="3">
        <v>30</v>
      </c>
      <c r="L609" s="3">
        <v>10.34</v>
      </c>
      <c r="M609" s="3">
        <v>36</v>
      </c>
    </row>
    <row r="610" spans="1:13" x14ac:dyDescent="0.3">
      <c r="A610" s="2">
        <v>2024</v>
      </c>
      <c r="B610" s="2" t="s">
        <v>9750</v>
      </c>
      <c r="C610" s="2" t="s">
        <v>13</v>
      </c>
      <c r="D610" s="2" t="s">
        <v>22</v>
      </c>
      <c r="E610" s="2">
        <v>119</v>
      </c>
      <c r="F610" s="2">
        <v>4704484.37</v>
      </c>
      <c r="G610" s="2">
        <v>3188046.3</v>
      </c>
      <c r="H610" s="2">
        <v>1516438.07</v>
      </c>
      <c r="I610" s="2">
        <v>32.229999999999997</v>
      </c>
      <c r="J610" s="2">
        <v>39533.480000000003</v>
      </c>
      <c r="K610" s="2">
        <v>28</v>
      </c>
      <c r="L610" s="2">
        <v>23.53</v>
      </c>
      <c r="M610" s="2">
        <v>68</v>
      </c>
    </row>
    <row r="611" spans="1:13" x14ac:dyDescent="0.3">
      <c r="A611" s="3">
        <v>2024</v>
      </c>
      <c r="B611" s="3" t="s">
        <v>9750</v>
      </c>
      <c r="C611" s="3" t="s">
        <v>13</v>
      </c>
      <c r="D611" s="3" t="s">
        <v>29</v>
      </c>
      <c r="E611" s="3">
        <v>191</v>
      </c>
      <c r="F611" s="3">
        <v>1136444.8500000001</v>
      </c>
      <c r="G611" s="3">
        <v>603531.31999999995</v>
      </c>
      <c r="H611" s="3">
        <v>532913.53</v>
      </c>
      <c r="I611" s="3">
        <v>46.89</v>
      </c>
      <c r="J611" s="3">
        <v>5949.97</v>
      </c>
      <c r="K611" s="3">
        <v>8</v>
      </c>
      <c r="L611" s="3">
        <v>4.1900000000000004</v>
      </c>
      <c r="M611" s="3">
        <v>62</v>
      </c>
    </row>
    <row r="612" spans="1:13" x14ac:dyDescent="0.3">
      <c r="A612" s="2">
        <v>2024</v>
      </c>
      <c r="B612" s="2" t="s">
        <v>9750</v>
      </c>
      <c r="C612" s="2" t="s">
        <v>13</v>
      </c>
      <c r="D612" s="2" t="s">
        <v>14</v>
      </c>
      <c r="E612" s="2">
        <v>149</v>
      </c>
      <c r="F612" s="2">
        <v>1265674.1299999999</v>
      </c>
      <c r="G612" s="2">
        <v>653733.32999999996</v>
      </c>
      <c r="H612" s="2">
        <v>611940.80000000005</v>
      </c>
      <c r="I612" s="2">
        <v>48.35</v>
      </c>
      <c r="J612" s="2">
        <v>8494.4599999999991</v>
      </c>
      <c r="K612" s="2">
        <v>23</v>
      </c>
      <c r="L612" s="2">
        <v>15.44</v>
      </c>
      <c r="M612" s="2">
        <v>85</v>
      </c>
    </row>
    <row r="613" spans="1:13" x14ac:dyDescent="0.3">
      <c r="A613" s="3">
        <v>2024</v>
      </c>
      <c r="B613" s="3" t="s">
        <v>9750</v>
      </c>
      <c r="C613" s="3" t="s">
        <v>13</v>
      </c>
      <c r="D613" s="3" t="s">
        <v>39</v>
      </c>
      <c r="E613" s="3">
        <v>92</v>
      </c>
      <c r="F613" s="3">
        <v>448782.67</v>
      </c>
      <c r="G613" s="3">
        <v>263354.34000000003</v>
      </c>
      <c r="H613" s="3">
        <v>185428.33</v>
      </c>
      <c r="I613" s="3">
        <v>41.32</v>
      </c>
      <c r="J613" s="3">
        <v>4878.07</v>
      </c>
      <c r="K613" s="3">
        <v>21</v>
      </c>
      <c r="L613" s="3">
        <v>22.83</v>
      </c>
      <c r="M613" s="3">
        <v>37</v>
      </c>
    </row>
    <row r="614" spans="1:13" x14ac:dyDescent="0.3">
      <c r="A614" s="2">
        <v>2024</v>
      </c>
      <c r="B614" s="2" t="s">
        <v>9750</v>
      </c>
      <c r="C614" s="2" t="s">
        <v>27</v>
      </c>
      <c r="D614" s="2" t="s">
        <v>22</v>
      </c>
      <c r="E614" s="2">
        <v>166</v>
      </c>
      <c r="F614" s="2">
        <v>4210294.1399999997</v>
      </c>
      <c r="G614" s="2">
        <v>2725388.21</v>
      </c>
      <c r="H614" s="2">
        <v>1484905.93</v>
      </c>
      <c r="I614" s="2">
        <v>35.270000000000003</v>
      </c>
      <c r="J614" s="2">
        <v>25363.22</v>
      </c>
      <c r="K614" s="2">
        <v>20</v>
      </c>
      <c r="L614" s="2">
        <v>12.05</v>
      </c>
      <c r="M614" s="2">
        <v>64</v>
      </c>
    </row>
    <row r="615" spans="1:13" x14ac:dyDescent="0.3">
      <c r="A615" s="3">
        <v>2024</v>
      </c>
      <c r="B615" s="3" t="s">
        <v>9750</v>
      </c>
      <c r="C615" s="3" t="s">
        <v>27</v>
      </c>
      <c r="D615" s="3" t="s">
        <v>29</v>
      </c>
      <c r="E615" s="3">
        <v>151</v>
      </c>
      <c r="F615" s="3">
        <v>975013.36</v>
      </c>
      <c r="G615" s="3">
        <v>502219.18</v>
      </c>
      <c r="H615" s="3">
        <v>472794.18</v>
      </c>
      <c r="I615" s="3">
        <v>48.49</v>
      </c>
      <c r="J615" s="3">
        <v>6457.04</v>
      </c>
      <c r="K615" s="3">
        <v>16</v>
      </c>
      <c r="L615" s="3">
        <v>10.6</v>
      </c>
      <c r="M615" s="3">
        <v>68</v>
      </c>
    </row>
    <row r="616" spans="1:13" x14ac:dyDescent="0.3">
      <c r="A616" s="2">
        <v>2024</v>
      </c>
      <c r="B616" s="2" t="s">
        <v>9750</v>
      </c>
      <c r="C616" s="2" t="s">
        <v>27</v>
      </c>
      <c r="D616" s="2" t="s">
        <v>14</v>
      </c>
      <c r="E616" s="2">
        <v>285</v>
      </c>
      <c r="F616" s="2">
        <v>3642157.69</v>
      </c>
      <c r="G616" s="2">
        <v>1841038.32</v>
      </c>
      <c r="H616" s="2">
        <v>1801119.37</v>
      </c>
      <c r="I616" s="2">
        <v>49.45</v>
      </c>
      <c r="J616" s="2">
        <v>12779.5</v>
      </c>
      <c r="K616" s="2">
        <v>11</v>
      </c>
      <c r="L616" s="2">
        <v>3.86</v>
      </c>
      <c r="M616" s="2">
        <v>65</v>
      </c>
    </row>
    <row r="617" spans="1:13" x14ac:dyDescent="0.3">
      <c r="A617" s="3">
        <v>2024</v>
      </c>
      <c r="B617" s="3" t="s">
        <v>9750</v>
      </c>
      <c r="C617" s="3" t="s">
        <v>27</v>
      </c>
      <c r="D617" s="3" t="s">
        <v>39</v>
      </c>
      <c r="E617" s="3">
        <v>202</v>
      </c>
      <c r="F617" s="3">
        <v>898178.23</v>
      </c>
      <c r="G617" s="3">
        <v>509303.63</v>
      </c>
      <c r="H617" s="3">
        <v>388874.6</v>
      </c>
      <c r="I617" s="3">
        <v>43.3</v>
      </c>
      <c r="J617" s="3">
        <v>4446.43</v>
      </c>
      <c r="K617" s="3">
        <v>11</v>
      </c>
      <c r="L617" s="3">
        <v>5.45</v>
      </c>
      <c r="M617" s="3">
        <v>92</v>
      </c>
    </row>
    <row r="618" spans="1:13" x14ac:dyDescent="0.3">
      <c r="A618" s="2">
        <v>2024</v>
      </c>
      <c r="B618" s="2" t="s">
        <v>9750</v>
      </c>
      <c r="C618" s="2" t="s">
        <v>28</v>
      </c>
      <c r="D618" s="2" t="s">
        <v>22</v>
      </c>
      <c r="E618" s="2">
        <v>282</v>
      </c>
      <c r="F618" s="2">
        <v>997357.69</v>
      </c>
      <c r="G618" s="2">
        <v>685224.53</v>
      </c>
      <c r="H618" s="2">
        <v>312133.15999999997</v>
      </c>
      <c r="I618" s="2">
        <v>31.3</v>
      </c>
      <c r="J618" s="2">
        <v>3536.73</v>
      </c>
      <c r="K618" s="2">
        <v>19</v>
      </c>
      <c r="L618" s="2">
        <v>6.74</v>
      </c>
      <c r="M618" s="2">
        <v>92</v>
      </c>
    </row>
    <row r="619" spans="1:13" x14ac:dyDescent="0.3">
      <c r="A619" s="3">
        <v>2024</v>
      </c>
      <c r="B619" s="3" t="s">
        <v>9750</v>
      </c>
      <c r="C619" s="3" t="s">
        <v>28</v>
      </c>
      <c r="D619" s="3" t="s">
        <v>29</v>
      </c>
      <c r="E619" s="3">
        <v>88</v>
      </c>
      <c r="F619" s="3">
        <v>2798734.53</v>
      </c>
      <c r="G619" s="3">
        <v>1738118.63</v>
      </c>
      <c r="H619" s="3">
        <v>1060615.8999999999</v>
      </c>
      <c r="I619" s="3">
        <v>37.9</v>
      </c>
      <c r="J619" s="3">
        <v>31803.8</v>
      </c>
      <c r="K619" s="3">
        <v>12</v>
      </c>
      <c r="L619" s="3">
        <v>13.64</v>
      </c>
      <c r="M619" s="3">
        <v>56</v>
      </c>
    </row>
    <row r="620" spans="1:13" x14ac:dyDescent="0.3">
      <c r="A620" s="2">
        <v>2024</v>
      </c>
      <c r="B620" s="2" t="s">
        <v>9750</v>
      </c>
      <c r="C620" s="2" t="s">
        <v>28</v>
      </c>
      <c r="D620" s="2" t="s">
        <v>14</v>
      </c>
      <c r="E620" s="2">
        <v>59</v>
      </c>
      <c r="F620" s="2">
        <v>90145.13</v>
      </c>
      <c r="G620" s="2">
        <v>52879.86</v>
      </c>
      <c r="H620" s="2">
        <v>37265.269999999997</v>
      </c>
      <c r="I620" s="2">
        <v>41.34</v>
      </c>
      <c r="J620" s="2">
        <v>1527.88</v>
      </c>
      <c r="K620" s="2">
        <v>7</v>
      </c>
      <c r="L620" s="2">
        <v>11.86</v>
      </c>
      <c r="M620" s="2">
        <v>6</v>
      </c>
    </row>
    <row r="621" spans="1:13" x14ac:dyDescent="0.3">
      <c r="A621" s="3">
        <v>2024</v>
      </c>
      <c r="B621" s="3" t="s">
        <v>9750</v>
      </c>
      <c r="C621" s="3" t="s">
        <v>28</v>
      </c>
      <c r="D621" s="3" t="s">
        <v>39</v>
      </c>
      <c r="E621" s="3">
        <v>28</v>
      </c>
      <c r="F621" s="3">
        <v>4612424.46</v>
      </c>
      <c r="G621" s="3">
        <v>3048166.4</v>
      </c>
      <c r="H621" s="3">
        <v>1564258.06</v>
      </c>
      <c r="I621" s="3">
        <v>33.909999999999997</v>
      </c>
      <c r="J621" s="3">
        <v>164729.45000000001</v>
      </c>
      <c r="K621" s="3">
        <v>21</v>
      </c>
      <c r="L621" s="3">
        <v>75</v>
      </c>
      <c r="M621" s="3">
        <v>26</v>
      </c>
    </row>
    <row r="622" spans="1:13" x14ac:dyDescent="0.3">
      <c r="A622" s="2">
        <v>2024</v>
      </c>
      <c r="B622" s="2" t="s">
        <v>9751</v>
      </c>
      <c r="C622" s="2" t="s">
        <v>21</v>
      </c>
      <c r="D622" s="2" t="s">
        <v>22</v>
      </c>
      <c r="E622" s="2">
        <v>69</v>
      </c>
      <c r="F622" s="2">
        <v>2816644.31</v>
      </c>
      <c r="G622" s="2">
        <v>1504424.02</v>
      </c>
      <c r="H622" s="2">
        <v>1312220.29</v>
      </c>
      <c r="I622" s="2">
        <v>46.59</v>
      </c>
      <c r="J622" s="2">
        <v>40820.93</v>
      </c>
      <c r="K622" s="2">
        <v>12</v>
      </c>
      <c r="L622" s="2">
        <v>17.39</v>
      </c>
      <c r="M622" s="2">
        <v>93</v>
      </c>
    </row>
    <row r="623" spans="1:13" x14ac:dyDescent="0.3">
      <c r="A623" s="3">
        <v>2024</v>
      </c>
      <c r="B623" s="3" t="s">
        <v>9751</v>
      </c>
      <c r="C623" s="3" t="s">
        <v>21</v>
      </c>
      <c r="D623" s="3" t="s">
        <v>29</v>
      </c>
      <c r="E623" s="3">
        <v>196</v>
      </c>
      <c r="F623" s="3">
        <v>1272666.3700000001</v>
      </c>
      <c r="G623" s="3">
        <v>847084.67</v>
      </c>
      <c r="H623" s="3">
        <v>425581.7</v>
      </c>
      <c r="I623" s="3">
        <v>33.44</v>
      </c>
      <c r="J623" s="3">
        <v>6493.2</v>
      </c>
      <c r="K623" s="3">
        <v>27</v>
      </c>
      <c r="L623" s="3">
        <v>13.78</v>
      </c>
      <c r="M623" s="3">
        <v>34</v>
      </c>
    </row>
    <row r="624" spans="1:13" x14ac:dyDescent="0.3">
      <c r="A624" s="2">
        <v>2024</v>
      </c>
      <c r="B624" s="2" t="s">
        <v>9751</v>
      </c>
      <c r="C624" s="2" t="s">
        <v>21</v>
      </c>
      <c r="D624" s="2" t="s">
        <v>14</v>
      </c>
      <c r="E624" s="2">
        <v>297</v>
      </c>
      <c r="F624" s="2">
        <v>848265.45</v>
      </c>
      <c r="G624" s="2">
        <v>579793.19999999995</v>
      </c>
      <c r="H624" s="2">
        <v>268472.25</v>
      </c>
      <c r="I624" s="2">
        <v>31.65</v>
      </c>
      <c r="J624" s="2">
        <v>2856.11</v>
      </c>
      <c r="K624" s="2">
        <v>3</v>
      </c>
      <c r="L624" s="2">
        <v>1.01</v>
      </c>
      <c r="M624" s="2">
        <v>8</v>
      </c>
    </row>
    <row r="625" spans="1:13" x14ac:dyDescent="0.3">
      <c r="A625" s="3">
        <v>2024</v>
      </c>
      <c r="B625" s="3" t="s">
        <v>9751</v>
      </c>
      <c r="C625" s="3" t="s">
        <v>21</v>
      </c>
      <c r="D625" s="3" t="s">
        <v>39</v>
      </c>
      <c r="E625" s="3">
        <v>298</v>
      </c>
      <c r="F625" s="3">
        <v>4734140.78</v>
      </c>
      <c r="G625" s="3">
        <v>2899547.78</v>
      </c>
      <c r="H625" s="3">
        <v>1834593</v>
      </c>
      <c r="I625" s="3">
        <v>38.75</v>
      </c>
      <c r="J625" s="3">
        <v>15886.38</v>
      </c>
      <c r="K625" s="3">
        <v>24</v>
      </c>
      <c r="L625" s="3">
        <v>8.0500000000000007</v>
      </c>
      <c r="M625" s="3">
        <v>41</v>
      </c>
    </row>
    <row r="626" spans="1:13" x14ac:dyDescent="0.3">
      <c r="A626" s="2">
        <v>2024</v>
      </c>
      <c r="B626" s="2" t="s">
        <v>9751</v>
      </c>
      <c r="C626" s="2" t="s">
        <v>19</v>
      </c>
      <c r="D626" s="2" t="s">
        <v>22</v>
      </c>
      <c r="E626" s="2">
        <v>89</v>
      </c>
      <c r="F626" s="2">
        <v>3106717.49</v>
      </c>
      <c r="G626" s="2">
        <v>1722734.54</v>
      </c>
      <c r="H626" s="2">
        <v>1383982.95</v>
      </c>
      <c r="I626" s="2">
        <v>44.55</v>
      </c>
      <c r="J626" s="2">
        <v>34906.94</v>
      </c>
      <c r="K626" s="2">
        <v>25</v>
      </c>
      <c r="L626" s="2">
        <v>28.09</v>
      </c>
      <c r="M626" s="2">
        <v>34</v>
      </c>
    </row>
    <row r="627" spans="1:13" x14ac:dyDescent="0.3">
      <c r="A627" s="3">
        <v>2024</v>
      </c>
      <c r="B627" s="3" t="s">
        <v>9751</v>
      </c>
      <c r="C627" s="3" t="s">
        <v>19</v>
      </c>
      <c r="D627" s="3" t="s">
        <v>29</v>
      </c>
      <c r="E627" s="3">
        <v>109</v>
      </c>
      <c r="F627" s="3">
        <v>441502.46</v>
      </c>
      <c r="G627" s="3">
        <v>244069.76000000001</v>
      </c>
      <c r="H627" s="3">
        <v>197432.7</v>
      </c>
      <c r="I627" s="3">
        <v>44.72</v>
      </c>
      <c r="J627" s="3">
        <v>4050.48</v>
      </c>
      <c r="K627" s="3">
        <v>9</v>
      </c>
      <c r="L627" s="3">
        <v>8.26</v>
      </c>
      <c r="M627" s="3">
        <v>79</v>
      </c>
    </row>
    <row r="628" spans="1:13" x14ac:dyDescent="0.3">
      <c r="A628" s="2">
        <v>2024</v>
      </c>
      <c r="B628" s="2" t="s">
        <v>9751</v>
      </c>
      <c r="C628" s="2" t="s">
        <v>19</v>
      </c>
      <c r="D628" s="2" t="s">
        <v>14</v>
      </c>
      <c r="E628" s="2">
        <v>136</v>
      </c>
      <c r="F628" s="2">
        <v>4893013.75</v>
      </c>
      <c r="G628" s="2">
        <v>2766749.94</v>
      </c>
      <c r="H628" s="2">
        <v>2126263.81</v>
      </c>
      <c r="I628" s="2">
        <v>43.46</v>
      </c>
      <c r="J628" s="2">
        <v>35978.04</v>
      </c>
      <c r="K628" s="2">
        <v>18</v>
      </c>
      <c r="L628" s="2">
        <v>13.24</v>
      </c>
      <c r="M628" s="2">
        <v>44</v>
      </c>
    </row>
    <row r="629" spans="1:13" x14ac:dyDescent="0.3">
      <c r="A629" s="3">
        <v>2024</v>
      </c>
      <c r="B629" s="3" t="s">
        <v>9751</v>
      </c>
      <c r="C629" s="3" t="s">
        <v>19</v>
      </c>
      <c r="D629" s="3" t="s">
        <v>39</v>
      </c>
      <c r="E629" s="3">
        <v>79</v>
      </c>
      <c r="F629" s="3">
        <v>71219.740000000005</v>
      </c>
      <c r="G629" s="3">
        <v>42670.82</v>
      </c>
      <c r="H629" s="3">
        <v>28548.92</v>
      </c>
      <c r="I629" s="3">
        <v>40.090000000000003</v>
      </c>
      <c r="J629" s="3">
        <v>901.52</v>
      </c>
      <c r="K629" s="3">
        <v>11</v>
      </c>
      <c r="L629" s="3">
        <v>13.92</v>
      </c>
      <c r="M629" s="3">
        <v>71</v>
      </c>
    </row>
    <row r="630" spans="1:13" x14ac:dyDescent="0.3">
      <c r="A630" s="2">
        <v>2024</v>
      </c>
      <c r="B630" s="2" t="s">
        <v>9751</v>
      </c>
      <c r="C630" s="2" t="s">
        <v>13</v>
      </c>
      <c r="D630" s="2" t="s">
        <v>22</v>
      </c>
      <c r="E630" s="2">
        <v>260</v>
      </c>
      <c r="F630" s="2">
        <v>3660848.8</v>
      </c>
      <c r="G630" s="2">
        <v>2394678.77</v>
      </c>
      <c r="H630" s="2">
        <v>1266170.03</v>
      </c>
      <c r="I630" s="2">
        <v>34.590000000000003</v>
      </c>
      <c r="J630" s="2">
        <v>14080.19</v>
      </c>
      <c r="K630" s="2">
        <v>21</v>
      </c>
      <c r="L630" s="2">
        <v>8.08</v>
      </c>
      <c r="M630" s="2">
        <v>99</v>
      </c>
    </row>
    <row r="631" spans="1:13" x14ac:dyDescent="0.3">
      <c r="A631" s="3">
        <v>2024</v>
      </c>
      <c r="B631" s="3" t="s">
        <v>9751</v>
      </c>
      <c r="C631" s="3" t="s">
        <v>13</v>
      </c>
      <c r="D631" s="3" t="s">
        <v>29</v>
      </c>
      <c r="E631" s="3">
        <v>242</v>
      </c>
      <c r="F631" s="3">
        <v>3296325.94</v>
      </c>
      <c r="G631" s="3">
        <v>1994984.61</v>
      </c>
      <c r="H631" s="3">
        <v>1301341.33</v>
      </c>
      <c r="I631" s="3">
        <v>39.479999999999997</v>
      </c>
      <c r="J631" s="3">
        <v>13621.18</v>
      </c>
      <c r="K631" s="3">
        <v>15</v>
      </c>
      <c r="L631" s="3">
        <v>6.2</v>
      </c>
      <c r="M631" s="3">
        <v>78</v>
      </c>
    </row>
    <row r="632" spans="1:13" x14ac:dyDescent="0.3">
      <c r="A632" s="2">
        <v>2024</v>
      </c>
      <c r="B632" s="2" t="s">
        <v>9751</v>
      </c>
      <c r="C632" s="2" t="s">
        <v>13</v>
      </c>
      <c r="D632" s="2" t="s">
        <v>14</v>
      </c>
      <c r="E632" s="2">
        <v>222</v>
      </c>
      <c r="F632" s="2">
        <v>4053055.28</v>
      </c>
      <c r="G632" s="2">
        <v>2480597.67</v>
      </c>
      <c r="H632" s="2">
        <v>1572457.61</v>
      </c>
      <c r="I632" s="2">
        <v>38.799999999999997</v>
      </c>
      <c r="J632" s="2">
        <v>18257.009999999998</v>
      </c>
      <c r="K632" s="2">
        <v>28</v>
      </c>
      <c r="L632" s="2">
        <v>12.61</v>
      </c>
      <c r="M632" s="2">
        <v>12</v>
      </c>
    </row>
    <row r="633" spans="1:13" x14ac:dyDescent="0.3">
      <c r="A633" s="3">
        <v>2024</v>
      </c>
      <c r="B633" s="3" t="s">
        <v>9751</v>
      </c>
      <c r="C633" s="3" t="s">
        <v>13</v>
      </c>
      <c r="D633" s="3" t="s">
        <v>39</v>
      </c>
      <c r="E633" s="3">
        <v>124</v>
      </c>
      <c r="F633" s="3">
        <v>1865271.78</v>
      </c>
      <c r="G633" s="3">
        <v>1193891.5900000001</v>
      </c>
      <c r="H633" s="3">
        <v>671380.19</v>
      </c>
      <c r="I633" s="3">
        <v>35.99</v>
      </c>
      <c r="J633" s="3">
        <v>15042.51</v>
      </c>
      <c r="K633" s="3">
        <v>14</v>
      </c>
      <c r="L633" s="3">
        <v>11.29</v>
      </c>
      <c r="M633" s="3">
        <v>59</v>
      </c>
    </row>
    <row r="634" spans="1:13" x14ac:dyDescent="0.3">
      <c r="A634" s="2">
        <v>2024</v>
      </c>
      <c r="B634" s="2" t="s">
        <v>9751</v>
      </c>
      <c r="C634" s="2" t="s">
        <v>27</v>
      </c>
      <c r="D634" s="2" t="s">
        <v>22</v>
      </c>
      <c r="E634" s="2">
        <v>84</v>
      </c>
      <c r="F634" s="2">
        <v>3029823.47</v>
      </c>
      <c r="G634" s="2">
        <v>1565426.74</v>
      </c>
      <c r="H634" s="2">
        <v>1464396.73</v>
      </c>
      <c r="I634" s="2">
        <v>48.33</v>
      </c>
      <c r="J634" s="2">
        <v>36069.33</v>
      </c>
      <c r="K634" s="2">
        <v>29</v>
      </c>
      <c r="L634" s="2">
        <v>34.520000000000003</v>
      </c>
      <c r="M634" s="2">
        <v>86</v>
      </c>
    </row>
    <row r="635" spans="1:13" x14ac:dyDescent="0.3">
      <c r="A635" s="3">
        <v>2024</v>
      </c>
      <c r="B635" s="3" t="s">
        <v>9751</v>
      </c>
      <c r="C635" s="3" t="s">
        <v>27</v>
      </c>
      <c r="D635" s="3" t="s">
        <v>29</v>
      </c>
      <c r="E635" s="3">
        <v>260</v>
      </c>
      <c r="F635" s="3">
        <v>227451.74</v>
      </c>
      <c r="G635" s="3">
        <v>134059.9</v>
      </c>
      <c r="H635" s="3">
        <v>93391.84</v>
      </c>
      <c r="I635" s="3">
        <v>41.06</v>
      </c>
      <c r="J635" s="3">
        <v>874.81</v>
      </c>
      <c r="K635" s="3">
        <v>4</v>
      </c>
      <c r="L635" s="3">
        <v>1.54</v>
      </c>
      <c r="M635" s="3">
        <v>35</v>
      </c>
    </row>
    <row r="636" spans="1:13" x14ac:dyDescent="0.3">
      <c r="A636" s="2">
        <v>2024</v>
      </c>
      <c r="B636" s="2" t="s">
        <v>9751</v>
      </c>
      <c r="C636" s="2" t="s">
        <v>27</v>
      </c>
      <c r="D636" s="2" t="s">
        <v>14</v>
      </c>
      <c r="E636" s="2">
        <v>37</v>
      </c>
      <c r="F636" s="2">
        <v>3359742.12</v>
      </c>
      <c r="G636" s="2">
        <v>2097409.02</v>
      </c>
      <c r="H636" s="2">
        <v>1262333.1000000001</v>
      </c>
      <c r="I636" s="2">
        <v>37.57</v>
      </c>
      <c r="J636" s="2">
        <v>90803.839999999997</v>
      </c>
      <c r="K636" s="2">
        <v>27</v>
      </c>
      <c r="L636" s="2">
        <v>72.97</v>
      </c>
      <c r="M636" s="2">
        <v>59</v>
      </c>
    </row>
    <row r="637" spans="1:13" x14ac:dyDescent="0.3">
      <c r="A637" s="3">
        <v>2024</v>
      </c>
      <c r="B637" s="3" t="s">
        <v>9751</v>
      </c>
      <c r="C637" s="3" t="s">
        <v>27</v>
      </c>
      <c r="D637" s="3" t="s">
        <v>39</v>
      </c>
      <c r="E637" s="3">
        <v>240</v>
      </c>
      <c r="F637" s="3">
        <v>2924409.74</v>
      </c>
      <c r="G637" s="3">
        <v>1525018.24</v>
      </c>
      <c r="H637" s="3">
        <v>1399391.5</v>
      </c>
      <c r="I637" s="3">
        <v>47.85</v>
      </c>
      <c r="J637" s="3">
        <v>12185.04</v>
      </c>
      <c r="K637" s="3">
        <v>30</v>
      </c>
      <c r="L637" s="3">
        <v>12.5</v>
      </c>
      <c r="M637" s="3">
        <v>28</v>
      </c>
    </row>
    <row r="638" spans="1:13" x14ac:dyDescent="0.3">
      <c r="A638" s="2">
        <v>2024</v>
      </c>
      <c r="B638" s="2" t="s">
        <v>9751</v>
      </c>
      <c r="C638" s="2" t="s">
        <v>28</v>
      </c>
      <c r="D638" s="2" t="s">
        <v>22</v>
      </c>
      <c r="E638" s="2">
        <v>38</v>
      </c>
      <c r="F638" s="2">
        <v>1284067.22</v>
      </c>
      <c r="G638" s="2">
        <v>732825.36</v>
      </c>
      <c r="H638" s="2">
        <v>551241.86</v>
      </c>
      <c r="I638" s="2">
        <v>42.93</v>
      </c>
      <c r="J638" s="2">
        <v>33791.24</v>
      </c>
      <c r="K638" s="2">
        <v>18</v>
      </c>
      <c r="L638" s="2">
        <v>47.37</v>
      </c>
      <c r="M638" s="2">
        <v>20</v>
      </c>
    </row>
    <row r="639" spans="1:13" x14ac:dyDescent="0.3">
      <c r="A639" s="3">
        <v>2024</v>
      </c>
      <c r="B639" s="3" t="s">
        <v>9751</v>
      </c>
      <c r="C639" s="3" t="s">
        <v>28</v>
      </c>
      <c r="D639" s="3" t="s">
        <v>29</v>
      </c>
      <c r="E639" s="3">
        <v>188</v>
      </c>
      <c r="F639" s="3">
        <v>4240075.93</v>
      </c>
      <c r="G639" s="3">
        <v>2285924.4500000002</v>
      </c>
      <c r="H639" s="3">
        <v>1954151.48</v>
      </c>
      <c r="I639" s="3">
        <v>46.09</v>
      </c>
      <c r="J639" s="3">
        <v>22553.599999999999</v>
      </c>
      <c r="K639" s="3">
        <v>9</v>
      </c>
      <c r="L639" s="3">
        <v>4.79</v>
      </c>
      <c r="M639" s="3">
        <v>29</v>
      </c>
    </row>
    <row r="640" spans="1:13" x14ac:dyDescent="0.3">
      <c r="A640" s="2">
        <v>2024</v>
      </c>
      <c r="B640" s="2" t="s">
        <v>9751</v>
      </c>
      <c r="C640" s="2" t="s">
        <v>28</v>
      </c>
      <c r="D640" s="2" t="s">
        <v>14</v>
      </c>
      <c r="E640" s="2">
        <v>35</v>
      </c>
      <c r="F640" s="2">
        <v>1809951.31</v>
      </c>
      <c r="G640" s="2">
        <v>1048497.06</v>
      </c>
      <c r="H640" s="2">
        <v>761454.25</v>
      </c>
      <c r="I640" s="2">
        <v>42.07</v>
      </c>
      <c r="J640" s="2">
        <v>51712.89</v>
      </c>
      <c r="K640" s="2">
        <v>12</v>
      </c>
      <c r="L640" s="2">
        <v>34.29</v>
      </c>
      <c r="M640" s="2">
        <v>7</v>
      </c>
    </row>
    <row r="641" spans="1:13" x14ac:dyDescent="0.3">
      <c r="A641" s="3">
        <v>2024</v>
      </c>
      <c r="B641" s="3" t="s">
        <v>9751</v>
      </c>
      <c r="C641" s="3" t="s">
        <v>28</v>
      </c>
      <c r="D641" s="3" t="s">
        <v>39</v>
      </c>
      <c r="E641" s="3">
        <v>205</v>
      </c>
      <c r="F641" s="3">
        <v>181616.77</v>
      </c>
      <c r="G641" s="3">
        <v>115577.67</v>
      </c>
      <c r="H641" s="3">
        <v>66039.100000000006</v>
      </c>
      <c r="I641" s="3">
        <v>36.36</v>
      </c>
      <c r="J641" s="3">
        <v>885.94</v>
      </c>
      <c r="K641" s="3">
        <v>7</v>
      </c>
      <c r="L641" s="3">
        <v>3.41</v>
      </c>
      <c r="M641" s="3">
        <v>47</v>
      </c>
    </row>
    <row r="642" spans="1:13" x14ac:dyDescent="0.3">
      <c r="A642" s="2">
        <v>2024</v>
      </c>
      <c r="B642" s="2" t="s">
        <v>9752</v>
      </c>
      <c r="C642" s="2" t="s">
        <v>21</v>
      </c>
      <c r="D642" s="2" t="s">
        <v>22</v>
      </c>
      <c r="E642" s="2">
        <v>67</v>
      </c>
      <c r="F642" s="2">
        <v>3829295.61</v>
      </c>
      <c r="G642" s="2">
        <v>2547352.4500000002</v>
      </c>
      <c r="H642" s="2">
        <v>1281943.1599999999</v>
      </c>
      <c r="I642" s="2">
        <v>33.479999999999997</v>
      </c>
      <c r="J642" s="2">
        <v>57153.67</v>
      </c>
      <c r="K642" s="2">
        <v>6</v>
      </c>
      <c r="L642" s="2">
        <v>8.9600000000000009</v>
      </c>
      <c r="M642" s="2">
        <v>70</v>
      </c>
    </row>
    <row r="643" spans="1:13" x14ac:dyDescent="0.3">
      <c r="A643" s="3">
        <v>2024</v>
      </c>
      <c r="B643" s="3" t="s">
        <v>9752</v>
      </c>
      <c r="C643" s="3" t="s">
        <v>21</v>
      </c>
      <c r="D643" s="3" t="s">
        <v>29</v>
      </c>
      <c r="E643" s="3">
        <v>225</v>
      </c>
      <c r="F643" s="3">
        <v>255903.54</v>
      </c>
      <c r="G643" s="3">
        <v>162214.59</v>
      </c>
      <c r="H643" s="3">
        <v>93688.95</v>
      </c>
      <c r="I643" s="3">
        <v>36.61</v>
      </c>
      <c r="J643" s="3">
        <v>1137.3499999999999</v>
      </c>
      <c r="K643" s="3">
        <v>0</v>
      </c>
      <c r="L643" s="3">
        <v>0</v>
      </c>
      <c r="M643" s="3">
        <v>7</v>
      </c>
    </row>
    <row r="644" spans="1:13" x14ac:dyDescent="0.3">
      <c r="A644" s="2">
        <v>2024</v>
      </c>
      <c r="B644" s="2" t="s">
        <v>9752</v>
      </c>
      <c r="C644" s="2" t="s">
        <v>21</v>
      </c>
      <c r="D644" s="2" t="s">
        <v>14</v>
      </c>
      <c r="E644" s="2">
        <v>75</v>
      </c>
      <c r="F644" s="2">
        <v>2869048.55</v>
      </c>
      <c r="G644" s="2">
        <v>1753757.55</v>
      </c>
      <c r="H644" s="2">
        <v>1115291</v>
      </c>
      <c r="I644" s="2">
        <v>38.869999999999997</v>
      </c>
      <c r="J644" s="2">
        <v>38253.980000000003</v>
      </c>
      <c r="K644" s="2">
        <v>5</v>
      </c>
      <c r="L644" s="2">
        <v>6.67</v>
      </c>
      <c r="M644" s="2">
        <v>88</v>
      </c>
    </row>
    <row r="645" spans="1:13" x14ac:dyDescent="0.3">
      <c r="A645" s="3">
        <v>2024</v>
      </c>
      <c r="B645" s="3" t="s">
        <v>9752</v>
      </c>
      <c r="C645" s="3" t="s">
        <v>21</v>
      </c>
      <c r="D645" s="3" t="s">
        <v>39</v>
      </c>
      <c r="E645" s="3">
        <v>92</v>
      </c>
      <c r="F645" s="3">
        <v>2752368.46</v>
      </c>
      <c r="G645" s="3">
        <v>1509836.77</v>
      </c>
      <c r="H645" s="3">
        <v>1242531.69</v>
      </c>
      <c r="I645" s="3">
        <v>45.14</v>
      </c>
      <c r="J645" s="3">
        <v>29917.05</v>
      </c>
      <c r="K645" s="3">
        <v>26</v>
      </c>
      <c r="L645" s="3">
        <v>28.26</v>
      </c>
      <c r="M645" s="3">
        <v>76</v>
      </c>
    </row>
    <row r="646" spans="1:13" x14ac:dyDescent="0.3">
      <c r="A646" s="2">
        <v>2024</v>
      </c>
      <c r="B646" s="2" t="s">
        <v>9752</v>
      </c>
      <c r="C646" s="2" t="s">
        <v>19</v>
      </c>
      <c r="D646" s="2" t="s">
        <v>22</v>
      </c>
      <c r="E646" s="2">
        <v>27</v>
      </c>
      <c r="F646" s="2">
        <v>104388.76</v>
      </c>
      <c r="G646" s="2">
        <v>58769.73</v>
      </c>
      <c r="H646" s="2">
        <v>45619.03</v>
      </c>
      <c r="I646" s="2">
        <v>43.7</v>
      </c>
      <c r="J646" s="2">
        <v>3866.25</v>
      </c>
      <c r="K646" s="2">
        <v>12</v>
      </c>
      <c r="L646" s="2">
        <v>44.44</v>
      </c>
      <c r="M646" s="2">
        <v>43</v>
      </c>
    </row>
    <row r="647" spans="1:13" x14ac:dyDescent="0.3">
      <c r="A647" s="3">
        <v>2024</v>
      </c>
      <c r="B647" s="3" t="s">
        <v>9752</v>
      </c>
      <c r="C647" s="3" t="s">
        <v>19</v>
      </c>
      <c r="D647" s="3" t="s">
        <v>29</v>
      </c>
      <c r="E647" s="3">
        <v>105</v>
      </c>
      <c r="F647" s="3">
        <v>1404388.89</v>
      </c>
      <c r="G647" s="3">
        <v>918239.41</v>
      </c>
      <c r="H647" s="3">
        <v>486149.48</v>
      </c>
      <c r="I647" s="3">
        <v>34.619999999999997</v>
      </c>
      <c r="J647" s="3">
        <v>13375.13</v>
      </c>
      <c r="K647" s="3">
        <v>28</v>
      </c>
      <c r="L647" s="3">
        <v>26.67</v>
      </c>
      <c r="M647" s="3">
        <v>72</v>
      </c>
    </row>
    <row r="648" spans="1:13" x14ac:dyDescent="0.3">
      <c r="A648" s="2">
        <v>2024</v>
      </c>
      <c r="B648" s="2" t="s">
        <v>9752</v>
      </c>
      <c r="C648" s="2" t="s">
        <v>19</v>
      </c>
      <c r="D648" s="2" t="s">
        <v>14</v>
      </c>
      <c r="E648" s="2">
        <v>55</v>
      </c>
      <c r="F648" s="2">
        <v>3004304.73</v>
      </c>
      <c r="G648" s="2">
        <v>1598379.68</v>
      </c>
      <c r="H648" s="2">
        <v>1405925.05</v>
      </c>
      <c r="I648" s="2">
        <v>46.8</v>
      </c>
      <c r="J648" s="2">
        <v>54623.72</v>
      </c>
      <c r="K648" s="2">
        <v>7</v>
      </c>
      <c r="L648" s="2">
        <v>12.73</v>
      </c>
      <c r="M648" s="2">
        <v>77</v>
      </c>
    </row>
    <row r="649" spans="1:13" x14ac:dyDescent="0.3">
      <c r="A649" s="3">
        <v>2024</v>
      </c>
      <c r="B649" s="3" t="s">
        <v>9752</v>
      </c>
      <c r="C649" s="3" t="s">
        <v>19</v>
      </c>
      <c r="D649" s="3" t="s">
        <v>39</v>
      </c>
      <c r="E649" s="3">
        <v>224</v>
      </c>
      <c r="F649" s="3">
        <v>554815.97</v>
      </c>
      <c r="G649" s="3">
        <v>293576.61</v>
      </c>
      <c r="H649" s="3">
        <v>261239.36</v>
      </c>
      <c r="I649" s="3">
        <v>47.09</v>
      </c>
      <c r="J649" s="3">
        <v>2476.86</v>
      </c>
      <c r="K649" s="3">
        <v>5</v>
      </c>
      <c r="L649" s="3">
        <v>2.23</v>
      </c>
      <c r="M649" s="3">
        <v>89</v>
      </c>
    </row>
    <row r="650" spans="1:13" x14ac:dyDescent="0.3">
      <c r="A650" s="2">
        <v>2024</v>
      </c>
      <c r="B650" s="2" t="s">
        <v>9752</v>
      </c>
      <c r="C650" s="2" t="s">
        <v>13</v>
      </c>
      <c r="D650" s="2" t="s">
        <v>22</v>
      </c>
      <c r="E650" s="2">
        <v>85</v>
      </c>
      <c r="F650" s="2">
        <v>3246095.61</v>
      </c>
      <c r="G650" s="2">
        <v>1736635.44</v>
      </c>
      <c r="H650" s="2">
        <v>1509460.17</v>
      </c>
      <c r="I650" s="2">
        <v>46.5</v>
      </c>
      <c r="J650" s="2">
        <v>38189.360000000001</v>
      </c>
      <c r="K650" s="2">
        <v>3</v>
      </c>
      <c r="L650" s="2">
        <v>3.53</v>
      </c>
      <c r="M650" s="2">
        <v>56</v>
      </c>
    </row>
    <row r="651" spans="1:13" x14ac:dyDescent="0.3">
      <c r="A651" s="3">
        <v>2024</v>
      </c>
      <c r="B651" s="3" t="s">
        <v>9752</v>
      </c>
      <c r="C651" s="3" t="s">
        <v>13</v>
      </c>
      <c r="D651" s="3" t="s">
        <v>29</v>
      </c>
      <c r="E651" s="3">
        <v>244</v>
      </c>
      <c r="F651" s="3">
        <v>1224102.54</v>
      </c>
      <c r="G651" s="3">
        <v>709188.45</v>
      </c>
      <c r="H651" s="3">
        <v>514914.09</v>
      </c>
      <c r="I651" s="3">
        <v>42.06</v>
      </c>
      <c r="J651" s="3">
        <v>5016.8100000000004</v>
      </c>
      <c r="K651" s="3">
        <v>13</v>
      </c>
      <c r="L651" s="3">
        <v>5.33</v>
      </c>
      <c r="M651" s="3">
        <v>10</v>
      </c>
    </row>
    <row r="652" spans="1:13" x14ac:dyDescent="0.3">
      <c r="A652" s="2">
        <v>2024</v>
      </c>
      <c r="B652" s="2" t="s">
        <v>9752</v>
      </c>
      <c r="C652" s="2" t="s">
        <v>13</v>
      </c>
      <c r="D652" s="2" t="s">
        <v>14</v>
      </c>
      <c r="E652" s="2">
        <v>208</v>
      </c>
      <c r="F652" s="2">
        <v>1013018.43</v>
      </c>
      <c r="G652" s="2">
        <v>662005.03</v>
      </c>
      <c r="H652" s="2">
        <v>351013.4</v>
      </c>
      <c r="I652" s="2">
        <v>34.65</v>
      </c>
      <c r="J652" s="2">
        <v>4870.28</v>
      </c>
      <c r="K652" s="2">
        <v>18</v>
      </c>
      <c r="L652" s="2">
        <v>8.65</v>
      </c>
      <c r="M652" s="2">
        <v>40</v>
      </c>
    </row>
    <row r="653" spans="1:13" x14ac:dyDescent="0.3">
      <c r="A653" s="3">
        <v>2024</v>
      </c>
      <c r="B653" s="3" t="s">
        <v>9752</v>
      </c>
      <c r="C653" s="3" t="s">
        <v>13</v>
      </c>
      <c r="D653" s="3" t="s">
        <v>39</v>
      </c>
      <c r="E653" s="3">
        <v>150</v>
      </c>
      <c r="F653" s="3">
        <v>1618438.26</v>
      </c>
      <c r="G653" s="3">
        <v>1124163.72</v>
      </c>
      <c r="H653" s="3">
        <v>494274.54</v>
      </c>
      <c r="I653" s="3">
        <v>30.54</v>
      </c>
      <c r="J653" s="3">
        <v>10789.59</v>
      </c>
      <c r="K653" s="3">
        <v>9</v>
      </c>
      <c r="L653" s="3">
        <v>6</v>
      </c>
      <c r="M653" s="3">
        <v>83</v>
      </c>
    </row>
    <row r="654" spans="1:13" x14ac:dyDescent="0.3">
      <c r="A654" s="2">
        <v>2024</v>
      </c>
      <c r="B654" s="2" t="s">
        <v>9752</v>
      </c>
      <c r="C654" s="2" t="s">
        <v>27</v>
      </c>
      <c r="D654" s="2" t="s">
        <v>22</v>
      </c>
      <c r="E654" s="2">
        <v>28</v>
      </c>
      <c r="F654" s="2">
        <v>3214837.34</v>
      </c>
      <c r="G654" s="2">
        <v>2160982.69</v>
      </c>
      <c r="H654" s="2">
        <v>1053854.6499999999</v>
      </c>
      <c r="I654" s="2">
        <v>32.78</v>
      </c>
      <c r="J654" s="2">
        <v>114815.62</v>
      </c>
      <c r="K654" s="2">
        <v>23</v>
      </c>
      <c r="L654" s="2">
        <v>82.14</v>
      </c>
      <c r="M654" s="2">
        <v>13</v>
      </c>
    </row>
    <row r="655" spans="1:13" x14ac:dyDescent="0.3">
      <c r="A655" s="3">
        <v>2024</v>
      </c>
      <c r="B655" s="3" t="s">
        <v>9752</v>
      </c>
      <c r="C655" s="3" t="s">
        <v>27</v>
      </c>
      <c r="D655" s="3" t="s">
        <v>29</v>
      </c>
      <c r="E655" s="3">
        <v>132</v>
      </c>
      <c r="F655" s="3">
        <v>847252.57</v>
      </c>
      <c r="G655" s="3">
        <v>499825.53</v>
      </c>
      <c r="H655" s="3">
        <v>347427.04</v>
      </c>
      <c r="I655" s="3">
        <v>41.01</v>
      </c>
      <c r="J655" s="3">
        <v>6418.58</v>
      </c>
      <c r="K655" s="3">
        <v>11</v>
      </c>
      <c r="L655" s="3">
        <v>8.33</v>
      </c>
      <c r="M655" s="3">
        <v>35</v>
      </c>
    </row>
    <row r="656" spans="1:13" x14ac:dyDescent="0.3">
      <c r="A656" s="2">
        <v>2024</v>
      </c>
      <c r="B656" s="2" t="s">
        <v>9752</v>
      </c>
      <c r="C656" s="2" t="s">
        <v>27</v>
      </c>
      <c r="D656" s="2" t="s">
        <v>14</v>
      </c>
      <c r="E656" s="2">
        <v>208</v>
      </c>
      <c r="F656" s="2">
        <v>4779549.29</v>
      </c>
      <c r="G656" s="2">
        <v>2833321.23</v>
      </c>
      <c r="H656" s="2">
        <v>1946228.06</v>
      </c>
      <c r="I656" s="2">
        <v>40.72</v>
      </c>
      <c r="J656" s="2">
        <v>22978.6</v>
      </c>
      <c r="K656" s="2">
        <v>10</v>
      </c>
      <c r="L656" s="2">
        <v>4.8099999999999996</v>
      </c>
      <c r="M656" s="2">
        <v>34</v>
      </c>
    </row>
    <row r="657" spans="1:13" x14ac:dyDescent="0.3">
      <c r="A657" s="3">
        <v>2024</v>
      </c>
      <c r="B657" s="3" t="s">
        <v>9752</v>
      </c>
      <c r="C657" s="3" t="s">
        <v>27</v>
      </c>
      <c r="D657" s="3" t="s">
        <v>39</v>
      </c>
      <c r="E657" s="3">
        <v>172</v>
      </c>
      <c r="F657" s="3">
        <v>3667422.65</v>
      </c>
      <c r="G657" s="3">
        <v>2080942.62</v>
      </c>
      <c r="H657" s="3">
        <v>1586480.03</v>
      </c>
      <c r="I657" s="3">
        <v>43.26</v>
      </c>
      <c r="J657" s="3">
        <v>21322.22</v>
      </c>
      <c r="K657" s="3">
        <v>11</v>
      </c>
      <c r="L657" s="3">
        <v>6.4</v>
      </c>
      <c r="M657" s="3">
        <v>82</v>
      </c>
    </row>
    <row r="658" spans="1:13" x14ac:dyDescent="0.3">
      <c r="A658" s="2">
        <v>2024</v>
      </c>
      <c r="B658" s="2" t="s">
        <v>9752</v>
      </c>
      <c r="C658" s="2" t="s">
        <v>28</v>
      </c>
      <c r="D658" s="2" t="s">
        <v>22</v>
      </c>
      <c r="E658" s="2">
        <v>84</v>
      </c>
      <c r="F658" s="2">
        <v>2757244.63</v>
      </c>
      <c r="G658" s="2">
        <v>1438444.59</v>
      </c>
      <c r="H658" s="2">
        <v>1318800.04</v>
      </c>
      <c r="I658" s="2">
        <v>47.83</v>
      </c>
      <c r="J658" s="2">
        <v>32824.339999999997</v>
      </c>
      <c r="K658" s="2">
        <v>10</v>
      </c>
      <c r="L658" s="2">
        <v>11.9</v>
      </c>
      <c r="M658" s="2">
        <v>94</v>
      </c>
    </row>
    <row r="659" spans="1:13" x14ac:dyDescent="0.3">
      <c r="A659" s="3">
        <v>2024</v>
      </c>
      <c r="B659" s="3" t="s">
        <v>9752</v>
      </c>
      <c r="C659" s="3" t="s">
        <v>28</v>
      </c>
      <c r="D659" s="3" t="s">
        <v>29</v>
      </c>
      <c r="E659" s="3">
        <v>72</v>
      </c>
      <c r="F659" s="3">
        <v>3911979.27</v>
      </c>
      <c r="G659" s="3">
        <v>2716531.41</v>
      </c>
      <c r="H659" s="3">
        <v>1195447.8600000001</v>
      </c>
      <c r="I659" s="3">
        <v>30.56</v>
      </c>
      <c r="J659" s="3">
        <v>54333.05</v>
      </c>
      <c r="K659" s="3">
        <v>15</v>
      </c>
      <c r="L659" s="3">
        <v>20.83</v>
      </c>
      <c r="M659" s="3">
        <v>35</v>
      </c>
    </row>
    <row r="660" spans="1:13" x14ac:dyDescent="0.3">
      <c r="A660" s="2">
        <v>2024</v>
      </c>
      <c r="B660" s="2" t="s">
        <v>9752</v>
      </c>
      <c r="C660" s="2" t="s">
        <v>28</v>
      </c>
      <c r="D660" s="2" t="s">
        <v>14</v>
      </c>
      <c r="E660" s="2">
        <v>215</v>
      </c>
      <c r="F660" s="2">
        <v>4467656.5999999996</v>
      </c>
      <c r="G660" s="2">
        <v>2404127.2599999998</v>
      </c>
      <c r="H660" s="2">
        <v>2063529.34</v>
      </c>
      <c r="I660" s="2">
        <v>46.19</v>
      </c>
      <c r="J660" s="2">
        <v>20779.8</v>
      </c>
      <c r="K660" s="2">
        <v>18</v>
      </c>
      <c r="L660" s="2">
        <v>8.3699999999999992</v>
      </c>
      <c r="M660" s="2">
        <v>35</v>
      </c>
    </row>
    <row r="661" spans="1:13" x14ac:dyDescent="0.3">
      <c r="A661" s="3">
        <v>2024</v>
      </c>
      <c r="B661" s="3" t="s">
        <v>9752</v>
      </c>
      <c r="C661" s="3" t="s">
        <v>28</v>
      </c>
      <c r="D661" s="3" t="s">
        <v>39</v>
      </c>
      <c r="E661" s="3">
        <v>120</v>
      </c>
      <c r="F661" s="3">
        <v>2040495.64</v>
      </c>
      <c r="G661" s="3">
        <v>1158793.75</v>
      </c>
      <c r="H661" s="3">
        <v>881701.89</v>
      </c>
      <c r="I661" s="3">
        <v>43.21</v>
      </c>
      <c r="J661" s="3">
        <v>17004.13</v>
      </c>
      <c r="K661" s="3">
        <v>21</v>
      </c>
      <c r="L661" s="3">
        <v>17.5</v>
      </c>
      <c r="M661" s="3">
        <v>5</v>
      </c>
    </row>
    <row r="662" spans="1:13" x14ac:dyDescent="0.3">
      <c r="A662" s="2">
        <v>2024</v>
      </c>
      <c r="B662" s="2" t="s">
        <v>9753</v>
      </c>
      <c r="C662" s="2" t="s">
        <v>21</v>
      </c>
      <c r="D662" s="2" t="s">
        <v>22</v>
      </c>
      <c r="E662" s="2">
        <v>142</v>
      </c>
      <c r="F662" s="2">
        <v>1628013.98</v>
      </c>
      <c r="G662" s="2">
        <v>902826.85</v>
      </c>
      <c r="H662" s="2">
        <v>725187.13</v>
      </c>
      <c r="I662" s="2">
        <v>44.54</v>
      </c>
      <c r="J662" s="2">
        <v>11464.89</v>
      </c>
      <c r="K662" s="2">
        <v>2</v>
      </c>
      <c r="L662" s="2">
        <v>1.41</v>
      </c>
      <c r="M662" s="2">
        <v>23</v>
      </c>
    </row>
    <row r="663" spans="1:13" x14ac:dyDescent="0.3">
      <c r="A663" s="3">
        <v>2024</v>
      </c>
      <c r="B663" s="3" t="s">
        <v>9753</v>
      </c>
      <c r="C663" s="3" t="s">
        <v>21</v>
      </c>
      <c r="D663" s="3" t="s">
        <v>29</v>
      </c>
      <c r="E663" s="3">
        <v>283</v>
      </c>
      <c r="F663" s="3">
        <v>102752.67</v>
      </c>
      <c r="G663" s="3">
        <v>64305.01</v>
      </c>
      <c r="H663" s="3">
        <v>38447.660000000003</v>
      </c>
      <c r="I663" s="3">
        <v>37.42</v>
      </c>
      <c r="J663" s="3">
        <v>363.08</v>
      </c>
      <c r="K663" s="3">
        <v>26</v>
      </c>
      <c r="L663" s="3">
        <v>9.19</v>
      </c>
      <c r="M663" s="3">
        <v>35</v>
      </c>
    </row>
    <row r="664" spans="1:13" x14ac:dyDescent="0.3">
      <c r="A664" s="2">
        <v>2024</v>
      </c>
      <c r="B664" s="2" t="s">
        <v>9753</v>
      </c>
      <c r="C664" s="2" t="s">
        <v>21</v>
      </c>
      <c r="D664" s="2" t="s">
        <v>14</v>
      </c>
      <c r="E664" s="2">
        <v>71</v>
      </c>
      <c r="F664" s="2">
        <v>4703234.87</v>
      </c>
      <c r="G664" s="2">
        <v>2545427.25</v>
      </c>
      <c r="H664" s="2">
        <v>2157807.62</v>
      </c>
      <c r="I664" s="2">
        <v>45.88</v>
      </c>
      <c r="J664" s="2">
        <v>66242.740000000005</v>
      </c>
      <c r="K664" s="2">
        <v>27</v>
      </c>
      <c r="L664" s="2">
        <v>38.03</v>
      </c>
      <c r="M664" s="2">
        <v>22</v>
      </c>
    </row>
    <row r="665" spans="1:13" x14ac:dyDescent="0.3">
      <c r="A665" s="3">
        <v>2024</v>
      </c>
      <c r="B665" s="3" t="s">
        <v>9753</v>
      </c>
      <c r="C665" s="3" t="s">
        <v>21</v>
      </c>
      <c r="D665" s="3" t="s">
        <v>39</v>
      </c>
      <c r="E665" s="3">
        <v>100</v>
      </c>
      <c r="F665" s="3">
        <v>1878134.2</v>
      </c>
      <c r="G665" s="3">
        <v>1064786.95</v>
      </c>
      <c r="H665" s="3">
        <v>813347.25</v>
      </c>
      <c r="I665" s="3">
        <v>43.31</v>
      </c>
      <c r="J665" s="3">
        <v>18781.34</v>
      </c>
      <c r="K665" s="3">
        <v>24</v>
      </c>
      <c r="L665" s="3">
        <v>24</v>
      </c>
      <c r="M665" s="3">
        <v>94</v>
      </c>
    </row>
    <row r="666" spans="1:13" x14ac:dyDescent="0.3">
      <c r="A666" s="2">
        <v>2024</v>
      </c>
      <c r="B666" s="2" t="s">
        <v>9753</v>
      </c>
      <c r="C666" s="2" t="s">
        <v>19</v>
      </c>
      <c r="D666" s="2" t="s">
        <v>22</v>
      </c>
      <c r="E666" s="2">
        <v>35</v>
      </c>
      <c r="F666" s="2">
        <v>4986322.33</v>
      </c>
      <c r="G666" s="2">
        <v>2594689.8199999998</v>
      </c>
      <c r="H666" s="2">
        <v>2391632.5099999998</v>
      </c>
      <c r="I666" s="2">
        <v>47.96</v>
      </c>
      <c r="J666" s="2">
        <v>142466.35</v>
      </c>
      <c r="K666" s="2">
        <v>3</v>
      </c>
      <c r="L666" s="2">
        <v>8.57</v>
      </c>
      <c r="M666" s="2">
        <v>42</v>
      </c>
    </row>
    <row r="667" spans="1:13" x14ac:dyDescent="0.3">
      <c r="A667" s="3">
        <v>2024</v>
      </c>
      <c r="B667" s="3" t="s">
        <v>9753</v>
      </c>
      <c r="C667" s="3" t="s">
        <v>19</v>
      </c>
      <c r="D667" s="3" t="s">
        <v>29</v>
      </c>
      <c r="E667" s="3">
        <v>194</v>
      </c>
      <c r="F667" s="3">
        <v>1566582.51</v>
      </c>
      <c r="G667" s="3">
        <v>958160.63</v>
      </c>
      <c r="H667" s="3">
        <v>608421.88</v>
      </c>
      <c r="I667" s="3">
        <v>38.840000000000003</v>
      </c>
      <c r="J667" s="3">
        <v>8075.17</v>
      </c>
      <c r="K667" s="3">
        <v>7</v>
      </c>
      <c r="L667" s="3">
        <v>3.61</v>
      </c>
      <c r="M667" s="3">
        <v>59</v>
      </c>
    </row>
    <row r="668" spans="1:13" x14ac:dyDescent="0.3">
      <c r="A668" s="2">
        <v>2024</v>
      </c>
      <c r="B668" s="2" t="s">
        <v>9753</v>
      </c>
      <c r="C668" s="2" t="s">
        <v>19</v>
      </c>
      <c r="D668" s="2" t="s">
        <v>14</v>
      </c>
      <c r="E668" s="2">
        <v>160</v>
      </c>
      <c r="F668" s="2">
        <v>4315481.9000000004</v>
      </c>
      <c r="G668" s="2">
        <v>2556200.73</v>
      </c>
      <c r="H668" s="2">
        <v>1759281.17</v>
      </c>
      <c r="I668" s="2">
        <v>40.770000000000003</v>
      </c>
      <c r="J668" s="2">
        <v>26971.759999999998</v>
      </c>
      <c r="K668" s="2">
        <v>16</v>
      </c>
      <c r="L668" s="2">
        <v>10</v>
      </c>
      <c r="M668" s="2">
        <v>23</v>
      </c>
    </row>
    <row r="669" spans="1:13" x14ac:dyDescent="0.3">
      <c r="A669" s="3">
        <v>2024</v>
      </c>
      <c r="B669" s="3" t="s">
        <v>9753</v>
      </c>
      <c r="C669" s="3" t="s">
        <v>19</v>
      </c>
      <c r="D669" s="3" t="s">
        <v>39</v>
      </c>
      <c r="E669" s="3">
        <v>226</v>
      </c>
      <c r="F669" s="3">
        <v>4962936.8099999996</v>
      </c>
      <c r="G669" s="3">
        <v>2696303.99</v>
      </c>
      <c r="H669" s="3">
        <v>2266632.8199999998</v>
      </c>
      <c r="I669" s="3">
        <v>45.67</v>
      </c>
      <c r="J669" s="3">
        <v>21959.9</v>
      </c>
      <c r="K669" s="3">
        <v>25</v>
      </c>
      <c r="L669" s="3">
        <v>11.06</v>
      </c>
      <c r="M669" s="3">
        <v>77</v>
      </c>
    </row>
    <row r="670" spans="1:13" x14ac:dyDescent="0.3">
      <c r="A670" s="2">
        <v>2024</v>
      </c>
      <c r="B670" s="2" t="s">
        <v>9753</v>
      </c>
      <c r="C670" s="2" t="s">
        <v>13</v>
      </c>
      <c r="D670" s="2" t="s">
        <v>22</v>
      </c>
      <c r="E670" s="2">
        <v>229</v>
      </c>
      <c r="F670" s="2">
        <v>4621263.4400000004</v>
      </c>
      <c r="G670" s="2">
        <v>3188328.82</v>
      </c>
      <c r="H670" s="2">
        <v>1432934.62</v>
      </c>
      <c r="I670" s="2">
        <v>31.01</v>
      </c>
      <c r="J670" s="2">
        <v>20180.189999999999</v>
      </c>
      <c r="K670" s="2">
        <v>17</v>
      </c>
      <c r="L670" s="2">
        <v>7.42</v>
      </c>
      <c r="M670" s="2">
        <v>99</v>
      </c>
    </row>
    <row r="671" spans="1:13" x14ac:dyDescent="0.3">
      <c r="A671" s="3">
        <v>2024</v>
      </c>
      <c r="B671" s="3" t="s">
        <v>9753</v>
      </c>
      <c r="C671" s="3" t="s">
        <v>13</v>
      </c>
      <c r="D671" s="3" t="s">
        <v>29</v>
      </c>
      <c r="E671" s="3">
        <v>277</v>
      </c>
      <c r="F671" s="3">
        <v>3093270.61</v>
      </c>
      <c r="G671" s="3">
        <v>1588014.05</v>
      </c>
      <c r="H671" s="3">
        <v>1505256.56</v>
      </c>
      <c r="I671" s="3">
        <v>48.66</v>
      </c>
      <c r="J671" s="3">
        <v>11167.04</v>
      </c>
      <c r="K671" s="3">
        <v>26</v>
      </c>
      <c r="L671" s="3">
        <v>9.39</v>
      </c>
      <c r="M671" s="3">
        <v>98</v>
      </c>
    </row>
    <row r="672" spans="1:13" x14ac:dyDescent="0.3">
      <c r="A672" s="2">
        <v>2024</v>
      </c>
      <c r="B672" s="2" t="s">
        <v>9753</v>
      </c>
      <c r="C672" s="2" t="s">
        <v>13</v>
      </c>
      <c r="D672" s="2" t="s">
        <v>14</v>
      </c>
      <c r="E672" s="2">
        <v>221</v>
      </c>
      <c r="F672" s="2">
        <v>1027257.38</v>
      </c>
      <c r="G672" s="2">
        <v>671176.5</v>
      </c>
      <c r="H672" s="2">
        <v>356080.88</v>
      </c>
      <c r="I672" s="2">
        <v>34.659999999999997</v>
      </c>
      <c r="J672" s="2">
        <v>4648.22</v>
      </c>
      <c r="K672" s="2">
        <v>24</v>
      </c>
      <c r="L672" s="2">
        <v>10.86</v>
      </c>
      <c r="M672" s="2">
        <v>14</v>
      </c>
    </row>
    <row r="673" spans="1:13" x14ac:dyDescent="0.3">
      <c r="A673" s="3">
        <v>2024</v>
      </c>
      <c r="B673" s="3" t="s">
        <v>9753</v>
      </c>
      <c r="C673" s="3" t="s">
        <v>13</v>
      </c>
      <c r="D673" s="3" t="s">
        <v>39</v>
      </c>
      <c r="E673" s="3">
        <v>92</v>
      </c>
      <c r="F673" s="3">
        <v>4044163.87</v>
      </c>
      <c r="G673" s="3">
        <v>2376708.4</v>
      </c>
      <c r="H673" s="3">
        <v>1667455.47</v>
      </c>
      <c r="I673" s="3">
        <v>41.23</v>
      </c>
      <c r="J673" s="3">
        <v>43958.3</v>
      </c>
      <c r="K673" s="3">
        <v>8</v>
      </c>
      <c r="L673" s="3">
        <v>8.6999999999999993</v>
      </c>
      <c r="M673" s="3">
        <v>98</v>
      </c>
    </row>
    <row r="674" spans="1:13" x14ac:dyDescent="0.3">
      <c r="A674" s="2">
        <v>2024</v>
      </c>
      <c r="B674" s="2" t="s">
        <v>9753</v>
      </c>
      <c r="C674" s="2" t="s">
        <v>27</v>
      </c>
      <c r="D674" s="2" t="s">
        <v>22</v>
      </c>
      <c r="E674" s="2">
        <v>118</v>
      </c>
      <c r="F674" s="2">
        <v>532156.15</v>
      </c>
      <c r="G674" s="2">
        <v>281549.99</v>
      </c>
      <c r="H674" s="2">
        <v>250606.16</v>
      </c>
      <c r="I674" s="2">
        <v>47.09</v>
      </c>
      <c r="J674" s="2">
        <v>4509.8</v>
      </c>
      <c r="K674" s="2">
        <v>25</v>
      </c>
      <c r="L674" s="2">
        <v>21.19</v>
      </c>
      <c r="M674" s="2">
        <v>9</v>
      </c>
    </row>
    <row r="675" spans="1:13" x14ac:dyDescent="0.3">
      <c r="A675" s="3">
        <v>2024</v>
      </c>
      <c r="B675" s="3" t="s">
        <v>9753</v>
      </c>
      <c r="C675" s="3" t="s">
        <v>27</v>
      </c>
      <c r="D675" s="3" t="s">
        <v>29</v>
      </c>
      <c r="E675" s="3">
        <v>86</v>
      </c>
      <c r="F675" s="3">
        <v>3207533.98</v>
      </c>
      <c r="G675" s="3">
        <v>1786889.68</v>
      </c>
      <c r="H675" s="3">
        <v>1420644.3</v>
      </c>
      <c r="I675" s="3">
        <v>44.29</v>
      </c>
      <c r="J675" s="3">
        <v>37296.910000000003</v>
      </c>
      <c r="K675" s="3">
        <v>19</v>
      </c>
      <c r="L675" s="3">
        <v>22.09</v>
      </c>
      <c r="M675" s="3">
        <v>79</v>
      </c>
    </row>
    <row r="676" spans="1:13" x14ac:dyDescent="0.3">
      <c r="A676" s="2">
        <v>2024</v>
      </c>
      <c r="B676" s="2" t="s">
        <v>9753</v>
      </c>
      <c r="C676" s="2" t="s">
        <v>27</v>
      </c>
      <c r="D676" s="2" t="s">
        <v>14</v>
      </c>
      <c r="E676" s="2">
        <v>69</v>
      </c>
      <c r="F676" s="2">
        <v>3605432.58</v>
      </c>
      <c r="G676" s="2">
        <v>2375919.83</v>
      </c>
      <c r="H676" s="2">
        <v>1229512.75</v>
      </c>
      <c r="I676" s="2">
        <v>34.1</v>
      </c>
      <c r="J676" s="2">
        <v>52252.65</v>
      </c>
      <c r="K676" s="2">
        <v>22</v>
      </c>
      <c r="L676" s="2">
        <v>31.88</v>
      </c>
      <c r="M676" s="2">
        <v>24</v>
      </c>
    </row>
    <row r="677" spans="1:13" x14ac:dyDescent="0.3">
      <c r="A677" s="3">
        <v>2024</v>
      </c>
      <c r="B677" s="3" t="s">
        <v>9753</v>
      </c>
      <c r="C677" s="3" t="s">
        <v>27</v>
      </c>
      <c r="D677" s="3" t="s">
        <v>39</v>
      </c>
      <c r="E677" s="3">
        <v>67</v>
      </c>
      <c r="F677" s="3">
        <v>1357108.65</v>
      </c>
      <c r="G677" s="3">
        <v>911759.69</v>
      </c>
      <c r="H677" s="3">
        <v>445348.96</v>
      </c>
      <c r="I677" s="3">
        <v>32.82</v>
      </c>
      <c r="J677" s="3">
        <v>20255.349999999999</v>
      </c>
      <c r="K677" s="3">
        <v>3</v>
      </c>
      <c r="L677" s="3">
        <v>4.4800000000000004</v>
      </c>
      <c r="M677" s="3">
        <v>7</v>
      </c>
    </row>
    <row r="678" spans="1:13" x14ac:dyDescent="0.3">
      <c r="A678" s="2">
        <v>2024</v>
      </c>
      <c r="B678" s="2" t="s">
        <v>9753</v>
      </c>
      <c r="C678" s="2" t="s">
        <v>28</v>
      </c>
      <c r="D678" s="2" t="s">
        <v>22</v>
      </c>
      <c r="E678" s="2">
        <v>60</v>
      </c>
      <c r="F678" s="2">
        <v>3029888.41</v>
      </c>
      <c r="G678" s="2">
        <v>1993236.58</v>
      </c>
      <c r="H678" s="2">
        <v>1036651.83</v>
      </c>
      <c r="I678" s="2">
        <v>34.21</v>
      </c>
      <c r="J678" s="2">
        <v>50498.14</v>
      </c>
      <c r="K678" s="2">
        <v>25</v>
      </c>
      <c r="L678" s="2">
        <v>41.67</v>
      </c>
      <c r="M678" s="2">
        <v>45</v>
      </c>
    </row>
    <row r="679" spans="1:13" x14ac:dyDescent="0.3">
      <c r="A679" s="3">
        <v>2024</v>
      </c>
      <c r="B679" s="3" t="s">
        <v>9753</v>
      </c>
      <c r="C679" s="3" t="s">
        <v>28</v>
      </c>
      <c r="D679" s="3" t="s">
        <v>29</v>
      </c>
      <c r="E679" s="3">
        <v>165</v>
      </c>
      <c r="F679" s="3">
        <v>319016.37</v>
      </c>
      <c r="G679" s="3">
        <v>216256.36</v>
      </c>
      <c r="H679" s="3">
        <v>102760.01</v>
      </c>
      <c r="I679" s="3">
        <v>32.21</v>
      </c>
      <c r="J679" s="3">
        <v>1933.43</v>
      </c>
      <c r="K679" s="3">
        <v>24</v>
      </c>
      <c r="L679" s="3">
        <v>14.55</v>
      </c>
      <c r="M679" s="3">
        <v>39</v>
      </c>
    </row>
    <row r="680" spans="1:13" x14ac:dyDescent="0.3">
      <c r="A680" s="2">
        <v>2024</v>
      </c>
      <c r="B680" s="2" t="s">
        <v>9753</v>
      </c>
      <c r="C680" s="2" t="s">
        <v>28</v>
      </c>
      <c r="D680" s="2" t="s">
        <v>14</v>
      </c>
      <c r="E680" s="2">
        <v>298</v>
      </c>
      <c r="F680" s="2">
        <v>3662220.09</v>
      </c>
      <c r="G680" s="2">
        <v>2134947</v>
      </c>
      <c r="H680" s="2">
        <v>1527273.09</v>
      </c>
      <c r="I680" s="2">
        <v>41.7</v>
      </c>
      <c r="J680" s="2">
        <v>12289.33</v>
      </c>
      <c r="K680" s="2">
        <v>5</v>
      </c>
      <c r="L680" s="2">
        <v>1.68</v>
      </c>
      <c r="M680" s="2">
        <v>6</v>
      </c>
    </row>
    <row r="681" spans="1:13" x14ac:dyDescent="0.3">
      <c r="A681" s="3">
        <v>2024</v>
      </c>
      <c r="B681" s="3" t="s">
        <v>9753</v>
      </c>
      <c r="C681" s="3" t="s">
        <v>28</v>
      </c>
      <c r="D681" s="3" t="s">
        <v>39</v>
      </c>
      <c r="E681" s="3">
        <v>178</v>
      </c>
      <c r="F681" s="3">
        <v>4277700.45</v>
      </c>
      <c r="G681" s="3">
        <v>2953231.72</v>
      </c>
      <c r="H681" s="3">
        <v>1324468.73</v>
      </c>
      <c r="I681" s="3">
        <v>30.96</v>
      </c>
      <c r="J681" s="3">
        <v>24032.03</v>
      </c>
      <c r="K681" s="3">
        <v>17</v>
      </c>
      <c r="L681" s="3">
        <v>9.5500000000000007</v>
      </c>
      <c r="M681" s="3">
        <v>97</v>
      </c>
    </row>
    <row r="682" spans="1:13" x14ac:dyDescent="0.3">
      <c r="A682" s="2">
        <v>2024</v>
      </c>
      <c r="B682" s="2" t="s">
        <v>9754</v>
      </c>
      <c r="C682" s="2" t="s">
        <v>21</v>
      </c>
      <c r="D682" s="2" t="s">
        <v>22</v>
      </c>
      <c r="E682" s="2">
        <v>238</v>
      </c>
      <c r="F682" s="2">
        <v>1014221.71</v>
      </c>
      <c r="G682" s="2">
        <v>642581.69999999995</v>
      </c>
      <c r="H682" s="2">
        <v>371640.01</v>
      </c>
      <c r="I682" s="2">
        <v>36.64</v>
      </c>
      <c r="J682" s="2">
        <v>4261.4399999999996</v>
      </c>
      <c r="K682" s="2">
        <v>0</v>
      </c>
      <c r="L682" s="2">
        <v>0</v>
      </c>
      <c r="M682" s="2">
        <v>91</v>
      </c>
    </row>
    <row r="683" spans="1:13" x14ac:dyDescent="0.3">
      <c r="A683" s="3">
        <v>2024</v>
      </c>
      <c r="B683" s="3" t="s">
        <v>9754</v>
      </c>
      <c r="C683" s="3" t="s">
        <v>21</v>
      </c>
      <c r="D683" s="3" t="s">
        <v>29</v>
      </c>
      <c r="E683" s="3">
        <v>51</v>
      </c>
      <c r="F683" s="3">
        <v>3605654.01</v>
      </c>
      <c r="G683" s="3">
        <v>2116208.6800000002</v>
      </c>
      <c r="H683" s="3">
        <v>1489445.33</v>
      </c>
      <c r="I683" s="3">
        <v>41.31</v>
      </c>
      <c r="J683" s="3">
        <v>70699.100000000006</v>
      </c>
      <c r="K683" s="3">
        <v>6</v>
      </c>
      <c r="L683" s="3">
        <v>11.76</v>
      </c>
      <c r="M683" s="3">
        <v>80</v>
      </c>
    </row>
    <row r="684" spans="1:13" x14ac:dyDescent="0.3">
      <c r="A684" s="2">
        <v>2024</v>
      </c>
      <c r="B684" s="2" t="s">
        <v>9754</v>
      </c>
      <c r="C684" s="2" t="s">
        <v>21</v>
      </c>
      <c r="D684" s="2" t="s">
        <v>14</v>
      </c>
      <c r="E684" s="2">
        <v>256</v>
      </c>
      <c r="F684" s="2">
        <v>4370967.75</v>
      </c>
      <c r="G684" s="2">
        <v>2211531.39</v>
      </c>
      <c r="H684" s="2">
        <v>2159436.36</v>
      </c>
      <c r="I684" s="2">
        <v>49.4</v>
      </c>
      <c r="J684" s="2">
        <v>17074.09</v>
      </c>
      <c r="K684" s="2">
        <v>6</v>
      </c>
      <c r="L684" s="2">
        <v>2.34</v>
      </c>
      <c r="M684" s="2">
        <v>39</v>
      </c>
    </row>
    <row r="685" spans="1:13" x14ac:dyDescent="0.3">
      <c r="A685" s="3">
        <v>2024</v>
      </c>
      <c r="B685" s="3" t="s">
        <v>9754</v>
      </c>
      <c r="C685" s="3" t="s">
        <v>21</v>
      </c>
      <c r="D685" s="3" t="s">
        <v>39</v>
      </c>
      <c r="E685" s="3">
        <v>190</v>
      </c>
      <c r="F685" s="3">
        <v>999550.41</v>
      </c>
      <c r="G685" s="3">
        <v>631140.98</v>
      </c>
      <c r="H685" s="3">
        <v>368409.43</v>
      </c>
      <c r="I685" s="3">
        <v>36.86</v>
      </c>
      <c r="J685" s="3">
        <v>5260.79</v>
      </c>
      <c r="K685" s="3">
        <v>0</v>
      </c>
      <c r="L685" s="3">
        <v>0</v>
      </c>
      <c r="M685" s="3">
        <v>19</v>
      </c>
    </row>
    <row r="686" spans="1:13" x14ac:dyDescent="0.3">
      <c r="A686" s="2">
        <v>2024</v>
      </c>
      <c r="B686" s="2" t="s">
        <v>9754</v>
      </c>
      <c r="C686" s="2" t="s">
        <v>19</v>
      </c>
      <c r="D686" s="2" t="s">
        <v>22</v>
      </c>
      <c r="E686" s="2">
        <v>144</v>
      </c>
      <c r="F686" s="2">
        <v>4463091.82</v>
      </c>
      <c r="G686" s="2">
        <v>3047285.41</v>
      </c>
      <c r="H686" s="2">
        <v>1415806.41</v>
      </c>
      <c r="I686" s="2">
        <v>31.72</v>
      </c>
      <c r="J686" s="2">
        <v>30993.69</v>
      </c>
      <c r="K686" s="2">
        <v>2</v>
      </c>
      <c r="L686" s="2">
        <v>1.39</v>
      </c>
      <c r="M686" s="2">
        <v>15</v>
      </c>
    </row>
    <row r="687" spans="1:13" x14ac:dyDescent="0.3">
      <c r="A687" s="3">
        <v>2024</v>
      </c>
      <c r="B687" s="3" t="s">
        <v>9754</v>
      </c>
      <c r="C687" s="3" t="s">
        <v>19</v>
      </c>
      <c r="D687" s="3" t="s">
        <v>29</v>
      </c>
      <c r="E687" s="3">
        <v>199</v>
      </c>
      <c r="F687" s="3">
        <v>4475842.8099999996</v>
      </c>
      <c r="G687" s="3">
        <v>3009326.26</v>
      </c>
      <c r="H687" s="3">
        <v>1466516.55</v>
      </c>
      <c r="I687" s="3">
        <v>32.770000000000003</v>
      </c>
      <c r="J687" s="3">
        <v>22491.67</v>
      </c>
      <c r="K687" s="3">
        <v>23</v>
      </c>
      <c r="L687" s="3">
        <v>11.56</v>
      </c>
      <c r="M687" s="3">
        <v>56</v>
      </c>
    </row>
    <row r="688" spans="1:13" x14ac:dyDescent="0.3">
      <c r="A688" s="2">
        <v>2024</v>
      </c>
      <c r="B688" s="2" t="s">
        <v>9754</v>
      </c>
      <c r="C688" s="2" t="s">
        <v>19</v>
      </c>
      <c r="D688" s="2" t="s">
        <v>14</v>
      </c>
      <c r="E688" s="2">
        <v>178</v>
      </c>
      <c r="F688" s="2">
        <v>2248269.36</v>
      </c>
      <c r="G688" s="2">
        <v>1283746.78</v>
      </c>
      <c r="H688" s="2">
        <v>964522.58</v>
      </c>
      <c r="I688" s="2">
        <v>42.9</v>
      </c>
      <c r="J688" s="2">
        <v>12630.73</v>
      </c>
      <c r="K688" s="2">
        <v>23</v>
      </c>
      <c r="L688" s="2">
        <v>12.92</v>
      </c>
      <c r="M688" s="2">
        <v>91</v>
      </c>
    </row>
    <row r="689" spans="1:13" x14ac:dyDescent="0.3">
      <c r="A689" s="3">
        <v>2024</v>
      </c>
      <c r="B689" s="3" t="s">
        <v>9754</v>
      </c>
      <c r="C689" s="3" t="s">
        <v>19</v>
      </c>
      <c r="D689" s="3" t="s">
        <v>39</v>
      </c>
      <c r="E689" s="3">
        <v>222</v>
      </c>
      <c r="F689" s="3">
        <v>516900.97</v>
      </c>
      <c r="G689" s="3">
        <v>321563.65999999997</v>
      </c>
      <c r="H689" s="3">
        <v>195337.31</v>
      </c>
      <c r="I689" s="3">
        <v>37.79</v>
      </c>
      <c r="J689" s="3">
        <v>2328.38</v>
      </c>
      <c r="K689" s="3">
        <v>13</v>
      </c>
      <c r="L689" s="3">
        <v>5.86</v>
      </c>
      <c r="M689" s="3">
        <v>14</v>
      </c>
    </row>
    <row r="690" spans="1:13" x14ac:dyDescent="0.3">
      <c r="A690" s="2">
        <v>2024</v>
      </c>
      <c r="B690" s="2" t="s">
        <v>9754</v>
      </c>
      <c r="C690" s="2" t="s">
        <v>13</v>
      </c>
      <c r="D690" s="2" t="s">
        <v>22</v>
      </c>
      <c r="E690" s="2">
        <v>60</v>
      </c>
      <c r="F690" s="2">
        <v>315510.68</v>
      </c>
      <c r="G690" s="2">
        <v>218543.27</v>
      </c>
      <c r="H690" s="2">
        <v>96967.41</v>
      </c>
      <c r="I690" s="2">
        <v>30.73</v>
      </c>
      <c r="J690" s="2">
        <v>5258.51</v>
      </c>
      <c r="K690" s="2">
        <v>24</v>
      </c>
      <c r="L690" s="2">
        <v>40</v>
      </c>
      <c r="M690" s="2">
        <v>85</v>
      </c>
    </row>
    <row r="691" spans="1:13" x14ac:dyDescent="0.3">
      <c r="A691" s="3">
        <v>2024</v>
      </c>
      <c r="B691" s="3" t="s">
        <v>9754</v>
      </c>
      <c r="C691" s="3" t="s">
        <v>13</v>
      </c>
      <c r="D691" s="3" t="s">
        <v>29</v>
      </c>
      <c r="E691" s="3">
        <v>154</v>
      </c>
      <c r="F691" s="3">
        <v>2298759.42</v>
      </c>
      <c r="G691" s="3">
        <v>1283187.4099999999</v>
      </c>
      <c r="H691" s="3">
        <v>1015572.01</v>
      </c>
      <c r="I691" s="3">
        <v>44.18</v>
      </c>
      <c r="J691" s="3">
        <v>14927.01</v>
      </c>
      <c r="K691" s="3">
        <v>20</v>
      </c>
      <c r="L691" s="3">
        <v>12.99</v>
      </c>
      <c r="M691" s="3">
        <v>35</v>
      </c>
    </row>
    <row r="692" spans="1:13" x14ac:dyDescent="0.3">
      <c r="A692" s="2">
        <v>2024</v>
      </c>
      <c r="B692" s="2" t="s">
        <v>9754</v>
      </c>
      <c r="C692" s="2" t="s">
        <v>13</v>
      </c>
      <c r="D692" s="2" t="s">
        <v>14</v>
      </c>
      <c r="E692" s="2">
        <v>239</v>
      </c>
      <c r="F692" s="2">
        <v>551577.87</v>
      </c>
      <c r="G692" s="2">
        <v>384862.1</v>
      </c>
      <c r="H692" s="2">
        <v>166715.76999999999</v>
      </c>
      <c r="I692" s="2">
        <v>30.23</v>
      </c>
      <c r="J692" s="2">
        <v>2307.86</v>
      </c>
      <c r="K692" s="2">
        <v>16</v>
      </c>
      <c r="L692" s="2">
        <v>6.69</v>
      </c>
      <c r="M692" s="2">
        <v>38</v>
      </c>
    </row>
    <row r="693" spans="1:13" x14ac:dyDescent="0.3">
      <c r="A693" s="3">
        <v>2024</v>
      </c>
      <c r="B693" s="3" t="s">
        <v>9754</v>
      </c>
      <c r="C693" s="3" t="s">
        <v>13</v>
      </c>
      <c r="D693" s="3" t="s">
        <v>39</v>
      </c>
      <c r="E693" s="3">
        <v>38</v>
      </c>
      <c r="F693" s="3">
        <v>2036345.08</v>
      </c>
      <c r="G693" s="3">
        <v>1130599.26</v>
      </c>
      <c r="H693" s="3">
        <v>905745.82</v>
      </c>
      <c r="I693" s="3">
        <v>44.48</v>
      </c>
      <c r="J693" s="3">
        <v>53588.03</v>
      </c>
      <c r="K693" s="3">
        <v>24</v>
      </c>
      <c r="L693" s="3">
        <v>63.16</v>
      </c>
      <c r="M693" s="3">
        <v>96</v>
      </c>
    </row>
    <row r="694" spans="1:13" x14ac:dyDescent="0.3">
      <c r="A694" s="2">
        <v>2024</v>
      </c>
      <c r="B694" s="2" t="s">
        <v>9754</v>
      </c>
      <c r="C694" s="2" t="s">
        <v>27</v>
      </c>
      <c r="D694" s="2" t="s">
        <v>22</v>
      </c>
      <c r="E694" s="2">
        <v>292</v>
      </c>
      <c r="F694" s="2">
        <v>3235693.09</v>
      </c>
      <c r="G694" s="2">
        <v>1822864.54</v>
      </c>
      <c r="H694" s="2">
        <v>1412828.55</v>
      </c>
      <c r="I694" s="2">
        <v>43.66</v>
      </c>
      <c r="J694" s="2">
        <v>11081.14</v>
      </c>
      <c r="K694" s="2">
        <v>28</v>
      </c>
      <c r="L694" s="2">
        <v>9.59</v>
      </c>
      <c r="M694" s="2">
        <v>39</v>
      </c>
    </row>
    <row r="695" spans="1:13" x14ac:dyDescent="0.3">
      <c r="A695" s="3">
        <v>2024</v>
      </c>
      <c r="B695" s="3" t="s">
        <v>9754</v>
      </c>
      <c r="C695" s="3" t="s">
        <v>27</v>
      </c>
      <c r="D695" s="3" t="s">
        <v>29</v>
      </c>
      <c r="E695" s="3">
        <v>242</v>
      </c>
      <c r="F695" s="3">
        <v>3855714.96</v>
      </c>
      <c r="G695" s="3">
        <v>1952923.47</v>
      </c>
      <c r="H695" s="3">
        <v>1902791.49</v>
      </c>
      <c r="I695" s="3">
        <v>49.35</v>
      </c>
      <c r="J695" s="3">
        <v>15932.71</v>
      </c>
      <c r="K695" s="3">
        <v>1</v>
      </c>
      <c r="L695" s="3">
        <v>0.41</v>
      </c>
      <c r="M695" s="3">
        <v>70</v>
      </c>
    </row>
    <row r="696" spans="1:13" x14ac:dyDescent="0.3">
      <c r="A696" s="2">
        <v>2024</v>
      </c>
      <c r="B696" s="2" t="s">
        <v>9754</v>
      </c>
      <c r="C696" s="2" t="s">
        <v>27</v>
      </c>
      <c r="D696" s="2" t="s">
        <v>14</v>
      </c>
      <c r="E696" s="2">
        <v>71</v>
      </c>
      <c r="F696" s="2">
        <v>4853176.6100000003</v>
      </c>
      <c r="G696" s="2">
        <v>3322590.44</v>
      </c>
      <c r="H696" s="2">
        <v>1530586.17</v>
      </c>
      <c r="I696" s="2">
        <v>31.54</v>
      </c>
      <c r="J696" s="2">
        <v>68354.600000000006</v>
      </c>
      <c r="K696" s="2">
        <v>16</v>
      </c>
      <c r="L696" s="2">
        <v>22.54</v>
      </c>
      <c r="M696" s="2">
        <v>42</v>
      </c>
    </row>
    <row r="697" spans="1:13" x14ac:dyDescent="0.3">
      <c r="A697" s="3">
        <v>2024</v>
      </c>
      <c r="B697" s="3" t="s">
        <v>9754</v>
      </c>
      <c r="C697" s="3" t="s">
        <v>27</v>
      </c>
      <c r="D697" s="3" t="s">
        <v>39</v>
      </c>
      <c r="E697" s="3">
        <v>225</v>
      </c>
      <c r="F697" s="3">
        <v>4172081.57</v>
      </c>
      <c r="G697" s="3">
        <v>2091914.05</v>
      </c>
      <c r="H697" s="3">
        <v>2080167.52</v>
      </c>
      <c r="I697" s="3">
        <v>49.86</v>
      </c>
      <c r="J697" s="3">
        <v>18542.580000000002</v>
      </c>
      <c r="K697" s="3">
        <v>29</v>
      </c>
      <c r="L697" s="3">
        <v>12.89</v>
      </c>
      <c r="M697" s="3">
        <v>21</v>
      </c>
    </row>
    <row r="698" spans="1:13" x14ac:dyDescent="0.3">
      <c r="A698" s="2">
        <v>2024</v>
      </c>
      <c r="B698" s="2" t="s">
        <v>9754</v>
      </c>
      <c r="C698" s="2" t="s">
        <v>28</v>
      </c>
      <c r="D698" s="2" t="s">
        <v>22</v>
      </c>
      <c r="E698" s="2">
        <v>32</v>
      </c>
      <c r="F698" s="2">
        <v>3764680.37</v>
      </c>
      <c r="G698" s="2">
        <v>2567222.62</v>
      </c>
      <c r="H698" s="2">
        <v>1197457.75</v>
      </c>
      <c r="I698" s="2">
        <v>31.81</v>
      </c>
      <c r="J698" s="2">
        <v>117646.26</v>
      </c>
      <c r="K698" s="2">
        <v>15</v>
      </c>
      <c r="L698" s="2">
        <v>46.88</v>
      </c>
      <c r="M698" s="2">
        <v>100</v>
      </c>
    </row>
    <row r="699" spans="1:13" x14ac:dyDescent="0.3">
      <c r="A699" s="3">
        <v>2024</v>
      </c>
      <c r="B699" s="3" t="s">
        <v>9754</v>
      </c>
      <c r="C699" s="3" t="s">
        <v>28</v>
      </c>
      <c r="D699" s="3" t="s">
        <v>29</v>
      </c>
      <c r="E699" s="3">
        <v>111</v>
      </c>
      <c r="F699" s="3">
        <v>2060140.07</v>
      </c>
      <c r="G699" s="3">
        <v>1334457.76</v>
      </c>
      <c r="H699" s="3">
        <v>725682.31</v>
      </c>
      <c r="I699" s="3">
        <v>35.22</v>
      </c>
      <c r="J699" s="3">
        <v>18559.82</v>
      </c>
      <c r="K699" s="3">
        <v>10</v>
      </c>
      <c r="L699" s="3">
        <v>9.01</v>
      </c>
      <c r="M699" s="3">
        <v>60</v>
      </c>
    </row>
    <row r="700" spans="1:13" x14ac:dyDescent="0.3">
      <c r="A700" s="2">
        <v>2024</v>
      </c>
      <c r="B700" s="2" t="s">
        <v>9754</v>
      </c>
      <c r="C700" s="2" t="s">
        <v>28</v>
      </c>
      <c r="D700" s="2" t="s">
        <v>14</v>
      </c>
      <c r="E700" s="2">
        <v>299</v>
      </c>
      <c r="F700" s="2">
        <v>1376835.02</v>
      </c>
      <c r="G700" s="2">
        <v>751403.05</v>
      </c>
      <c r="H700" s="2">
        <v>625431.97</v>
      </c>
      <c r="I700" s="2">
        <v>45.43</v>
      </c>
      <c r="J700" s="2">
        <v>4604.8</v>
      </c>
      <c r="K700" s="2">
        <v>7</v>
      </c>
      <c r="L700" s="2">
        <v>2.34</v>
      </c>
      <c r="M700" s="2">
        <v>19</v>
      </c>
    </row>
    <row r="701" spans="1:13" x14ac:dyDescent="0.3">
      <c r="A701" s="3">
        <v>2024</v>
      </c>
      <c r="B701" s="3" t="s">
        <v>9754</v>
      </c>
      <c r="C701" s="3" t="s">
        <v>28</v>
      </c>
      <c r="D701" s="3" t="s">
        <v>39</v>
      </c>
      <c r="E701" s="3">
        <v>165</v>
      </c>
      <c r="F701" s="3">
        <v>4575124.3499999996</v>
      </c>
      <c r="G701" s="3">
        <v>2657551.77</v>
      </c>
      <c r="H701" s="3">
        <v>1917572.58</v>
      </c>
      <c r="I701" s="3">
        <v>41.91</v>
      </c>
      <c r="J701" s="3">
        <v>27728.03</v>
      </c>
      <c r="K701" s="3">
        <v>22</v>
      </c>
      <c r="L701" s="3">
        <v>13.33</v>
      </c>
      <c r="M701" s="3">
        <v>40</v>
      </c>
    </row>
    <row r="702" spans="1:13" x14ac:dyDescent="0.3">
      <c r="A702" s="2">
        <v>2024</v>
      </c>
      <c r="B702" s="2" t="s">
        <v>9755</v>
      </c>
      <c r="C702" s="2" t="s">
        <v>21</v>
      </c>
      <c r="D702" s="2" t="s">
        <v>22</v>
      </c>
      <c r="E702" s="2">
        <v>226</v>
      </c>
      <c r="F702" s="2">
        <v>1172392.6599999999</v>
      </c>
      <c r="G702" s="2">
        <v>769836</v>
      </c>
      <c r="H702" s="2">
        <v>402556.66</v>
      </c>
      <c r="I702" s="2">
        <v>34.340000000000003</v>
      </c>
      <c r="J702" s="2">
        <v>5187.58</v>
      </c>
      <c r="K702" s="2">
        <v>17</v>
      </c>
      <c r="L702" s="2">
        <v>7.52</v>
      </c>
      <c r="M702" s="2">
        <v>34</v>
      </c>
    </row>
    <row r="703" spans="1:13" x14ac:dyDescent="0.3">
      <c r="A703" s="3">
        <v>2024</v>
      </c>
      <c r="B703" s="3" t="s">
        <v>9755</v>
      </c>
      <c r="C703" s="3" t="s">
        <v>21</v>
      </c>
      <c r="D703" s="3" t="s">
        <v>29</v>
      </c>
      <c r="E703" s="3">
        <v>169</v>
      </c>
      <c r="F703" s="3">
        <v>2754354.03</v>
      </c>
      <c r="G703" s="3">
        <v>1888109.13</v>
      </c>
      <c r="H703" s="3">
        <v>866244.9</v>
      </c>
      <c r="I703" s="3">
        <v>31.45</v>
      </c>
      <c r="J703" s="3">
        <v>16297.95</v>
      </c>
      <c r="K703" s="3">
        <v>20</v>
      </c>
      <c r="L703" s="3">
        <v>11.83</v>
      </c>
      <c r="M703" s="3">
        <v>31</v>
      </c>
    </row>
    <row r="704" spans="1:13" x14ac:dyDescent="0.3">
      <c r="A704" s="2">
        <v>2024</v>
      </c>
      <c r="B704" s="2" t="s">
        <v>9755</v>
      </c>
      <c r="C704" s="2" t="s">
        <v>21</v>
      </c>
      <c r="D704" s="2" t="s">
        <v>14</v>
      </c>
      <c r="E704" s="2">
        <v>34</v>
      </c>
      <c r="F704" s="2">
        <v>405778.86</v>
      </c>
      <c r="G704" s="2">
        <v>277782.2</v>
      </c>
      <c r="H704" s="2">
        <v>127996.66</v>
      </c>
      <c r="I704" s="2">
        <v>31.54</v>
      </c>
      <c r="J704" s="2">
        <v>11934.67</v>
      </c>
      <c r="K704" s="2">
        <v>9</v>
      </c>
      <c r="L704" s="2">
        <v>26.47</v>
      </c>
      <c r="M704" s="2">
        <v>44</v>
      </c>
    </row>
    <row r="705" spans="1:13" x14ac:dyDescent="0.3">
      <c r="A705" s="3">
        <v>2024</v>
      </c>
      <c r="B705" s="3" t="s">
        <v>9755</v>
      </c>
      <c r="C705" s="3" t="s">
        <v>21</v>
      </c>
      <c r="D705" s="3" t="s">
        <v>39</v>
      </c>
      <c r="E705" s="3">
        <v>190</v>
      </c>
      <c r="F705" s="3">
        <v>4232801.6900000004</v>
      </c>
      <c r="G705" s="3">
        <v>2941376.95</v>
      </c>
      <c r="H705" s="3">
        <v>1291424.74</v>
      </c>
      <c r="I705" s="3">
        <v>30.51</v>
      </c>
      <c r="J705" s="3">
        <v>22277.9</v>
      </c>
      <c r="K705" s="3">
        <v>21</v>
      </c>
      <c r="L705" s="3">
        <v>11.05</v>
      </c>
      <c r="M705" s="3">
        <v>5</v>
      </c>
    </row>
    <row r="706" spans="1:13" x14ac:dyDescent="0.3">
      <c r="A706" s="2">
        <v>2024</v>
      </c>
      <c r="B706" s="2" t="s">
        <v>9755</v>
      </c>
      <c r="C706" s="2" t="s">
        <v>19</v>
      </c>
      <c r="D706" s="2" t="s">
        <v>22</v>
      </c>
      <c r="E706" s="2">
        <v>102</v>
      </c>
      <c r="F706" s="2">
        <v>1860851.76</v>
      </c>
      <c r="G706" s="2">
        <v>987818.19</v>
      </c>
      <c r="H706" s="2">
        <v>873033.57</v>
      </c>
      <c r="I706" s="2">
        <v>46.92</v>
      </c>
      <c r="J706" s="2">
        <v>18243.64</v>
      </c>
      <c r="K706" s="2">
        <v>8</v>
      </c>
      <c r="L706" s="2">
        <v>7.84</v>
      </c>
      <c r="M706" s="2">
        <v>33</v>
      </c>
    </row>
    <row r="707" spans="1:13" x14ac:dyDescent="0.3">
      <c r="A707" s="3">
        <v>2024</v>
      </c>
      <c r="B707" s="3" t="s">
        <v>9755</v>
      </c>
      <c r="C707" s="3" t="s">
        <v>19</v>
      </c>
      <c r="D707" s="3" t="s">
        <v>29</v>
      </c>
      <c r="E707" s="3">
        <v>77</v>
      </c>
      <c r="F707" s="3">
        <v>802125.39</v>
      </c>
      <c r="G707" s="3">
        <v>537424.54</v>
      </c>
      <c r="H707" s="3">
        <v>264700.84999999998</v>
      </c>
      <c r="I707" s="3">
        <v>33</v>
      </c>
      <c r="J707" s="3">
        <v>10417.209999999999</v>
      </c>
      <c r="K707" s="3">
        <v>11</v>
      </c>
      <c r="L707" s="3">
        <v>14.29</v>
      </c>
      <c r="M707" s="3">
        <v>39</v>
      </c>
    </row>
    <row r="708" spans="1:13" x14ac:dyDescent="0.3">
      <c r="A708" s="2">
        <v>2024</v>
      </c>
      <c r="B708" s="2" t="s">
        <v>9755</v>
      </c>
      <c r="C708" s="2" t="s">
        <v>19</v>
      </c>
      <c r="D708" s="2" t="s">
        <v>14</v>
      </c>
      <c r="E708" s="2">
        <v>137</v>
      </c>
      <c r="F708" s="2">
        <v>647593.84</v>
      </c>
      <c r="G708" s="2">
        <v>429445.2</v>
      </c>
      <c r="H708" s="2">
        <v>218148.64</v>
      </c>
      <c r="I708" s="2">
        <v>33.69</v>
      </c>
      <c r="J708" s="2">
        <v>4726.96</v>
      </c>
      <c r="K708" s="2">
        <v>23</v>
      </c>
      <c r="L708" s="2">
        <v>16.79</v>
      </c>
      <c r="M708" s="2">
        <v>9</v>
      </c>
    </row>
    <row r="709" spans="1:13" x14ac:dyDescent="0.3">
      <c r="A709" s="3">
        <v>2024</v>
      </c>
      <c r="B709" s="3" t="s">
        <v>9755</v>
      </c>
      <c r="C709" s="3" t="s">
        <v>19</v>
      </c>
      <c r="D709" s="3" t="s">
        <v>39</v>
      </c>
      <c r="E709" s="3">
        <v>142</v>
      </c>
      <c r="F709" s="3">
        <v>1898357.64</v>
      </c>
      <c r="G709" s="3">
        <v>1242976.06</v>
      </c>
      <c r="H709" s="3">
        <v>655381.57999999996</v>
      </c>
      <c r="I709" s="3">
        <v>34.520000000000003</v>
      </c>
      <c r="J709" s="3">
        <v>13368.72</v>
      </c>
      <c r="K709" s="3">
        <v>30</v>
      </c>
      <c r="L709" s="3">
        <v>21.13</v>
      </c>
      <c r="M709" s="3">
        <v>44</v>
      </c>
    </row>
    <row r="710" spans="1:13" x14ac:dyDescent="0.3">
      <c r="A710" s="2">
        <v>2024</v>
      </c>
      <c r="B710" s="2" t="s">
        <v>9755</v>
      </c>
      <c r="C710" s="2" t="s">
        <v>13</v>
      </c>
      <c r="D710" s="2" t="s">
        <v>22</v>
      </c>
      <c r="E710" s="2">
        <v>250</v>
      </c>
      <c r="F710" s="2">
        <v>901964.54</v>
      </c>
      <c r="G710" s="2">
        <v>600967.80000000005</v>
      </c>
      <c r="H710" s="2">
        <v>300996.74</v>
      </c>
      <c r="I710" s="2">
        <v>33.369999999999997</v>
      </c>
      <c r="J710" s="2">
        <v>3607.86</v>
      </c>
      <c r="K710" s="2">
        <v>18</v>
      </c>
      <c r="L710" s="2">
        <v>7.2</v>
      </c>
      <c r="M710" s="2">
        <v>7</v>
      </c>
    </row>
    <row r="711" spans="1:13" x14ac:dyDescent="0.3">
      <c r="A711" s="3">
        <v>2024</v>
      </c>
      <c r="B711" s="3" t="s">
        <v>9755</v>
      </c>
      <c r="C711" s="3" t="s">
        <v>13</v>
      </c>
      <c r="D711" s="3" t="s">
        <v>29</v>
      </c>
      <c r="E711" s="3">
        <v>25</v>
      </c>
      <c r="F711" s="3">
        <v>3780330.84</v>
      </c>
      <c r="G711" s="3">
        <v>2173836.09</v>
      </c>
      <c r="H711" s="3">
        <v>1606494.75</v>
      </c>
      <c r="I711" s="3">
        <v>42.5</v>
      </c>
      <c r="J711" s="3">
        <v>151213.23000000001</v>
      </c>
      <c r="K711" s="3">
        <v>14</v>
      </c>
      <c r="L711" s="3">
        <v>56</v>
      </c>
      <c r="M711" s="3">
        <v>28</v>
      </c>
    </row>
    <row r="712" spans="1:13" x14ac:dyDescent="0.3">
      <c r="A712" s="2">
        <v>2024</v>
      </c>
      <c r="B712" s="2" t="s">
        <v>9755</v>
      </c>
      <c r="C712" s="2" t="s">
        <v>13</v>
      </c>
      <c r="D712" s="2" t="s">
        <v>14</v>
      </c>
      <c r="E712" s="2">
        <v>282</v>
      </c>
      <c r="F712" s="2">
        <v>4886639.01</v>
      </c>
      <c r="G712" s="2">
        <v>2597872.2200000002</v>
      </c>
      <c r="H712" s="2">
        <v>2288766.79</v>
      </c>
      <c r="I712" s="2">
        <v>46.84</v>
      </c>
      <c r="J712" s="2">
        <v>17328.509999999998</v>
      </c>
      <c r="K712" s="2">
        <v>10</v>
      </c>
      <c r="L712" s="2">
        <v>3.55</v>
      </c>
      <c r="M712" s="2">
        <v>26</v>
      </c>
    </row>
    <row r="713" spans="1:13" x14ac:dyDescent="0.3">
      <c r="A713" s="3">
        <v>2024</v>
      </c>
      <c r="B713" s="3" t="s">
        <v>9755</v>
      </c>
      <c r="C713" s="3" t="s">
        <v>13</v>
      </c>
      <c r="D713" s="3" t="s">
        <v>39</v>
      </c>
      <c r="E713" s="3">
        <v>167</v>
      </c>
      <c r="F713" s="3">
        <v>3919394.75</v>
      </c>
      <c r="G713" s="3">
        <v>2657364.37</v>
      </c>
      <c r="H713" s="3">
        <v>1262030.3799999999</v>
      </c>
      <c r="I713" s="3">
        <v>32.200000000000003</v>
      </c>
      <c r="J713" s="3">
        <v>23469.43</v>
      </c>
      <c r="K713" s="3">
        <v>5</v>
      </c>
      <c r="L713" s="3">
        <v>2.99</v>
      </c>
      <c r="M713" s="3">
        <v>31</v>
      </c>
    </row>
    <row r="714" spans="1:13" x14ac:dyDescent="0.3">
      <c r="A714" s="2">
        <v>2024</v>
      </c>
      <c r="B714" s="2" t="s">
        <v>9755</v>
      </c>
      <c r="C714" s="2" t="s">
        <v>27</v>
      </c>
      <c r="D714" s="2" t="s">
        <v>22</v>
      </c>
      <c r="E714" s="2">
        <v>142</v>
      </c>
      <c r="F714" s="2">
        <v>3348874.55</v>
      </c>
      <c r="G714" s="2">
        <v>2187134.4300000002</v>
      </c>
      <c r="H714" s="2">
        <v>1161740.1200000001</v>
      </c>
      <c r="I714" s="2">
        <v>34.69</v>
      </c>
      <c r="J714" s="2">
        <v>23583.62</v>
      </c>
      <c r="K714" s="2">
        <v>20</v>
      </c>
      <c r="L714" s="2">
        <v>14.08</v>
      </c>
      <c r="M714" s="2">
        <v>16</v>
      </c>
    </row>
    <row r="715" spans="1:13" x14ac:dyDescent="0.3">
      <c r="A715" s="3">
        <v>2024</v>
      </c>
      <c r="B715" s="3" t="s">
        <v>9755</v>
      </c>
      <c r="C715" s="3" t="s">
        <v>27</v>
      </c>
      <c r="D715" s="3" t="s">
        <v>29</v>
      </c>
      <c r="E715" s="3">
        <v>126</v>
      </c>
      <c r="F715" s="3">
        <v>977043.68</v>
      </c>
      <c r="G715" s="3">
        <v>663525.12</v>
      </c>
      <c r="H715" s="3">
        <v>313518.56</v>
      </c>
      <c r="I715" s="3">
        <v>32.090000000000003</v>
      </c>
      <c r="J715" s="3">
        <v>7754.31</v>
      </c>
      <c r="K715" s="3">
        <v>6</v>
      </c>
      <c r="L715" s="3">
        <v>4.76</v>
      </c>
      <c r="M715" s="3">
        <v>40</v>
      </c>
    </row>
    <row r="716" spans="1:13" x14ac:dyDescent="0.3">
      <c r="A716" s="2">
        <v>2024</v>
      </c>
      <c r="B716" s="2" t="s">
        <v>9755</v>
      </c>
      <c r="C716" s="2" t="s">
        <v>27</v>
      </c>
      <c r="D716" s="2" t="s">
        <v>14</v>
      </c>
      <c r="E716" s="2">
        <v>91</v>
      </c>
      <c r="F716" s="2">
        <v>647281.6</v>
      </c>
      <c r="G716" s="2">
        <v>380511.13</v>
      </c>
      <c r="H716" s="2">
        <v>266770.46999999997</v>
      </c>
      <c r="I716" s="2">
        <v>41.21</v>
      </c>
      <c r="J716" s="2">
        <v>7112.98</v>
      </c>
      <c r="K716" s="2">
        <v>23</v>
      </c>
      <c r="L716" s="2">
        <v>25.27</v>
      </c>
      <c r="M716" s="2">
        <v>79</v>
      </c>
    </row>
    <row r="717" spans="1:13" x14ac:dyDescent="0.3">
      <c r="A717" s="3">
        <v>2024</v>
      </c>
      <c r="B717" s="3" t="s">
        <v>9755</v>
      </c>
      <c r="C717" s="3" t="s">
        <v>27</v>
      </c>
      <c r="D717" s="3" t="s">
        <v>39</v>
      </c>
      <c r="E717" s="3">
        <v>253</v>
      </c>
      <c r="F717" s="3">
        <v>4344127.71</v>
      </c>
      <c r="G717" s="3">
        <v>2934447.77</v>
      </c>
      <c r="H717" s="3">
        <v>1409679.94</v>
      </c>
      <c r="I717" s="3">
        <v>32.450000000000003</v>
      </c>
      <c r="J717" s="3">
        <v>17170.47</v>
      </c>
      <c r="K717" s="3">
        <v>1</v>
      </c>
      <c r="L717" s="3">
        <v>0.4</v>
      </c>
      <c r="M717" s="3">
        <v>82</v>
      </c>
    </row>
    <row r="718" spans="1:13" x14ac:dyDescent="0.3">
      <c r="A718" s="2">
        <v>2024</v>
      </c>
      <c r="B718" s="2" t="s">
        <v>9755</v>
      </c>
      <c r="C718" s="2" t="s">
        <v>28</v>
      </c>
      <c r="D718" s="2" t="s">
        <v>22</v>
      </c>
      <c r="E718" s="2">
        <v>156</v>
      </c>
      <c r="F718" s="2">
        <v>1855451.94</v>
      </c>
      <c r="G718" s="2">
        <v>1234984.68</v>
      </c>
      <c r="H718" s="2">
        <v>620467.26</v>
      </c>
      <c r="I718" s="2">
        <v>33.44</v>
      </c>
      <c r="J718" s="2">
        <v>11893.92</v>
      </c>
      <c r="K718" s="2">
        <v>4</v>
      </c>
      <c r="L718" s="2">
        <v>2.56</v>
      </c>
      <c r="M718" s="2">
        <v>8</v>
      </c>
    </row>
    <row r="719" spans="1:13" x14ac:dyDescent="0.3">
      <c r="A719" s="3">
        <v>2024</v>
      </c>
      <c r="B719" s="3" t="s">
        <v>9755</v>
      </c>
      <c r="C719" s="3" t="s">
        <v>28</v>
      </c>
      <c r="D719" s="3" t="s">
        <v>29</v>
      </c>
      <c r="E719" s="3">
        <v>188</v>
      </c>
      <c r="F719" s="3">
        <v>2887083.76</v>
      </c>
      <c r="G719" s="3">
        <v>1720920.36</v>
      </c>
      <c r="H719" s="3">
        <v>1166163.3999999999</v>
      </c>
      <c r="I719" s="3">
        <v>40.39</v>
      </c>
      <c r="J719" s="3">
        <v>15356.83</v>
      </c>
      <c r="K719" s="3">
        <v>19</v>
      </c>
      <c r="L719" s="3">
        <v>10.11</v>
      </c>
      <c r="M719" s="3">
        <v>72</v>
      </c>
    </row>
    <row r="720" spans="1:13" x14ac:dyDescent="0.3">
      <c r="A720" s="2">
        <v>2024</v>
      </c>
      <c r="B720" s="2" t="s">
        <v>9755</v>
      </c>
      <c r="C720" s="2" t="s">
        <v>28</v>
      </c>
      <c r="D720" s="2" t="s">
        <v>14</v>
      </c>
      <c r="E720" s="2">
        <v>292</v>
      </c>
      <c r="F720" s="2">
        <v>4805276.3899999997</v>
      </c>
      <c r="G720" s="2">
        <v>3046619.96</v>
      </c>
      <c r="H720" s="2">
        <v>1758656.43</v>
      </c>
      <c r="I720" s="2">
        <v>36.6</v>
      </c>
      <c r="J720" s="2">
        <v>16456.43</v>
      </c>
      <c r="K720" s="2">
        <v>26</v>
      </c>
      <c r="L720" s="2">
        <v>8.9</v>
      </c>
      <c r="M720" s="2">
        <v>51</v>
      </c>
    </row>
    <row r="721" spans="1:13" x14ac:dyDescent="0.3">
      <c r="A721" s="3">
        <v>2024</v>
      </c>
      <c r="B721" s="3" t="s">
        <v>9755</v>
      </c>
      <c r="C721" s="3" t="s">
        <v>28</v>
      </c>
      <c r="D721" s="3" t="s">
        <v>39</v>
      </c>
      <c r="E721" s="3">
        <v>180</v>
      </c>
      <c r="F721" s="3">
        <v>1554046.01</v>
      </c>
      <c r="G721" s="3">
        <v>995301.65</v>
      </c>
      <c r="H721" s="3">
        <v>558744.36</v>
      </c>
      <c r="I721" s="3">
        <v>35.950000000000003</v>
      </c>
      <c r="J721" s="3">
        <v>8633.59</v>
      </c>
      <c r="K721" s="3">
        <v>23</v>
      </c>
      <c r="L721" s="3">
        <v>12.78</v>
      </c>
      <c r="M721" s="3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KPI_Calculations</vt:lpstr>
      <vt:lpstr>Pivot_Tables</vt:lpstr>
      <vt:lpstr>Data_Cleaning</vt:lpstr>
      <vt:lpstr>Orders</vt:lpstr>
      <vt:lpstr>Product_Master</vt:lpstr>
      <vt:lpstr>Customer_Segments</vt:lpstr>
      <vt:lpstr>Monthly_KPIs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Rajeev Jayan</cp:lastModifiedBy>
  <cp:revision>2</cp:revision>
  <dcterms:created xsi:type="dcterms:W3CDTF">2026-06-08T15:26:17Z</dcterms:created>
  <dcterms:modified xsi:type="dcterms:W3CDTF">2026-06-13T19:03:13Z</dcterms:modified>
  <dc:language>en-US</dc:language>
</cp:coreProperties>
</file>